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2.xml.rels" ContentType="application/vnd.openxmlformats-package.relationships+xml"/>
  <Override PartName="/xl/worksheets/_rels/sheet5.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Executive_Summary" sheetId="1" state="visible" r:id="rId3"/>
    <sheet name="Monthly_MIS" sheetId="2" state="visible" r:id="rId4"/>
    <sheet name="Region_Performance" sheetId="3" state="visible" r:id="rId5"/>
    <sheet name="Product_Performance" sheetId="4" state="visible" r:id="rId6"/>
    <sheet name="Budget_vs_Actual_v2" sheetId="5" state="visible" r:id="rId7"/>
    <sheet name="Budget_Integrity" sheetId="6" state="visible" r:id="rId8"/>
    <sheet name="Budget_v2_Synthetic" sheetId="7" state="visible" r:id="rId9"/>
    <sheet name="Control_Checks" sheetId="8" state="visible" r:id="rId10"/>
    <sheet name="Validation_Report" sheetId="9" state="visible" r:id="rId11"/>
    <sheet name="Data_Dictionary" sheetId="10" state="visible" r:id="rId12"/>
    <sheet name="Automation_Readme" sheetId="11" state="visible" r:id="rId13"/>
    <sheet name="Calc_Actuals" sheetId="12" state="visible" r:id="rId14"/>
    <sheet name="Sales_Transactions" sheetId="13" state="visible" r:id="rId15"/>
    <sheet name="Product_Master" sheetId="14" state="visible" r:id="rId16"/>
    <sheet name="Customer_Master" sheetId="15" state="visible" r:id="rId17"/>
    <sheet name="Calendar" sheetId="16" state="visible" r:id="rId18"/>
    <sheet name="Sales_Budget" sheetId="17" state="visible" r:id="rId19"/>
  </sheets>
  <definedNames>
    <definedName function="false" hidden="true" localSheetId="11" name="_xlnm._FilterDatabase" vbProcedure="false">Calc_Actuals!$A$1:$W$865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<sst xmlns="http://schemas.openxmlformats.org/spreadsheetml/2006/main" count="6666" uniqueCount="1534">
  <si>
    <t xml:space="preserve">Nova Consumer Products - CFO Monthly Sales MIS</t>
  </si>
  <si>
    <t xml:space="preserve">Headline KPI</t>
  </si>
  <si>
    <t xml:space="preserve">Value</t>
  </si>
  <si>
    <t xml:space="preserve">Comment</t>
  </si>
  <si>
    <t xml:space="preserve">Net revenue (all actual months)</t>
  </si>
  <si>
    <t xml:space="preserve">Actual-status invoices only</t>
  </si>
  <si>
    <t xml:space="preserve">COGS</t>
  </si>
  <si>
    <t xml:space="preserve">Gross profit</t>
  </si>
  <si>
    <t xml:space="preserve">Gross profit %</t>
  </si>
  <si>
    <t xml:space="preserve">Jan to latest actual month</t>
  </si>
  <si>
    <t xml:space="preserve">YTD revenue change vs prior-year YTD</t>
  </si>
  <si>
    <t xml:space="preserve">Like-for-like months</t>
  </si>
  <si>
    <t xml:space="preserve">YTD GP % change vs prior-year YTD</t>
  </si>
  <si>
    <t xml:space="preserve">Percentage points</t>
  </si>
  <si>
    <t xml:space="preserve">Control checks</t>
  </si>
  <si>
    <t xml:space="preserve">See Control_Checks</t>
  </si>
  <si>
    <t xml:space="preserve">CFO commentary (128 words)</t>
  </si>
  <si>
    <t xml:space="preserve">OBSERVED (actuals Jan-2025 to Sep-2026, 21 months): Net revenue INR 4.26 crore, gross profit INR 1.52 crore, margin 35.7%. YTD Sep-2026 revenue INR 1.81 crore, -1.8% vs prior-year YTD; margin 35.7% vs 35.8%. Monthly revenue (INR 18.4-22.6 lakh) and margin (34.8%-36.6%) show no clear trend. Each product sells in one region only, so region and product effects overlap: North's -15.0% YTD is Body Lotion (-24.2%) against Soap 4-pack (+3.7%); South's lowest margin (33.1%) reflects Detergent 1kg (32.6%) and Biscuits 500g (34.0%).</t>
  </si>
  <si>
    <t xml:space="preserve">UNVERIFIED CAUSES: Drivers of these movements (pricing, promotions, distribution, input costs, mix) cannot be established from this data. Returns, rebates and GST are excluded. The original budget is not comparable (about 7x actuals; 42% sits in cells with no sales), so no approved budget variance is reported.</t>
  </si>
  <si>
    <t xml:space="preserve">Commentary is generated at build time from verified results and checked (150-word limit, every number traceable to the fact pack); it is static text. KPI tiles above are live formulas.</t>
  </si>
  <si>
    <t xml:space="preserve">Metric availability</t>
  </si>
  <si>
    <t xml:space="preserve">Metric</t>
  </si>
  <si>
    <t xml:space="preserve">Status</t>
  </si>
  <si>
    <t xml:space="preserve">Reason / note</t>
  </si>
  <si>
    <t xml:space="preserve">Monthly net revenue, COGS, gross profit, GP %</t>
  </si>
  <si>
    <t xml:space="preserve">Available</t>
  </si>
  <si>
    <t xml:space="preserve">Derived from Sales_Transactions (Actual rows).</t>
  </si>
  <si>
    <t xml:space="preserve">Region-wise and product-wise performance</t>
  </si>
  <si>
    <t xml:space="preserve">Region via Customer_Master; product/category via Product_Master.</t>
  </si>
  <si>
    <t xml:space="preserve">Gross sales, trade discounts, returns, rebates</t>
  </si>
  <si>
    <t xml:space="preserve">UNAVAILABLE</t>
  </si>
  <si>
    <t xml:space="preserve">Source revenue is already net (Units x Net_Price); no gross-to-net, returns or rebate fields exist. List_Price vs Net_Price gap is implied only, not a reported discount.</t>
  </si>
  <si>
    <t xml:space="preserve">GST / intercompany adjustments</t>
  </si>
  <si>
    <t xml:space="preserve">Source README states revenue excludes GST and intercompany sales; no such data supplied.</t>
  </si>
  <si>
    <t xml:space="preserve">Budget variance (revenue / gross profit)</t>
  </si>
  <si>
    <t xml:space="preserve">ILLUSTRATIVE ONLY</t>
  </si>
  <si>
    <t xml:space="preserve">Original budget is not comparable (see Budget_Integrity). Variance exists only against a SYNTHETIC calibrated v2 budget that is unapproved - see Budget_vs_Actual_v2.</t>
  </si>
  <si>
    <t xml:space="preserve">Product-level budget</t>
  </si>
  <si>
    <t xml:space="preserve">Budget is by Month x Region x Category only.</t>
  </si>
  <si>
    <t xml:space="preserve">Region vs product attribution</t>
  </si>
  <si>
    <t xml:space="preserve">LIMITED</t>
  </si>
  <si>
    <t xml:space="preserve">Each product sells in one region only in this source, so regional and product effects overlap.</t>
  </si>
  <si>
    <t xml:space="preserve">Operating profit / EBITDA</t>
  </si>
  <si>
    <t xml:space="preserve">OUT OF DAY-1 SCOPE</t>
  </si>
  <si>
    <t xml:space="preserve">Opex exists in source but no allocation basis to sales dimensions was provided.</t>
  </si>
  <si>
    <t xml:space="preserve">Monthly Sales &amp; Profitability MIS - Actuals only</t>
  </si>
  <si>
    <t xml:space="preserve">Nova Consumer Products (synthetic). INR. Net revenue excludes GST, returns, rebates and intercompany (per source README). Forecast and budget are excluded.</t>
  </si>
  <si>
    <t xml:space="preserve">Latest actual month (from Calendar)</t>
  </si>
  <si>
    <t xml:space="preserve">Latest actual year</t>
  </si>
  <si>
    <t xml:space="preserve">Latest actual month no.</t>
  </si>
  <si>
    <t xml:space="preserve">Month</t>
  </si>
  <si>
    <t xml:space="preserve">Year</t>
  </si>
  <si>
    <t xml:space="preserve">Invoices</t>
  </si>
  <si>
    <t xml:space="preserve">Units</t>
  </si>
  <si>
    <t xml:space="preserve">Net Revenue (INR)</t>
  </si>
  <si>
    <t xml:space="preserve">COGS (INR)</t>
  </si>
  <si>
    <t xml:space="preserve">Gross Profit (INR)</t>
  </si>
  <si>
    <t xml:space="preserve">GP %</t>
  </si>
  <si>
    <t xml:space="preserve">MoM Revenue %</t>
  </si>
  <si>
    <t xml:space="preserve">YoY Revenue %</t>
  </si>
  <si>
    <t xml:space="preserve">YoY GP % change (pp)</t>
  </si>
  <si>
    <t xml:space="preserve">Check: raw-source revenue</t>
  </si>
  <si>
    <t xml:space="preserve">Check: raw-source COGS</t>
  </si>
  <si>
    <t xml:space="preserve">2025-01</t>
  </si>
  <si>
    <t xml:space="preserve">n/a</t>
  </si>
  <si>
    <t xml:space="preserve">2025-02</t>
  </si>
  <si>
    <t xml:space="preserve">2025-03</t>
  </si>
  <si>
    <t xml:space="preserve">2025-04</t>
  </si>
  <si>
    <t xml:space="preserve">2025-05</t>
  </si>
  <si>
    <t xml:space="preserve">2025-06</t>
  </si>
  <si>
    <t xml:space="preserve">2025-07</t>
  </si>
  <si>
    <t xml:space="preserve">2025-08</t>
  </si>
  <si>
    <t xml:space="preserve">2025-09</t>
  </si>
  <si>
    <t xml:space="preserve">2025-10</t>
  </si>
  <si>
    <t xml:space="preserve">2025-11</t>
  </si>
  <si>
    <t xml:space="preserve">2025-12</t>
  </si>
  <si>
    <t xml:space="preserve">2026-01</t>
  </si>
  <si>
    <t xml:space="preserve">2026-02</t>
  </si>
  <si>
    <t xml:space="preserve">2026-03</t>
  </si>
  <si>
    <t xml:space="preserve">2026-04</t>
  </si>
  <si>
    <t xml:space="preserve">2026-05</t>
  </si>
  <si>
    <t xml:space="preserve">2026-06</t>
  </si>
  <si>
    <t xml:space="preserve">2026-07</t>
  </si>
  <si>
    <t xml:space="preserve">2026-08</t>
  </si>
  <si>
    <t xml:space="preserve">2026-09</t>
  </si>
  <si>
    <t xml:space="preserve">Total (actuals)</t>
  </si>
  <si>
    <t xml:space="preserve">Like-for-like period summary (actuals)</t>
  </si>
  <si>
    <t xml:space="preserve">Period</t>
  </si>
  <si>
    <t xml:space="preserve">YTD change (current vs prior)</t>
  </si>
  <si>
    <t xml:space="preserve">Region-wise Performance - Actuals</t>
  </si>
  <si>
    <t xml:space="preserve">Actuals only. INR. Totals reconcile to Monthly_MIS (see Control_Checks). YTD = Jan to latest actual month; prior-year YTD is like-for-like.</t>
  </si>
  <si>
    <t xml:space="preserve">Region</t>
  </si>
  <si>
    <t xml:space="preserve">Revenue share</t>
  </si>
  <si>
    <t xml:space="preserve">YTD Revenue (current)</t>
  </si>
  <si>
    <t xml:space="preserve">YTD Revenue (prior)</t>
  </si>
  <si>
    <t xml:space="preserve">YTD Rev YoY %</t>
  </si>
  <si>
    <t xml:space="preserve">YTD GP % (current)</t>
  </si>
  <si>
    <t xml:space="preserve">YTD GP % (prior)</t>
  </si>
  <si>
    <t xml:space="preserve">GP % change (pp)</t>
  </si>
  <si>
    <t xml:space="preserve">East</t>
  </si>
  <si>
    <t xml:space="preserve">North</t>
  </si>
  <si>
    <t xml:space="preserve">South</t>
  </si>
  <si>
    <t xml:space="preserve">West</t>
  </si>
  <si>
    <t xml:space="preserve">Total</t>
  </si>
  <si>
    <t xml:space="preserve">Monthly net revenue by region (INR, actuals)</t>
  </si>
  <si>
    <t xml:space="preserve">Product-wise Performance - Actuals</t>
  </si>
  <si>
    <t xml:space="preserve">Product</t>
  </si>
  <si>
    <t xml:space="preserve">Category</t>
  </si>
  <si>
    <t xml:space="preserve">Regions selling (actual)</t>
  </si>
  <si>
    <t xml:space="preserve">Detergent 1kg</t>
  </si>
  <si>
    <t xml:space="preserve">Home Care</t>
  </si>
  <si>
    <t xml:space="preserve">Dishwash Gel</t>
  </si>
  <si>
    <t xml:space="preserve">Shampoo 400ml</t>
  </si>
  <si>
    <t xml:space="preserve">Personal Care</t>
  </si>
  <si>
    <t xml:space="preserve">Soap 4-pack</t>
  </si>
  <si>
    <t xml:space="preserve">Biscuits 500g</t>
  </si>
  <si>
    <t xml:space="preserve">Foods</t>
  </si>
  <si>
    <t xml:space="preserve">Breakfast Cereal</t>
  </si>
  <si>
    <t xml:space="preserve">Floor Cleaner</t>
  </si>
  <si>
    <t xml:space="preserve">Body Lotion</t>
  </si>
  <si>
    <t xml:space="preserve">Monthly net revenue by product (INR, actuals)</t>
  </si>
  <si>
    <t xml:space="preserve">Category roll-up (actuals)</t>
  </si>
  <si>
    <t xml:space="preserve">ILLUSTRATIVE ONLY - Variance vs SYNTHETIC calibrated budget v2 (unapproved)</t>
  </si>
  <si>
    <t xml:space="preserve">In-scope Region x Category cells only. The original Sales_Budget is not used here. Actuals are the same actual-only figures as Monthly_MIS. See Budget_Integrity for why.</t>
  </si>
  <si>
    <t xml:space="preserve">v2 Budget Revenue</t>
  </si>
  <si>
    <t xml:space="preserve">Actual Revenue</t>
  </si>
  <si>
    <t xml:space="preserve">Variance (INR)</t>
  </si>
  <si>
    <t xml:space="preserve">Variance %</t>
  </si>
  <si>
    <t xml:space="preserve">v2 Budget GP</t>
  </si>
  <si>
    <t xml:space="preserve">Actual GP</t>
  </si>
  <si>
    <t xml:space="preserve">GP Variance (INR)</t>
  </si>
  <si>
    <t xml:space="preserve">Basis</t>
  </si>
  <si>
    <t xml:space="preserve">Period view</t>
  </si>
  <si>
    <t xml:space="preserve">Reading</t>
  </si>
  <si>
    <t xml:space="preserve">Variance ~0 by construction - not informative</t>
  </si>
  <si>
    <t xml:space="preserve">Only meaningful comparison; still synthetic and unapproved</t>
  </si>
  <si>
    <t xml:space="preserve">In scope?</t>
  </si>
  <si>
    <t xml:space="preserve">YTD v2 Budget Revenue</t>
  </si>
  <si>
    <t xml:space="preserve">YTD Actual Revenue</t>
  </si>
  <si>
    <t xml:space="preserve">Note</t>
  </si>
  <si>
    <t xml:space="preserve">In-scope total</t>
  </si>
  <si>
    <t xml:space="preserve">Excluded (no-sales cells) v2 budget</t>
  </si>
  <si>
    <t xml:space="preserve">Budget Integrity Review - Sales_Budget vs actuals</t>
  </si>
  <si>
    <t xml:space="preserve">Original Sales_Budget is untouched. Findings are computed from the source at build time (static text); live cross-check cells below recompute the headline ratios from the workbook.</t>
  </si>
  <si>
    <t xml:space="preserve">Live cross-check</t>
  </si>
  <si>
    <t xml:space="preserve">Budget / actual revenue - all 12 Region x Category cells</t>
  </si>
  <si>
    <t xml:space="preserve">Budget / actual revenue - only cells that have sales</t>
  </si>
  <si>
    <t xml:space="preserve">Share of budget in cells with no sales</t>
  </si>
  <si>
    <t xml:space="preserve">Test</t>
  </si>
  <si>
    <t xml:space="preserve">Method</t>
  </si>
  <si>
    <t xml:space="preserve">Finding</t>
  </si>
  <si>
    <t xml:space="preserve">Verdict</t>
  </si>
  <si>
    <t xml:space="preserve">Reporting periods</t>
  </si>
  <si>
    <t xml:space="preserve">Set of Sales_Budget months vs Calendar months</t>
  </si>
  <si>
    <t xml:space="preserve">Aligned: same 24 months</t>
  </si>
  <si>
    <t xml:space="preserve">NO PERIOD MISMATCH</t>
  </si>
  <si>
    <t xml:space="preserve">Aggregation level</t>
  </si>
  <si>
    <t xml:space="preserve">Budget rows per month; grain of each table</t>
  </si>
  <si>
    <t xml:space="preserve">Budget = Month x Region x Category (12 cells/month, no product or customer dimension). Transactions = invoice x product, aggregated here to the same grain. Product-level budget cannot be derived.</t>
  </si>
  <si>
    <t xml:space="preserve">COMPARABLE ONLY AT REGION x CATEGORY</t>
  </si>
  <si>
    <t xml:space="preserve">Units / currency / scale factor</t>
  </si>
  <si>
    <t xml:space="preserve">Budget/actual ratio for each in-scope Month x Region x Category cell</t>
  </si>
  <si>
    <t xml:space="preserve">147 cell-months: ratio ranges 1.5x to 15.3x (median 4.6x, CV 51%). A uniform unit or currency conversion would give one constant ratio.</t>
  </si>
  <si>
    <t xml:space="preserve">RULED OUT as sole cause</t>
  </si>
  <si>
    <t xml:space="preserve">Periodicity (annual / quarterly figures)</t>
  </si>
  <si>
    <t xml:space="preserve">Budget divided by 12 or by 3 vs actual</t>
  </si>
  <si>
    <t xml:space="preserve">Budget/12 = 0.59x actual; Budget/3 = 2.35x. Neither is close to 1.0x.</t>
  </si>
  <si>
    <t xml:space="preserve">RULED OUT</t>
  </si>
  <si>
    <t xml:space="preserve">Business scope (coverage of Region x Category cells)</t>
  </si>
  <si>
    <t xml:space="preserve">Cells with budget but no actual sales in any month</t>
  </si>
  <si>
    <t xml:space="preserve">5 of 12 cells have zero sales in the source (East/Personal Care, North/Foods, North/Home Care, South/Personal Care, West/Foods); they hold 41.9% of budget for the actual months. Cause in the data: each product is sold in one region only, so each region covers only 7/12 of the grid. Restricting budget to cells that have sales reduces the gap from 7.05x to 4.10x.</t>
  </si>
  <si>
    <t xml:space="preserve">CONFIRMED (explains part of the gap)</t>
  </si>
  <si>
    <t xml:space="preserve">Transaction coverage</t>
  </si>
  <si>
    <t xml:space="preserve">Invoices per month, customers invoiced, avg invoice value</t>
  </si>
  <si>
    <t xml:space="preserve">36 invoices/month, avg INR 56,340; 48/48 customers invoiced. Budget of INR 14,304,171/month implies about 254 invoices/month at that average. Cannot tell whether the transaction table is a sample or the budget is overstated.</t>
  </si>
  <si>
    <t xml:space="preserve">UNRESOLVED</t>
  </si>
  <si>
    <t xml:space="preserve">Data-generation signature</t>
  </si>
  <si>
    <t xml:space="preserve">Fit of budget to a closed-form grid</t>
  </si>
  <si>
    <t xml:space="preserve">Budget is constant within each year (no seasonality), gross margin is exactly 38% in every row, 2nd-year uplift is exactly 1.08x for every cell, and revenue is additive in Region + Category effects (max residual INR 0.00). It is formula-generated, not built from transactions.</t>
  </si>
  <si>
    <t xml:space="preserve">CONFIRMED</t>
  </si>
  <si>
    <t xml:space="preserve">Margin and trend consistency</t>
  </si>
  <si>
    <t xml:space="preserve">Budget GP % vs actual GP %; budget growth vs actual growth</t>
  </si>
  <si>
    <t xml:space="preserve">Budget GP % 38.0% vs actual 35.7%. Budget steps up 8% in year 2; actual YTD revenue moved -1.8%.</t>
  </si>
  <si>
    <t xml:space="preserve">INFORMATION</t>
  </si>
  <si>
    <t xml:space="preserve">Root-cause conclusion</t>
  </si>
  <si>
    <t xml:space="preserve">PARTIALLY DEMONSTRATED. Demonstrated: (1) the budget is a closed-form formula grid with no link to the transaction table; (2) 42% of it sits in 5 Region x Category cells where the source has no sales at all, because each product is sold in one region only. Removing those cells narrows the gap from 7.1x to 4.1x. NOT demonstrated: the remaining 4.1x. It is not a constant factor (1.5x-15.3x), so it is not a unit/currency issue. Most likely the two tables were generated independently without calibration, but that cannot be proven from the data. Status: UNRESOLVED - business confirmation needed.</t>
  </si>
  <si>
    <t xml:space="preserve">Controlled correction proposed</t>
  </si>
  <si>
    <t xml:space="preserve">Budget_v2_Synthetic applies one uniform factor k = 0.2541 to the original budget (k = FY2025 actual revenue / original FY2025 budget in cells that have sales). Shape, 38% margin and year uplift are unchanged; no-sales cells are excluded from variance. It is SYNTHETIC and UNAPPROVED. It does not resolve the cause; it only makes a like-for-like illustration possible. Human decision needed: confirm the intended budget scale, or supply a corrected budget.</t>
  </si>
  <si>
    <t xml:space="preserve">SYNTHETIC CALIBRATED BUDGET - VERSION v2 - NOT AN APPROVED BUDGET</t>
  </si>
  <si>
    <t xml:space="preserve">Separate version for illustration only. The original Sales_Budget sheet is carried unchanged and is never overwritten. Requires finance approval before any use in reporting.</t>
  </si>
  <si>
    <t xml:space="preserve">Calibration year (input)</t>
  </si>
  <si>
    <t xml:space="preserve">Latest fully-actual year before the current year; avoids calibrating to the period being measured.</t>
  </si>
  <si>
    <t xml:space="preserve">Actual net revenue in calibration year</t>
  </si>
  <si>
    <t xml:space="preserve">All actual rows (Calc_Actuals).</t>
  </si>
  <si>
    <t xml:space="preserve">Original budget revenue, calibration year, in-scope cells</t>
  </si>
  <si>
    <t xml:space="preserve">In-scope = Region x Category cell that has at least one actual sale in the source.</t>
  </si>
  <si>
    <t xml:space="preserve">Calibration factor k = actual / original budget</t>
  </si>
  <si>
    <t xml:space="preserve">One uniform factor applied to every cell and month: preserves the original budget shape (regional/category pattern, year uplift, 38% margin).</t>
  </si>
  <si>
    <t xml:space="preserve">Original budget GP % (unchanged in v2)</t>
  </si>
  <si>
    <t xml:space="preserve">Margin assumption is NOT calibrated to actuals.</t>
  </si>
  <si>
    <t xml:space="preserve">ASSUMPTIONS: (1) Business scale of the budget is unknown; v2 assumes the budget should be the same order of magnitude as FY2025 actuals. (2) Budget cells with no actual sales anywhere in the source are retained but flagged out-of-scope and excluded from variance. (3) FY2025 variance is ~0 by construction (circular); only periods after it are out-of-sample. (4) A single k does not fix the non-constant ratio between cells, so cell-level variances remain indicative only.</t>
  </si>
  <si>
    <t xml:space="preserve">Orig Revenue (INR)</t>
  </si>
  <si>
    <t xml:space="preserve">Orig COGS (INR)</t>
  </si>
  <si>
    <t xml:space="preserve">Orig GP (INR)</t>
  </si>
  <si>
    <t xml:space="preserve">In scope (1/0)</t>
  </si>
  <si>
    <t xml:space="preserve">Calendar status</t>
  </si>
  <si>
    <t xml:space="preserve">v2 Revenue (INR)</t>
  </si>
  <si>
    <t xml:space="preserve">v2 COGS (INR)</t>
  </si>
  <si>
    <t xml:space="preserve">v2 GP (INR)</t>
  </si>
  <si>
    <t xml:space="preserve">Actual Revenue (INR)</t>
  </si>
  <si>
    <t xml:space="preserve">Actual GP (INR)</t>
  </si>
  <si>
    <t xml:space="preserve">Month no.</t>
  </si>
  <si>
    <t xml:space="preserve">Key</t>
  </si>
  <si>
    <t xml:space="preserve">Control Checks - Reconciliations &amp; Data Integrity</t>
  </si>
  <si>
    <t xml:space="preserve">Live formulas. Blue = hard-coded expected values taken from the source file's own Control_Checks sheet. Tolerance for INR sums = 0.01.</t>
  </si>
  <si>
    <t xml:space="preserve">Overall status</t>
  </si>
  <si>
    <t xml:space="preserve">#</t>
  </si>
  <si>
    <t xml:space="preserve">Group</t>
  </si>
  <si>
    <t xml:space="preserve">Control</t>
  </si>
  <si>
    <t xml:space="preserve">Method / calculation</t>
  </si>
  <si>
    <t xml:space="preserve">Expected</t>
  </si>
  <si>
    <t xml:space="preserve">Actual</t>
  </si>
  <si>
    <t xml:space="preserve">Difference</t>
  </si>
  <si>
    <t xml:space="preserve">Tolerance</t>
  </si>
  <si>
    <t xml:space="preserve">Result</t>
  </si>
  <si>
    <t xml:space="preserve">Exceptions</t>
  </si>
  <si>
    <t xml:space="preserve">Record counts</t>
  </si>
  <si>
    <t xml:space="preserve">Sales_Transactions rows</t>
  </si>
  <si>
    <t xml:space="preserve">Expected: source Control_Checks baseline. Actual: COUNTA of Invoice_ID.</t>
  </si>
  <si>
    <t xml:space="preserve">Actual-status rows</t>
  </si>
  <si>
    <t xml:space="preserve">Expected: source baseline. Actual: COUNTIF Status="Actual".</t>
  </si>
  <si>
    <t xml:space="preserve">Forecast-status rows</t>
  </si>
  <si>
    <t xml:space="preserve">Expected: source baseline. Actual: COUNTIF Status="Forecast".</t>
  </si>
  <si>
    <t xml:space="preserve">Rows with Status other than Actual/Forecast</t>
  </si>
  <si>
    <t xml:space="preserve">Expected 0. Actual: rows - Actual - Forecast.</t>
  </si>
  <si>
    <t xml:space="preserve">Blank cells in Sales_Transactions</t>
  </si>
  <si>
    <t xml:space="preserve">Expected 0. COUNTBLANK over A:K data range.</t>
  </si>
  <si>
    <t xml:space="preserve">Keys</t>
  </si>
  <si>
    <t xml:space="preserve">Unique Invoice_IDs</t>
  </si>
  <si>
    <t xml:space="preserve">Expected: source baseline. Actual: SUMPRODUCT(1/COUNTIF) distinct count.</t>
  </si>
  <si>
    <t xml:space="preserve">Duplicate Invoice_ID rows</t>
  </si>
  <si>
    <t xml:space="preserve">Expected 0. Rows - distinct Invoice_IDs.</t>
  </si>
  <si>
    <t xml:space="preserve">Unmatched Product_ID (Sales -&gt; Product_Master)</t>
  </si>
  <si>
    <t xml:space="preserve">Expected: source baseline. Rows whose Product_ID is absent from Product_Master.</t>
  </si>
  <si>
    <t xml:space="preserve">Unmatched Customer_ID (Sales -&gt; Customer_Master)</t>
  </si>
  <si>
    <t xml:space="preserve">Expected: source baseline. Rows whose Customer_ID is absent from Customer_Master.</t>
  </si>
  <si>
    <t xml:space="preserve">Unmatched Month (Sales -&gt; Calendar)</t>
  </si>
  <si>
    <t xml:space="preserve">Expected 0. Rows whose Month is absent from Calendar.</t>
  </si>
  <si>
    <t xml:space="preserve">Duplicate Product_ID in Product_Master</t>
  </si>
  <si>
    <t xml:space="preserve">Expected 0. Rows - distinct IDs.</t>
  </si>
  <si>
    <t xml:space="preserve">Duplicate Customer_ID in Customer_Master</t>
  </si>
  <si>
    <t xml:space="preserve">Transaction Status vs Calendar Reporting_Status mismatches</t>
  </si>
  <si>
    <t xml:space="preserve">Expected 0. Count of rows where Status &lt;&gt; Calendar.Reporting_Status (Calc_Actuals col V).</t>
  </si>
  <si>
    <t xml:space="preserve">Row arithmetic</t>
  </si>
  <si>
    <t xml:space="preserve">Net_Revenue &lt;&gt; Units x Net_Price (&gt;0.01)</t>
  </si>
  <si>
    <t xml:space="preserve">Expected 0 rows. SUMPRODUCT of ABS(F*G-I)&gt;0.01.</t>
  </si>
  <si>
    <t xml:space="preserve">COGS &lt;&gt; Units x Unit_Cost (&gt;0.01)</t>
  </si>
  <si>
    <t xml:space="preserve">Expected 0 rows. SUMPRODUCT of ABS(F*H-J)&gt;0.01.</t>
  </si>
  <si>
    <t xml:space="preserve">Gross_Profit &lt;&gt; Net_Revenue - COGS (&gt;0.01)</t>
  </si>
  <si>
    <t xml:space="preserve">Expected 0 rows. SUMPRODUCT of ABS(I-J-K)&gt;0.01.</t>
  </si>
  <si>
    <t xml:space="preserve">Non-positive Units / Net_Price / Unit_Cost</t>
  </si>
  <si>
    <t xml:space="preserve">Expected 0. COUNTIF &lt;=0 on the three columns.</t>
  </si>
  <si>
    <t xml:space="preserve">Reconciliation</t>
  </si>
  <si>
    <t xml:space="preserve">Net revenue: Monthly_MIS total vs raw source (Status=Actual)</t>
  </si>
  <si>
    <t xml:space="preserve">Expected: SUMIFS on raw Sales_Transactions col I. Actual: Monthly_MIS total row.</t>
  </si>
  <si>
    <t xml:space="preserve">Net revenue: Monthly_MIS total vs source-file baseline</t>
  </si>
  <si>
    <t xml:space="preserve">Expected: baseline in source Control_Checks sheet (hard-coded). Actual: Monthly_MIS total row.</t>
  </si>
  <si>
    <t xml:space="preserve">COGS: Monthly_MIS total vs raw source (Status=Actual)</t>
  </si>
  <si>
    <t xml:space="preserve">Expected: SUMIFS on raw Sales_Transactions col J. Actual: Monthly_MIS total row.</t>
  </si>
  <si>
    <t xml:space="preserve">COGS: Monthly_MIS total vs source-file baseline</t>
  </si>
  <si>
    <t xml:space="preserve">Gross profit: Monthly_MIS total vs raw source (Status=Actual)</t>
  </si>
  <si>
    <t xml:space="preserve">Expected: SUMIFS on raw Sales_Transactions col K. Actual: Monthly_MIS total row.</t>
  </si>
  <si>
    <t xml:space="preserve">Gross profit: Monthly_MIS total vs source-file baseline</t>
  </si>
  <si>
    <t xml:space="preserve">Net revenue: months where Monthly_MIS differs from raw SUMIFS by &gt;0.01</t>
  </si>
  <si>
    <t xml:space="preserve">Expected 0 months. Month-by-month comparison to Monthly_MIS cols L/M (SUMPRODUCT directly on raw Sales_Transactions).</t>
  </si>
  <si>
    <t xml:space="preserve">COGS: months where Monthly_MIS differs from raw SUMIFS by &gt;0.01</t>
  </si>
  <si>
    <t xml:space="preserve">Net revenue: Region_Performance total vs Monthly_MIS</t>
  </si>
  <si>
    <t xml:space="preserve">Expected: Monthly_MIS total. Actual: sum of regions.</t>
  </si>
  <si>
    <t xml:space="preserve">Net revenue: Product_Performance total vs Monthly_MIS</t>
  </si>
  <si>
    <t xml:space="preserve">Expected: Monthly_MIS total. Actual: sum of products.</t>
  </si>
  <si>
    <t xml:space="preserve">COGS: Region_Performance total vs Monthly_MIS</t>
  </si>
  <si>
    <t xml:space="preserve">COGS: Product_Performance total vs Monthly_MIS</t>
  </si>
  <si>
    <t xml:space="preserve">Gross profit: Region_Performance total vs Monthly_MIS</t>
  </si>
  <si>
    <t xml:space="preserve">Gross profit: Product_Performance total vs Monthly_MIS</t>
  </si>
  <si>
    <t xml:space="preserve">YTD current revenue: Region_Performance total vs Monthly_MIS period summary</t>
  </si>
  <si>
    <t xml:space="preserve">Expected: Monthly_MIS period summary (SUMIFS by Year/Month_No). Actual: sum of regions.</t>
  </si>
  <si>
    <t xml:space="preserve">YTD current revenue: Product_Performance total vs Monthly_MIS period summary</t>
  </si>
  <si>
    <t xml:space="preserve">Expected: Monthly_MIS period summary. Actual: sum of products.</t>
  </si>
  <si>
    <t xml:space="preserve">YTD prior-year revenue: Region_Performance total vs Monthly_MIS period summary</t>
  </si>
  <si>
    <t xml:space="preserve">YTD prior-year revenue: Product_Performance total vs Monthly_MIS period summary</t>
  </si>
  <si>
    <t xml:space="preserve">YTD gross profit (current): sum of region GP% x YTD revenue vs Monthly_MIS</t>
  </si>
  <si>
    <t xml:space="preserve">Expected: Monthly_MIS YTD gross profit. Actual: SUMPRODUCT(region YTD GP% x YTD revenue).</t>
  </si>
  <si>
    <t xml:space="preserve">YTD gross profit (current): sum of product GP% x YTD revenue vs Monthly_MIS</t>
  </si>
  <si>
    <t xml:space="preserve">Expected: Monthly_MIS YTD gross profit. Actual: SUMPRODUCT(product YTD GP% x YTD revenue).</t>
  </si>
  <si>
    <t xml:space="preserve">Net revenue: Category roll-up vs Monthly_MIS</t>
  </si>
  <si>
    <t xml:space="preserve">Expected: Monthly_MIS total. Actual: sum of categories.</t>
  </si>
  <si>
    <t xml:space="preserve">Gross profit identity on Monthly_MIS</t>
  </si>
  <si>
    <t xml:space="preserve">Expected: sum of raw Gross_Profit_INR (Actual). Actual: Revenue - COGS from Monthly_MIS total.</t>
  </si>
  <si>
    <t xml:space="preserve">Scope</t>
  </si>
  <si>
    <t xml:space="preserve">Forecast excluded: Monthly_MIS + Forecast revenue = all source revenue</t>
  </si>
  <si>
    <t xml:space="preserve">Expected: SUM of all raw Net_Revenue_INR. Actual: Monthly total + Forecast-status revenue.</t>
  </si>
  <si>
    <t xml:space="preserve">Forecast months appearing in Monthly_MIS</t>
  </si>
  <si>
    <t xml:space="preserve">Expected 0. Calendar months flagged Forecast that are listed in Monthly_MIS.</t>
  </si>
  <si>
    <t xml:space="preserve">Calendar Actual months vs months listed in Monthly_MIS</t>
  </si>
  <si>
    <t xml:space="preserve">Expected: count of Actual months in Calendar. Actual: months listed.</t>
  </si>
  <si>
    <t xml:space="preserve">Listed months with zero invoices</t>
  </si>
  <si>
    <t xml:space="preserve">Expected 0.</t>
  </si>
  <si>
    <t xml:space="preserve">Budget v2</t>
  </si>
  <si>
    <t xml:space="preserve">Original Sales_Budget carried unchanged into Budget_v2 (revenue)</t>
  </si>
  <si>
    <t xml:space="preserve">Expected: SUM of Sales_Budget revenue. Actual: SUM of original-revenue column in Budget_v2_Synthetic.</t>
  </si>
  <si>
    <t xml:space="preserve">Calibration identity: in-scope v2 budget = actual in calibration year</t>
  </si>
  <si>
    <t xml:space="preserve">Expected: actual revenue, calibration year. Actual: SUM of in-scope v2 budget, calibration year.</t>
  </si>
  <si>
    <t xml:space="preserve">v2 gross profit = v2 revenue - v2 COGS</t>
  </si>
  <si>
    <t xml:space="preserve">Expected: SUM v2 revenue - SUM v2 COGS. Actual: SUM v2 GP.</t>
  </si>
  <si>
    <t xml:space="preserve">Variance sheet actuals tie to Monthly_MIS (all actual sales in scope)</t>
  </si>
  <si>
    <t xml:space="preserve">Expected: Monthly_MIS total revenue. Actual: Budget_vs_Actual_v2 total actual.</t>
  </si>
  <si>
    <t xml:space="preserve">Budget months not found in Calendar</t>
  </si>
  <si>
    <t xml:space="preserve">Duplicate Month|Region|Category keys in budget</t>
  </si>
  <si>
    <t xml:space="preserve">Integrity</t>
  </si>
  <si>
    <t xml:space="preserve">Formula errors in Calc_Actuals / report sheets</t>
  </si>
  <si>
    <t xml:space="preserve">Expected 0. ISERROR count across Calc_Actuals and report tables.</t>
  </si>
  <si>
    <t xml:space="preserve">Rows flagged in Calc_Actuals (any exception)</t>
  </si>
  <si>
    <t xml:space="preserve">Expected 0. Filter Calc_Actuals col W = 1 to list exception invoices.</t>
  </si>
  <si>
    <t xml:space="preserve">Observations (information only - not pass/fail)</t>
  </si>
  <si>
    <t xml:space="preserve">Area</t>
  </si>
  <si>
    <t xml:space="preserve">Observation</t>
  </si>
  <si>
    <t xml:space="preserve">Calculation</t>
  </si>
  <si>
    <t xml:space="preserve">O1</t>
  </si>
  <si>
    <t xml:space="preserve">Budget scale</t>
  </si>
  <si>
    <t xml:space="preserve">Sales_Budget revenue for the same actual months vs actual net revenue (ratio)</t>
  </si>
  <si>
    <t xml:space="preserve">Sales_Budget revenue for listed actual months / Monthly_MIS total revenue (all 12 Region x Category cells)</t>
  </si>
  <si>
    <t xml:space="preserve">Budget is a separate scenario and is NOT compared with actuals. Scale mismatch needs business confirmation before any variance reporting.</t>
  </si>
  <si>
    <t xml:space="preserve">O2</t>
  </si>
  <si>
    <t xml:space="preserve">Operating_Expenses, Workforce, Inventory, Receivables sheets not used in Day-1 MIS</t>
  </si>
  <si>
    <t xml:space="preserve">Outside Day-1 scope (sales &amp; gross profit). Not copied; original file untouched.</t>
  </si>
  <si>
    <t xml:space="preserve">INFO</t>
  </si>
  <si>
    <t xml:space="preserve">In the source, Operating_Expenses.Actual_INR is blank on all 75 Forecast rows (expected for forecasts).</t>
  </si>
  <si>
    <t xml:space="preserve">O3</t>
  </si>
  <si>
    <t xml:space="preserve">Region vs product</t>
  </si>
  <si>
    <t xml:space="preserve">Maximum number of regions in which any single product sold (actual)</t>
  </si>
  <si>
    <t xml:space="preserve">MAX of Product_Performance col N. If 1, every product sells in one region only, so region and product effects cannot be separated.</t>
  </si>
  <si>
    <t xml:space="preserve">Region differences in revenue growth and margin are product-mix effects in this dataset; do not read them as regional performance without more data.</t>
  </si>
  <si>
    <t xml:space="preserve">Exception detail - build-time snapshot from an independent pandas scan (static; the live counts above are authoritative)</t>
  </si>
  <si>
    <t xml:space="preserve">-</t>
  </si>
  <si>
    <t xml:space="preserve">No exceptions found at build time.</t>
  </si>
  <si>
    <t xml:space="preserve">Validation Report - what was actually tested</t>
  </si>
  <si>
    <t xml:space="preserve">Written from the test run on this workbook build. Anything not listed here was NOT tested.</t>
  </si>
  <si>
    <t xml:space="preserve">What was done</t>
  </si>
  <si>
    <t xml:space="preserve">Evidence</t>
  </si>
  <si>
    <t xml:space="preserve">Source inspection and schema check</t>
  </si>
  <si>
    <t xml:space="preserve">All required sheets/columns validated; Status values validated; source file hashed before and after.</t>
  </si>
  <si>
    <t xml:space="preserve">PASS</t>
  </si>
  <si>
    <t xml:space="preserve">SHA-256 46de2957611b9534...</t>
  </si>
  <si>
    <t xml:space="preserve">Workbook control checks</t>
  </si>
  <si>
    <t xml:space="preserve">Recalculated headlessly in LibreOffice; every Control_Checks row read back.</t>
  </si>
  <si>
    <t xml:space="preserve">ALL 51 CHECKS PASS; PASS=51, FAIL=0 of 51.</t>
  </si>
  <si>
    <t xml:space="preserve">Independent recompute of report figures</t>
  </si>
  <si>
    <t xml:space="preserve">Re-derived Monthly_MIS, Region, Product, period summary and budget v2 variance from the source file in a separate pandas code path; compared to workbook values.</t>
  </si>
  <si>
    <t xml:space="preserve">325 figures compared; 0 differences.</t>
  </si>
  <si>
    <t xml:space="preserve">Formula error scan</t>
  </si>
  <si>
    <t xml:space="preserve">Scanned every cell of the recalculated workbook for Excel error values.</t>
  </si>
  <si>
    <t xml:space="preserve">0 error cells.</t>
  </si>
  <si>
    <t xml:space="preserve">Pipeline self-test record (fault injection, gating, release controls)</t>
  </si>
  <si>
    <t xml:space="preserve">Record bound to the combined SHA-256 of run_mis.py + mis_engine.py; must be current and fully passing. A stale or failing record blocks the run and blocks approval.</t>
  </si>
  <si>
    <t xml:space="preserve">68/68 self-tests passed at 2026-10-17T17:54:33Z; code hash 5afbee66355edddb...</t>
  </si>
  <si>
    <t xml:space="preserve">EXCEL DESKTOP REQUIRED: Open the candidate in Microsoft Excel Desktop (Windows or Mac)</t>
  </si>
  <si>
    <t xml:space="preserve">Not performed by this pipeline (no Microsoft Excel available).</t>
  </si>
  <si>
    <t xml:space="preserve">NOT DONE</t>
  </si>
  <si>
    <t xml:space="preserve">Expected: File opens without a repair prompt or "update links" warning.</t>
  </si>
  <si>
    <t xml:space="preserve">EXCEL DESKTOP REQUIRED: Force a full recalculation (Ctrl+Alt+F9) and read Control_Checks!C3</t>
  </si>
  <si>
    <t xml:space="preserve">Expected: Shows "ALL &lt;n&gt; CHECKS PASS"; no #NAME?/#VALUE!/#N/A anywhere.</t>
  </si>
  <si>
    <t xml:space="preserve">EXCEL DESKTOP REQUIRED: Compare Monthly_MIS totals and Executive_Summary KPIs with the run's validation_report.md</t>
  </si>
  <si>
    <t xml:space="preserve">Expected: Values equal the LibreOffice-recalculated values to the rupee.</t>
  </si>
  <si>
    <t xml:space="preserve">EXCEL DESKTOP REQUIRED: Check month-filter formulas (SUMIFS on numeric Year/Month_No; LOOKUP(2,1/...) for latest month)</t>
  </si>
  <si>
    <t xml:space="preserve">Expected: Monthly_MIS!B4 shows the latest actual month; monthly rows non-zero.</t>
  </si>
  <si>
    <t xml:space="preserve">EXCEL DESKTOP REQUIRED: Check Indian lakh/crore number format, conditional formatting (PASS green / FAIL red) and chart rendering</t>
  </si>
  <si>
    <t xml:space="preserve">Expected: Formats and 5-6 charts display as intended.</t>
  </si>
  <si>
    <t xml:space="preserve">EXCEL DESKTOP REQUIRED: Check calculation time on a normal laptop</t>
  </si>
  <si>
    <t xml:space="preserve">Expected: Full recalculation completes in a few seconds (SUMPRODUCT/COUNTIF arrays over ~900 rows).</t>
  </si>
  <si>
    <t xml:space="preserve">Audit trail strength</t>
  </si>
  <si>
    <t xml:space="preserve">Hash chain verified at run time.</t>
  </si>
  <si>
    <t xml:space="preserve">Edit-detecting only. NOT externally anchored: no anchor record has been stored outside the workspace.</t>
  </si>
  <si>
    <t xml:space="preserve">Not implemented</t>
  </si>
  <si>
    <t xml:space="preserve">Scheduling, unattended execution, live data refresh, email distribution, AI-model call, authenticated approver identity, cryptographic release signing.</t>
  </si>
  <si>
    <t xml:space="preserve">Run is started manually; approval is a separate manual step; approver name is typed text.</t>
  </si>
  <si>
    <t xml:space="preserve">Data Dictionary</t>
  </si>
  <si>
    <t xml:space="preserve">Source fields used, derived fields and report measures.</t>
  </si>
  <si>
    <t xml:space="preserve">Sheet</t>
  </si>
  <si>
    <t xml:space="preserve">Field</t>
  </si>
  <si>
    <t xml:space="preserve">Type</t>
  </si>
  <si>
    <t xml:space="preserve">Description</t>
  </si>
  <si>
    <t xml:space="preserve">Derivation / rule</t>
  </si>
  <si>
    <t xml:space="preserve">Sales_Transactions</t>
  </si>
  <si>
    <t xml:space="preserve">Invoice_ID</t>
  </si>
  <si>
    <t xml:space="preserve">Text</t>
  </si>
  <si>
    <t xml:space="preserve">Unique invoice identifier (INV-MM-nnn)</t>
  </si>
  <si>
    <t xml:space="preserve">Primary key; uniqueness tested</t>
  </si>
  <si>
    <t xml:space="preserve">Text YYYY-MM</t>
  </si>
  <si>
    <t xml:space="preserve">Reporting month</t>
  </si>
  <si>
    <t xml:space="preserve">Links to Calendar.Month</t>
  </si>
  <si>
    <t xml:space="preserve">Actual or Forecast</t>
  </si>
  <si>
    <t xml:space="preserve">Only "Actual" rows enter the MIS; cross-checked to Calendar.Reporting_Status</t>
  </si>
  <si>
    <t xml:space="preserve">Customer_ID / Product_ID</t>
  </si>
  <si>
    <t xml:space="preserve">Foreign keys</t>
  </si>
  <si>
    <t xml:space="preserve">To Customer_Master / Product_Master; unmatched keys tested</t>
  </si>
  <si>
    <t xml:space="preserve">Integer</t>
  </si>
  <si>
    <t xml:space="preserve">Units sold</t>
  </si>
  <si>
    <t xml:space="preserve">Must be &gt; 0</t>
  </si>
  <si>
    <t xml:space="preserve">Net_Price_INR / Unit_Cost_INR</t>
  </si>
  <si>
    <t xml:space="preserve">Decimal</t>
  </si>
  <si>
    <t xml:space="preserve">Net selling price and unit cost per unit, INR</t>
  </si>
  <si>
    <t xml:space="preserve">Net_Revenue_INR</t>
  </si>
  <si>
    <t xml:space="preserve">Net revenue, INR</t>
  </si>
  <si>
    <t xml:space="preserve">Source rule: Units x Net_Price_INR (re-performed in controls)</t>
  </si>
  <si>
    <t xml:space="preserve">COGS_INR</t>
  </si>
  <si>
    <t xml:space="preserve">Cost of goods sold, INR</t>
  </si>
  <si>
    <t xml:space="preserve">Source rule: Units x Unit_Cost_INR (re-performed in controls)</t>
  </si>
  <si>
    <t xml:space="preserve">Gross_Profit_INR</t>
  </si>
  <si>
    <t xml:space="preserve">Gross profit, INR</t>
  </si>
  <si>
    <t xml:space="preserve">Source rule: Net_Revenue - COGS (re-performed in controls)</t>
  </si>
  <si>
    <t xml:space="preserve">Product_Master</t>
  </si>
  <si>
    <t xml:space="preserve">Product_ID, Product_Name, Category</t>
  </si>
  <si>
    <t xml:space="preserve">Product attributes</t>
  </si>
  <si>
    <t xml:space="preserve">Lookup for product-wise and category analysis</t>
  </si>
  <si>
    <t xml:space="preserve">List_Price_INR, Standard_Cost_INR</t>
  </si>
  <si>
    <t xml:space="preserve">Reference list price / standard cost</t>
  </si>
  <si>
    <t xml:space="preserve">Not used in MIS measures</t>
  </si>
  <si>
    <t xml:space="preserve">Customer_Master</t>
  </si>
  <si>
    <t xml:space="preserve">Customer_ID, Customer_Name, Region, Channel</t>
  </si>
  <si>
    <t xml:space="preserve">Customer attributes</t>
  </si>
  <si>
    <t xml:space="preserve">Region used for region-wise analysis; Channel carried in Calc_Actuals only</t>
  </si>
  <si>
    <t xml:space="preserve">Calendar</t>
  </si>
  <si>
    <t xml:space="preserve">Month, Year, Quarter, Month_Name, Reporting_Status</t>
  </si>
  <si>
    <t xml:space="preserve">Text/Integer</t>
  </si>
  <si>
    <t xml:space="preserve">Reporting calendar with Actual/Forecast flag</t>
  </si>
  <si>
    <t xml:space="preserve">Drives latest actual month and status cross-check</t>
  </si>
  <si>
    <t xml:space="preserve">Sales_Budget</t>
  </si>
  <si>
    <t xml:space="preserve">All fields</t>
  </si>
  <si>
    <t xml:space="preserve">Mixed</t>
  </si>
  <si>
    <t xml:space="preserve">Budget scenario by Month x Region x Category</t>
  </si>
  <si>
    <t xml:space="preserve">Copied only; used for scale observation. Never mixed with actuals</t>
  </si>
  <si>
    <t xml:space="preserve">Calc_Actuals</t>
  </si>
  <si>
    <t xml:space="preserve">Region, Channel, Category, Product_Name</t>
  </si>
  <si>
    <t xml:space="preserve">Looked up attributes</t>
  </si>
  <si>
    <t xml:space="preserve">INDEX/MATCH to masters; "UNMATCHED" if key missing</t>
  </si>
  <si>
    <t xml:space="preserve">Year, Month_No, Calendar_Status</t>
  </si>
  <si>
    <t xml:space="preserve">Number/Text</t>
  </si>
  <si>
    <t xml:space="preserve">Period attributes</t>
  </si>
  <si>
    <t xml:space="preserve">From Calendar / RIGHT(Month,2)</t>
  </si>
  <si>
    <t xml:space="preserve">Units, Net_Revenue_INR, COGS_INR, Gross_Profit_INR</t>
  </si>
  <si>
    <t xml:space="preserve">Number</t>
  </si>
  <si>
    <t xml:space="preserve">Row-level measures</t>
  </si>
  <si>
    <t xml:space="preserve">Direct references to Sales_Transactions</t>
  </si>
  <si>
    <t xml:space="preserve">Flag_* , Any_Exception</t>
  </si>
  <si>
    <t xml:space="preserve">0/1</t>
  </si>
  <si>
    <t xml:space="preserve">Row-level exception flags</t>
  </si>
  <si>
    <t xml:space="preserve">Unmatched product/customer/month, duplicate invoice, arithmetic, status vs calendar</t>
  </si>
  <si>
    <t xml:space="preserve">Budget_v2_Synthetic</t>
  </si>
  <si>
    <t xml:space="preserve">k</t>
  </si>
  <si>
    <t xml:space="preserve">Uniform calibration factor</t>
  </si>
  <si>
    <t xml:space="preserve">FY(calibration year) actual revenue / original budget revenue in cells that have sales</t>
  </si>
  <si>
    <t xml:space="preserve">Region x Category cell has at least one actual sale in the source</t>
  </si>
  <si>
    <t xml:space="preserve">COUNTIFS on Calc_Actuals</t>
  </si>
  <si>
    <t xml:space="preserve">v2 Revenue / COGS / GP</t>
  </si>
  <si>
    <t xml:space="preserve">INR</t>
  </si>
  <si>
    <t xml:space="preserve">SYNTHETIC calibrated budget (unapproved)</t>
  </si>
  <si>
    <t xml:space="preserve">Original budget x k</t>
  </si>
  <si>
    <t xml:space="preserve">Budget_vs_Actual_v2</t>
  </si>
  <si>
    <t xml:space="preserve">Variance</t>
  </si>
  <si>
    <t xml:space="preserve">INR / %</t>
  </si>
  <si>
    <t xml:space="preserve">Actual - v2 budget, in-scope cells only</t>
  </si>
  <si>
    <t xml:space="preserve">Illustrative; calibration-year variance is ~0 by construction</t>
  </si>
  <si>
    <t xml:space="preserve">Product_Performance</t>
  </si>
  <si>
    <t xml:space="preserve">Number of regions in which the product has actual sales</t>
  </si>
  <si>
    <t xml:space="preserve">COUNTIFS on Calc_Actuals; 1 = region and product fully overlap</t>
  </si>
  <si>
    <t xml:space="preserve">Monthly_MIS</t>
  </si>
  <si>
    <t xml:space="preserve">Net Revenue / COGS</t>
  </si>
  <si>
    <t xml:space="preserve">Sum of Actual rows for month</t>
  </si>
  <si>
    <t xml:space="preserve">SUMIFS on Calc_Actuals, Status="Actual"</t>
  </si>
  <si>
    <t xml:space="preserve">Gross Profit</t>
  </si>
  <si>
    <t xml:space="preserve">Net Revenue - COGS</t>
  </si>
  <si>
    <t xml:space="preserve">Derived; reconciled to source Gross_Profit_INR</t>
  </si>
  <si>
    <t xml:space="preserve">%</t>
  </si>
  <si>
    <t xml:space="preserve">Gross Profit / Net Revenue</t>
  </si>
  <si>
    <t xml:space="preserve">Ratio of sums, never average of ratios</t>
  </si>
  <si>
    <t xml:space="preserve">MoM / YoY Revenue %</t>
  </si>
  <si>
    <t xml:space="preserve">Change vs prior month / same month prior year</t>
  </si>
  <si>
    <t xml:space="preserve">Shown "n/a" where comparative month is not in the actuals</t>
  </si>
  <si>
    <t xml:space="preserve">pp</t>
  </si>
  <si>
    <t xml:space="preserve">(GP% - prior-year GP%) x 100</t>
  </si>
  <si>
    <t xml:space="preserve">Region / Product sheets</t>
  </si>
  <si>
    <t xml:space="preserve">YTD columns</t>
  </si>
  <si>
    <t xml:space="preserve">Jan to latest actual month, current vs prior year</t>
  </si>
  <si>
    <t xml:space="preserve">Latest actual month read from Calendar (Monthly_MIS!B4)</t>
  </si>
  <si>
    <t xml:space="preserve">Item revenue / total actual revenue</t>
  </si>
  <si>
    <t xml:space="preserve">Automation Readme</t>
  </si>
  <si>
    <t xml:space="preserve">How this workbook is produced, how to rerun it, and what it does NOT do.</t>
  </si>
  <si>
    <t xml:space="preserve">Source</t>
  </si>
  <si>
    <t xml:space="preserve">Single input workbook (Nova CFO MIS synthetic dataset). Required sheets/columns are validated before building; a schema failure stops the run before any workbook is produced. The source file is read-only input and is never modified (SHA-256 recorded before and after). Source tables used are copied unchanged into this workbook (grey tabs).</t>
  </si>
  <si>
    <t xml:space="preserve">Actuals definition</t>
  </si>
  <si>
    <t xml:space="preserve">Rows with Sales_Transactions.Status = "Actual", cross-checked against Calendar.Reporting_Status (must agree on every row). Forecast and Budget never enter any actual figure.</t>
  </si>
  <si>
    <t xml:space="preserve">Formulas</t>
  </si>
  <si>
    <t xml:space="preserve">Net revenue = SUMIFS of Net_Revenue_INR; COGS = SUMIFS of COGS_INR; Gross profit = Net revenue - COGS; GP % = Gross profit / Net revenue (ratio of sums). All report cells are live Excel formulas over Calc_Actuals, which references the raw sheets. Month filters use numeric Year / Month_No (not date-like text) for Excel robustness.</t>
  </si>
  <si>
    <t xml:space="preserve">Budget handling</t>
  </si>
  <si>
    <t xml:space="preserve">Original Sales_Budget is carried unchanged and NOT used for variance because it is not comparable (see Budget_Integrity). Budget_v2_Synthetic is a separate, clearly labelled, UNAPPROVED calibrated version used only for illustration in Budget_vs_Actual_v2.</t>
  </si>
  <si>
    <t xml:space="preserve">One-command run</t>
  </si>
  <si>
    <t xml:space="preserve">python run_mis.py run --input &lt;dataset.xlsx&gt;  -&gt; validates input, builds the workbook, recalculates it, re-derives every figure independently, applies the publication gate, drafts commentary and writes an edit-detecting hash-chained audit log (not tamper-proof; not externally anchored unless you store its final hash elsewhere) under runs/&lt;run_id&gt;/. Candidate files are NOT published.</t>
  </si>
  <si>
    <t xml:space="preserve">Publication gate</t>
  </si>
  <si>
    <t xml:space="preserve">Any failed critical control (workbook controls, independent recompute, error scan, commentary validation, audit-chain integrity, source-unchanged check, and a current passing self-test record bound to the combined hash of run_mis.py + mis_engine.py) sets status BLOCKED; nothing can be approved. A stale, failing or missing self-test record is critical and cannot be overridden by --ack-warnings. Warnings (budget integrity, restatement of previously published months, region/product overlap) require explicit acknowledgement at approval.</t>
  </si>
  <si>
    <t xml:space="preserve">Human approval</t>
  </si>
  <si>
    <t xml:space="preserve">python run_mis.py approve --run &lt;run_id&gt; --by "&lt;name&gt;" [--ack-warnings]. Verifies the self-test record, audit chain, candidate manifest, archived input hash and code hash, then copies the candidate into a NEW immutable folder published/&lt;latest-month&gt;/&lt;run_id&gt;/ (never overwrites; prior releases kept; LATEST.json updated only after success). Approval is never automatic. Approver name is typed text, not an authenticated identity. Optional commands: anchor, verify-anchor (external hash record) and verify-release. The script cannot stop files being copied by hand outside the controlled folder: that needs folder permissions or a signed-release process.</t>
  </si>
  <si>
    <t xml:space="preserve">Dependencies</t>
  </si>
  <si>
    <t xml:space="preserve">Python 3, pandas, numpy, openpyxl, LibreOffice (headless recalculation). Excel Desktop is NOT used by the pipeline.</t>
  </si>
  <si>
    <t xml:space="preserve">What is NOT implemented</t>
  </si>
  <si>
    <t xml:space="preserve">No scheduling, no unattended trigger, no live data connection, no email/distribution, no authenticated approver identity, no cryptographic signing, no external audit anchoring (optional manual step only). The commentary is rule-based text generated from verified facts (an externally written commentary can be supplied with --commentary-file and is checked against the fact pack); no AI model is called by the script. Variance on an original budget is not implemented (only the flagged-budget v2 path). Behaviour in desktop Excel is untested (see Validation_Report).</t>
  </si>
  <si>
    <t xml:space="preserve">Limitations</t>
  </si>
  <si>
    <t xml:space="preserve">Commentary and the Budget_Integrity findings table are static text from build time. Revenue excludes GST, returns, rebates and intercompany. The number-grounding check validates magnitudes, not direction or causal wording. Synthetic data only; causes of trends cannot be derived from the dataset.</t>
  </si>
  <si>
    <t xml:space="preserve">Customer_ID</t>
  </si>
  <si>
    <t xml:space="preserve">Product_ID</t>
  </si>
  <si>
    <t xml:space="preserve">Channel</t>
  </si>
  <si>
    <t xml:space="preserve">Product_Name</t>
  </si>
  <si>
    <t xml:space="preserve">Month_No</t>
  </si>
  <si>
    <t xml:space="preserve">Calendar_Status</t>
  </si>
  <si>
    <t xml:space="preserve">Flag_Unmatched_Product</t>
  </si>
  <si>
    <t xml:space="preserve">Flag_Unmatched_Customer</t>
  </si>
  <si>
    <t xml:space="preserve">Flag_Unmatched_Month</t>
  </si>
  <si>
    <t xml:space="preserve">Flag_Duplicate_Invoice</t>
  </si>
  <si>
    <t xml:space="preserve">Flag_Arithmetic</t>
  </si>
  <si>
    <t xml:space="preserve">Flag_Status_vs_Calendar</t>
  </si>
  <si>
    <t xml:space="preserve">Any_Exception</t>
  </si>
  <si>
    <t xml:space="preserve">Net_Price_INR</t>
  </si>
  <si>
    <t xml:space="preserve">Unit_Cost_INR</t>
  </si>
  <si>
    <t xml:space="preserve">INV-01-001</t>
  </si>
  <si>
    <t xml:space="preserve">C001</t>
  </si>
  <si>
    <t xml:space="preserve">P001</t>
  </si>
  <si>
    <t xml:space="preserve">INV-01-002</t>
  </si>
  <si>
    <t xml:space="preserve">C008</t>
  </si>
  <si>
    <t xml:space="preserve">P006</t>
  </si>
  <si>
    <t xml:space="preserve">INV-01-003</t>
  </si>
  <si>
    <t xml:space="preserve">C015</t>
  </si>
  <si>
    <t xml:space="preserve">P003</t>
  </si>
  <si>
    <t xml:space="preserve">INV-01-004</t>
  </si>
  <si>
    <t xml:space="preserve">C022</t>
  </si>
  <si>
    <t xml:space="preserve">P008</t>
  </si>
  <si>
    <t xml:space="preserve">INV-01-005</t>
  </si>
  <si>
    <t xml:space="preserve">C029</t>
  </si>
  <si>
    <t xml:space="preserve">P005</t>
  </si>
  <si>
    <t xml:space="preserve">INV-01-006</t>
  </si>
  <si>
    <t xml:space="preserve">C036</t>
  </si>
  <si>
    <t xml:space="preserve">P002</t>
  </si>
  <si>
    <t xml:space="preserve">INV-01-007</t>
  </si>
  <si>
    <t xml:space="preserve">C043</t>
  </si>
  <si>
    <t xml:space="preserve">P007</t>
  </si>
  <si>
    <t xml:space="preserve">INV-01-008</t>
  </si>
  <si>
    <t xml:space="preserve">C002</t>
  </si>
  <si>
    <t xml:space="preserve">P004</t>
  </si>
  <si>
    <t xml:space="preserve">INV-01-009</t>
  </si>
  <si>
    <t xml:space="preserve">C009</t>
  </si>
  <si>
    <t xml:space="preserve">INV-01-010</t>
  </si>
  <si>
    <t xml:space="preserve">C016</t>
  </si>
  <si>
    <t xml:space="preserve">INV-01-011</t>
  </si>
  <si>
    <t xml:space="preserve">C023</t>
  </si>
  <si>
    <t xml:space="preserve">INV-01-012</t>
  </si>
  <si>
    <t xml:space="preserve">C030</t>
  </si>
  <si>
    <t xml:space="preserve">INV-01-013</t>
  </si>
  <si>
    <t xml:space="preserve">C037</t>
  </si>
  <si>
    <t xml:space="preserve">INV-01-014</t>
  </si>
  <si>
    <t xml:space="preserve">C044</t>
  </si>
  <si>
    <t xml:space="preserve">INV-01-015</t>
  </si>
  <si>
    <t xml:space="preserve">C003</t>
  </si>
  <si>
    <t xml:space="preserve">INV-01-016</t>
  </si>
  <si>
    <t xml:space="preserve">C010</t>
  </si>
  <si>
    <t xml:space="preserve">INV-01-017</t>
  </si>
  <si>
    <t xml:space="preserve">C017</t>
  </si>
  <si>
    <t xml:space="preserve">INV-01-018</t>
  </si>
  <si>
    <t xml:space="preserve">C024</t>
  </si>
  <si>
    <t xml:space="preserve">INV-01-019</t>
  </si>
  <si>
    <t xml:space="preserve">C031</t>
  </si>
  <si>
    <t xml:space="preserve">INV-01-020</t>
  </si>
  <si>
    <t xml:space="preserve">C038</t>
  </si>
  <si>
    <t xml:space="preserve">INV-01-021</t>
  </si>
  <si>
    <t xml:space="preserve">C045</t>
  </si>
  <si>
    <t xml:space="preserve">INV-01-022</t>
  </si>
  <si>
    <t xml:space="preserve">C004</t>
  </si>
  <si>
    <t xml:space="preserve">INV-01-023</t>
  </si>
  <si>
    <t xml:space="preserve">C011</t>
  </si>
  <si>
    <t xml:space="preserve">INV-01-024</t>
  </si>
  <si>
    <t xml:space="preserve">C018</t>
  </si>
  <si>
    <t xml:space="preserve">INV-01-025</t>
  </si>
  <si>
    <t xml:space="preserve">C025</t>
  </si>
  <si>
    <t xml:space="preserve">INV-01-026</t>
  </si>
  <si>
    <t xml:space="preserve">C032</t>
  </si>
  <si>
    <t xml:space="preserve">INV-01-027</t>
  </si>
  <si>
    <t xml:space="preserve">C039</t>
  </si>
  <si>
    <t xml:space="preserve">INV-01-028</t>
  </si>
  <si>
    <t xml:space="preserve">C046</t>
  </si>
  <si>
    <t xml:space="preserve">INV-01-029</t>
  </si>
  <si>
    <t xml:space="preserve">C005</t>
  </si>
  <si>
    <t xml:space="preserve">INV-01-030</t>
  </si>
  <si>
    <t xml:space="preserve">C012</t>
  </si>
  <si>
    <t xml:space="preserve">INV-01-031</t>
  </si>
  <si>
    <t xml:space="preserve">C019</t>
  </si>
  <si>
    <t xml:space="preserve">INV-01-032</t>
  </si>
  <si>
    <t xml:space="preserve">C026</t>
  </si>
  <si>
    <t xml:space="preserve">INV-01-033</t>
  </si>
  <si>
    <t xml:space="preserve">C033</t>
  </si>
  <si>
    <t xml:space="preserve">INV-01-034</t>
  </si>
  <si>
    <t xml:space="preserve">C040</t>
  </si>
  <si>
    <t xml:space="preserve">INV-01-035</t>
  </si>
  <si>
    <t xml:space="preserve">C047</t>
  </si>
  <si>
    <t xml:space="preserve">INV-01-036</t>
  </si>
  <si>
    <t xml:space="preserve">C006</t>
  </si>
  <si>
    <t xml:space="preserve">INV-02-001</t>
  </si>
  <si>
    <t xml:space="preserve">INV-02-002</t>
  </si>
  <si>
    <t xml:space="preserve">INV-02-003</t>
  </si>
  <si>
    <t xml:space="preserve">INV-02-004</t>
  </si>
  <si>
    <t xml:space="preserve">INV-02-005</t>
  </si>
  <si>
    <t xml:space="preserve">INV-02-006</t>
  </si>
  <si>
    <t xml:space="preserve">INV-02-007</t>
  </si>
  <si>
    <t xml:space="preserve">INV-02-008</t>
  </si>
  <si>
    <t xml:space="preserve">INV-02-009</t>
  </si>
  <si>
    <t xml:space="preserve">INV-02-010</t>
  </si>
  <si>
    <t xml:space="preserve">INV-02-011</t>
  </si>
  <si>
    <t xml:space="preserve">INV-02-012</t>
  </si>
  <si>
    <t xml:space="preserve">INV-02-013</t>
  </si>
  <si>
    <t xml:space="preserve">INV-02-014</t>
  </si>
  <si>
    <t xml:space="preserve">INV-02-015</t>
  </si>
  <si>
    <t xml:space="preserve">INV-02-016</t>
  </si>
  <si>
    <t xml:space="preserve">C013</t>
  </si>
  <si>
    <t xml:space="preserve">INV-02-017</t>
  </si>
  <si>
    <t xml:space="preserve">C020</t>
  </si>
  <si>
    <t xml:space="preserve">INV-02-018</t>
  </si>
  <si>
    <t xml:space="preserve">C027</t>
  </si>
  <si>
    <t xml:space="preserve">INV-02-019</t>
  </si>
  <si>
    <t xml:space="preserve">C034</t>
  </si>
  <si>
    <t xml:space="preserve">INV-02-020</t>
  </si>
  <si>
    <t xml:space="preserve">C041</t>
  </si>
  <si>
    <t xml:space="preserve">INV-02-021</t>
  </si>
  <si>
    <t xml:space="preserve">C048</t>
  </si>
  <si>
    <t xml:space="preserve">INV-02-022</t>
  </si>
  <si>
    <t xml:space="preserve">C007</t>
  </si>
  <si>
    <t xml:space="preserve">INV-02-023</t>
  </si>
  <si>
    <t xml:space="preserve">C014</t>
  </si>
  <si>
    <t xml:space="preserve">INV-02-024</t>
  </si>
  <si>
    <t xml:space="preserve">C021</t>
  </si>
  <si>
    <t xml:space="preserve">INV-02-025</t>
  </si>
  <si>
    <t xml:space="preserve">C028</t>
  </si>
  <si>
    <t xml:space="preserve">INV-02-026</t>
  </si>
  <si>
    <t xml:space="preserve">C035</t>
  </si>
  <si>
    <t xml:space="preserve">INV-02-027</t>
  </si>
  <si>
    <t xml:space="preserve">C042</t>
  </si>
  <si>
    <t xml:space="preserve">INV-02-028</t>
  </si>
  <si>
    <t xml:space="preserve">INV-02-029</t>
  </si>
  <si>
    <t xml:space="preserve">INV-02-030</t>
  </si>
  <si>
    <t xml:space="preserve">INV-02-031</t>
  </si>
  <si>
    <t xml:space="preserve">INV-02-032</t>
  </si>
  <si>
    <t xml:space="preserve">INV-02-033</t>
  </si>
  <si>
    <t xml:space="preserve">INV-02-034</t>
  </si>
  <si>
    <t xml:space="preserve">INV-02-035</t>
  </si>
  <si>
    <t xml:space="preserve">INV-02-036</t>
  </si>
  <si>
    <t xml:space="preserve">INV-03-001</t>
  </si>
  <si>
    <t xml:space="preserve">INV-03-002</t>
  </si>
  <si>
    <t xml:space="preserve">INV-03-003</t>
  </si>
  <si>
    <t xml:space="preserve">INV-03-004</t>
  </si>
  <si>
    <t xml:space="preserve">INV-03-005</t>
  </si>
  <si>
    <t xml:space="preserve">INV-03-006</t>
  </si>
  <si>
    <t xml:space="preserve">INV-03-007</t>
  </si>
  <si>
    <t xml:space="preserve">INV-03-008</t>
  </si>
  <si>
    <t xml:space="preserve">INV-03-009</t>
  </si>
  <si>
    <t xml:space="preserve">INV-03-010</t>
  </si>
  <si>
    <t xml:space="preserve">INV-03-011</t>
  </si>
  <si>
    <t xml:space="preserve">INV-03-012</t>
  </si>
  <si>
    <t xml:space="preserve">INV-03-013</t>
  </si>
  <si>
    <t xml:space="preserve">INV-03-014</t>
  </si>
  <si>
    <t xml:space="preserve">INV-03-015</t>
  </si>
  <si>
    <t xml:space="preserve">INV-03-016</t>
  </si>
  <si>
    <t xml:space="preserve">INV-03-017</t>
  </si>
  <si>
    <t xml:space="preserve">INV-03-018</t>
  </si>
  <si>
    <t xml:space="preserve">INV-03-019</t>
  </si>
  <si>
    <t xml:space="preserve">INV-03-020</t>
  </si>
  <si>
    <t xml:space="preserve">INV-03-021</t>
  </si>
  <si>
    <t xml:space="preserve">INV-03-022</t>
  </si>
  <si>
    <t xml:space="preserve">INV-03-023</t>
  </si>
  <si>
    <t xml:space="preserve">INV-03-024</t>
  </si>
  <si>
    <t xml:space="preserve">INV-03-025</t>
  </si>
  <si>
    <t xml:space="preserve">INV-03-026</t>
  </si>
  <si>
    <t xml:space="preserve">INV-03-027</t>
  </si>
  <si>
    <t xml:space="preserve">INV-03-028</t>
  </si>
  <si>
    <t xml:space="preserve">INV-03-029</t>
  </si>
  <si>
    <t xml:space="preserve">INV-03-030</t>
  </si>
  <si>
    <t xml:space="preserve">INV-03-031</t>
  </si>
  <si>
    <t xml:space="preserve">INV-03-032</t>
  </si>
  <si>
    <t xml:space="preserve">INV-03-033</t>
  </si>
  <si>
    <t xml:space="preserve">INV-03-034</t>
  </si>
  <si>
    <t xml:space="preserve">INV-03-035</t>
  </si>
  <si>
    <t xml:space="preserve">INV-03-036</t>
  </si>
  <si>
    <t xml:space="preserve">INV-04-001</t>
  </si>
  <si>
    <t xml:space="preserve">INV-04-002</t>
  </si>
  <si>
    <t xml:space="preserve">INV-04-003</t>
  </si>
  <si>
    <t xml:space="preserve">INV-04-004</t>
  </si>
  <si>
    <t xml:space="preserve">INV-04-005</t>
  </si>
  <si>
    <t xml:space="preserve">INV-04-006</t>
  </si>
  <si>
    <t xml:space="preserve">INV-04-007</t>
  </si>
  <si>
    <t xml:space="preserve">INV-04-008</t>
  </si>
  <si>
    <t xml:space="preserve">INV-04-009</t>
  </si>
  <si>
    <t xml:space="preserve">INV-04-010</t>
  </si>
  <si>
    <t xml:space="preserve">INV-04-011</t>
  </si>
  <si>
    <t xml:space="preserve">INV-04-012</t>
  </si>
  <si>
    <t xml:space="preserve">INV-04-013</t>
  </si>
  <si>
    <t xml:space="preserve">INV-04-014</t>
  </si>
  <si>
    <t xml:space="preserve">INV-04-015</t>
  </si>
  <si>
    <t xml:space="preserve">INV-04-016</t>
  </si>
  <si>
    <t xml:space="preserve">INV-04-017</t>
  </si>
  <si>
    <t xml:space="preserve">INV-04-018</t>
  </si>
  <si>
    <t xml:space="preserve">INV-04-019</t>
  </si>
  <si>
    <t xml:space="preserve">INV-04-020</t>
  </si>
  <si>
    <t xml:space="preserve">INV-04-021</t>
  </si>
  <si>
    <t xml:space="preserve">INV-04-022</t>
  </si>
  <si>
    <t xml:space="preserve">INV-04-023</t>
  </si>
  <si>
    <t xml:space="preserve">INV-04-024</t>
  </si>
  <si>
    <t xml:space="preserve">INV-04-025</t>
  </si>
  <si>
    <t xml:space="preserve">INV-04-026</t>
  </si>
  <si>
    <t xml:space="preserve">INV-04-027</t>
  </si>
  <si>
    <t xml:space="preserve">INV-04-028</t>
  </si>
  <si>
    <t xml:space="preserve">INV-04-029</t>
  </si>
  <si>
    <t xml:space="preserve">INV-04-030</t>
  </si>
  <si>
    <t xml:space="preserve">INV-04-031</t>
  </si>
  <si>
    <t xml:space="preserve">INV-04-032</t>
  </si>
  <si>
    <t xml:space="preserve">INV-04-033</t>
  </si>
  <si>
    <t xml:space="preserve">INV-04-034</t>
  </si>
  <si>
    <t xml:space="preserve">INV-04-035</t>
  </si>
  <si>
    <t xml:space="preserve">INV-04-036</t>
  </si>
  <si>
    <t xml:space="preserve">INV-05-001</t>
  </si>
  <si>
    <t xml:space="preserve">INV-05-002</t>
  </si>
  <si>
    <t xml:space="preserve">INV-05-003</t>
  </si>
  <si>
    <t xml:space="preserve">INV-05-004</t>
  </si>
  <si>
    <t xml:space="preserve">INV-05-005</t>
  </si>
  <si>
    <t xml:space="preserve">INV-05-006</t>
  </si>
  <si>
    <t xml:space="preserve">INV-05-007</t>
  </si>
  <si>
    <t xml:space="preserve">INV-05-008</t>
  </si>
  <si>
    <t xml:space="preserve">INV-05-009</t>
  </si>
  <si>
    <t xml:space="preserve">INV-05-010</t>
  </si>
  <si>
    <t xml:space="preserve">INV-05-011</t>
  </si>
  <si>
    <t xml:space="preserve">INV-05-012</t>
  </si>
  <si>
    <t xml:space="preserve">INV-05-013</t>
  </si>
  <si>
    <t xml:space="preserve">INV-05-014</t>
  </si>
  <si>
    <t xml:space="preserve">INV-05-015</t>
  </si>
  <si>
    <t xml:space="preserve">INV-05-016</t>
  </si>
  <si>
    <t xml:space="preserve">INV-05-017</t>
  </si>
  <si>
    <t xml:space="preserve">INV-05-018</t>
  </si>
  <si>
    <t xml:space="preserve">INV-05-019</t>
  </si>
  <si>
    <t xml:space="preserve">INV-05-020</t>
  </si>
  <si>
    <t xml:space="preserve">INV-05-021</t>
  </si>
  <si>
    <t xml:space="preserve">INV-05-022</t>
  </si>
  <si>
    <t xml:space="preserve">INV-05-023</t>
  </si>
  <si>
    <t xml:space="preserve">INV-05-024</t>
  </si>
  <si>
    <t xml:space="preserve">INV-05-025</t>
  </si>
  <si>
    <t xml:space="preserve">INV-05-026</t>
  </si>
  <si>
    <t xml:space="preserve">INV-05-027</t>
  </si>
  <si>
    <t xml:space="preserve">INV-05-028</t>
  </si>
  <si>
    <t xml:space="preserve">INV-05-029</t>
  </si>
  <si>
    <t xml:space="preserve">INV-05-030</t>
  </si>
  <si>
    <t xml:space="preserve">INV-05-031</t>
  </si>
  <si>
    <t xml:space="preserve">INV-05-032</t>
  </si>
  <si>
    <t xml:space="preserve">INV-05-033</t>
  </si>
  <si>
    <t xml:space="preserve">INV-05-034</t>
  </si>
  <si>
    <t xml:space="preserve">INV-05-035</t>
  </si>
  <si>
    <t xml:space="preserve">INV-05-036</t>
  </si>
  <si>
    <t xml:space="preserve">INV-06-001</t>
  </si>
  <si>
    <t xml:space="preserve">INV-06-002</t>
  </si>
  <si>
    <t xml:space="preserve">INV-06-003</t>
  </si>
  <si>
    <t xml:space="preserve">INV-06-004</t>
  </si>
  <si>
    <t xml:space="preserve">INV-06-005</t>
  </si>
  <si>
    <t xml:space="preserve">INV-06-006</t>
  </si>
  <si>
    <t xml:space="preserve">INV-06-007</t>
  </si>
  <si>
    <t xml:space="preserve">INV-06-008</t>
  </si>
  <si>
    <t xml:space="preserve">INV-06-009</t>
  </si>
  <si>
    <t xml:space="preserve">INV-06-010</t>
  </si>
  <si>
    <t xml:space="preserve">INV-06-011</t>
  </si>
  <si>
    <t xml:space="preserve">INV-06-012</t>
  </si>
  <si>
    <t xml:space="preserve">INV-06-013</t>
  </si>
  <si>
    <t xml:space="preserve">INV-06-014</t>
  </si>
  <si>
    <t xml:space="preserve">INV-06-015</t>
  </si>
  <si>
    <t xml:space="preserve">INV-06-016</t>
  </si>
  <si>
    <t xml:space="preserve">INV-06-017</t>
  </si>
  <si>
    <t xml:space="preserve">INV-06-018</t>
  </si>
  <si>
    <t xml:space="preserve">INV-06-019</t>
  </si>
  <si>
    <t xml:space="preserve">INV-06-020</t>
  </si>
  <si>
    <t xml:space="preserve">INV-06-021</t>
  </si>
  <si>
    <t xml:space="preserve">INV-06-022</t>
  </si>
  <si>
    <t xml:space="preserve">INV-06-023</t>
  </si>
  <si>
    <t xml:space="preserve">INV-06-024</t>
  </si>
  <si>
    <t xml:space="preserve">INV-06-025</t>
  </si>
  <si>
    <t xml:space="preserve">INV-06-026</t>
  </si>
  <si>
    <t xml:space="preserve">INV-06-027</t>
  </si>
  <si>
    <t xml:space="preserve">INV-06-028</t>
  </si>
  <si>
    <t xml:space="preserve">INV-06-029</t>
  </si>
  <si>
    <t xml:space="preserve">INV-06-030</t>
  </si>
  <si>
    <t xml:space="preserve">INV-06-031</t>
  </si>
  <si>
    <t xml:space="preserve">INV-06-032</t>
  </si>
  <si>
    <t xml:space="preserve">INV-06-033</t>
  </si>
  <si>
    <t xml:space="preserve">INV-06-034</t>
  </si>
  <si>
    <t xml:space="preserve">INV-06-035</t>
  </si>
  <si>
    <t xml:space="preserve">INV-06-036</t>
  </si>
  <si>
    <t xml:space="preserve">INV-07-001</t>
  </si>
  <si>
    <t xml:space="preserve">INV-07-002</t>
  </si>
  <si>
    <t xml:space="preserve">INV-07-003</t>
  </si>
  <si>
    <t xml:space="preserve">INV-07-004</t>
  </si>
  <si>
    <t xml:space="preserve">INV-07-005</t>
  </si>
  <si>
    <t xml:space="preserve">INV-07-006</t>
  </si>
  <si>
    <t xml:space="preserve">INV-07-007</t>
  </si>
  <si>
    <t xml:space="preserve">INV-07-008</t>
  </si>
  <si>
    <t xml:space="preserve">INV-07-009</t>
  </si>
  <si>
    <t xml:space="preserve">INV-07-010</t>
  </si>
  <si>
    <t xml:space="preserve">INV-07-011</t>
  </si>
  <si>
    <t xml:space="preserve">INV-07-012</t>
  </si>
  <si>
    <t xml:space="preserve">INV-07-013</t>
  </si>
  <si>
    <t xml:space="preserve">INV-07-014</t>
  </si>
  <si>
    <t xml:space="preserve">INV-07-015</t>
  </si>
  <si>
    <t xml:space="preserve">INV-07-016</t>
  </si>
  <si>
    <t xml:space="preserve">INV-07-017</t>
  </si>
  <si>
    <t xml:space="preserve">INV-07-018</t>
  </si>
  <si>
    <t xml:space="preserve">INV-07-019</t>
  </si>
  <si>
    <t xml:space="preserve">INV-07-020</t>
  </si>
  <si>
    <t xml:space="preserve">INV-07-021</t>
  </si>
  <si>
    <t xml:space="preserve">INV-07-022</t>
  </si>
  <si>
    <t xml:space="preserve">INV-07-023</t>
  </si>
  <si>
    <t xml:space="preserve">INV-07-024</t>
  </si>
  <si>
    <t xml:space="preserve">INV-07-025</t>
  </si>
  <si>
    <t xml:space="preserve">INV-07-026</t>
  </si>
  <si>
    <t xml:space="preserve">INV-07-027</t>
  </si>
  <si>
    <t xml:space="preserve">INV-07-028</t>
  </si>
  <si>
    <t xml:space="preserve">INV-07-029</t>
  </si>
  <si>
    <t xml:space="preserve">INV-07-030</t>
  </si>
  <si>
    <t xml:space="preserve">INV-07-031</t>
  </si>
  <si>
    <t xml:space="preserve">INV-07-032</t>
  </si>
  <si>
    <t xml:space="preserve">INV-07-033</t>
  </si>
  <si>
    <t xml:space="preserve">INV-07-034</t>
  </si>
  <si>
    <t xml:space="preserve">INV-07-035</t>
  </si>
  <si>
    <t xml:space="preserve">INV-07-036</t>
  </si>
  <si>
    <t xml:space="preserve">INV-08-001</t>
  </si>
  <si>
    <t xml:space="preserve">INV-08-002</t>
  </si>
  <si>
    <t xml:space="preserve">INV-08-003</t>
  </si>
  <si>
    <t xml:space="preserve">INV-08-004</t>
  </si>
  <si>
    <t xml:space="preserve">INV-08-005</t>
  </si>
  <si>
    <t xml:space="preserve">INV-08-006</t>
  </si>
  <si>
    <t xml:space="preserve">INV-08-007</t>
  </si>
  <si>
    <t xml:space="preserve">INV-08-008</t>
  </si>
  <si>
    <t xml:space="preserve">INV-08-009</t>
  </si>
  <si>
    <t xml:space="preserve">INV-08-010</t>
  </si>
  <si>
    <t xml:space="preserve">INV-08-011</t>
  </si>
  <si>
    <t xml:space="preserve">INV-08-012</t>
  </si>
  <si>
    <t xml:space="preserve">INV-08-013</t>
  </si>
  <si>
    <t xml:space="preserve">INV-08-014</t>
  </si>
  <si>
    <t xml:space="preserve">INV-08-015</t>
  </si>
  <si>
    <t xml:space="preserve">INV-08-016</t>
  </si>
  <si>
    <t xml:space="preserve">INV-08-017</t>
  </si>
  <si>
    <t xml:space="preserve">INV-08-018</t>
  </si>
  <si>
    <t xml:space="preserve">INV-08-019</t>
  </si>
  <si>
    <t xml:space="preserve">INV-08-020</t>
  </si>
  <si>
    <t xml:space="preserve">INV-08-021</t>
  </si>
  <si>
    <t xml:space="preserve">INV-08-022</t>
  </si>
  <si>
    <t xml:space="preserve">INV-08-023</t>
  </si>
  <si>
    <t xml:space="preserve">INV-08-024</t>
  </si>
  <si>
    <t xml:space="preserve">INV-08-025</t>
  </si>
  <si>
    <t xml:space="preserve">INV-08-026</t>
  </si>
  <si>
    <t xml:space="preserve">INV-08-027</t>
  </si>
  <si>
    <t xml:space="preserve">INV-08-028</t>
  </si>
  <si>
    <t xml:space="preserve">INV-08-029</t>
  </si>
  <si>
    <t xml:space="preserve">INV-08-030</t>
  </si>
  <si>
    <t xml:space="preserve">INV-08-031</t>
  </si>
  <si>
    <t xml:space="preserve">INV-08-032</t>
  </si>
  <si>
    <t xml:space="preserve">INV-08-033</t>
  </si>
  <si>
    <t xml:space="preserve">INV-08-034</t>
  </si>
  <si>
    <t xml:space="preserve">INV-08-035</t>
  </si>
  <si>
    <t xml:space="preserve">INV-08-036</t>
  </si>
  <si>
    <t xml:space="preserve">INV-09-001</t>
  </si>
  <si>
    <t xml:space="preserve">INV-09-002</t>
  </si>
  <si>
    <t xml:space="preserve">INV-09-003</t>
  </si>
  <si>
    <t xml:space="preserve">INV-09-004</t>
  </si>
  <si>
    <t xml:space="preserve">INV-09-005</t>
  </si>
  <si>
    <t xml:space="preserve">INV-09-006</t>
  </si>
  <si>
    <t xml:space="preserve">INV-09-007</t>
  </si>
  <si>
    <t xml:space="preserve">INV-09-008</t>
  </si>
  <si>
    <t xml:space="preserve">INV-09-009</t>
  </si>
  <si>
    <t xml:space="preserve">INV-09-010</t>
  </si>
  <si>
    <t xml:space="preserve">INV-09-011</t>
  </si>
  <si>
    <t xml:space="preserve">INV-09-012</t>
  </si>
  <si>
    <t xml:space="preserve">INV-09-013</t>
  </si>
  <si>
    <t xml:space="preserve">INV-09-014</t>
  </si>
  <si>
    <t xml:space="preserve">INV-09-015</t>
  </si>
  <si>
    <t xml:space="preserve">INV-09-016</t>
  </si>
  <si>
    <t xml:space="preserve">INV-09-017</t>
  </si>
  <si>
    <t xml:space="preserve">INV-09-018</t>
  </si>
  <si>
    <t xml:space="preserve">INV-09-019</t>
  </si>
  <si>
    <t xml:space="preserve">INV-09-020</t>
  </si>
  <si>
    <t xml:space="preserve">INV-09-021</t>
  </si>
  <si>
    <t xml:space="preserve">INV-09-022</t>
  </si>
  <si>
    <t xml:space="preserve">INV-09-023</t>
  </si>
  <si>
    <t xml:space="preserve">INV-09-024</t>
  </si>
  <si>
    <t xml:space="preserve">INV-09-025</t>
  </si>
  <si>
    <t xml:space="preserve">INV-09-026</t>
  </si>
  <si>
    <t xml:space="preserve">INV-09-027</t>
  </si>
  <si>
    <t xml:space="preserve">INV-09-028</t>
  </si>
  <si>
    <t xml:space="preserve">INV-09-029</t>
  </si>
  <si>
    <t xml:space="preserve">INV-09-030</t>
  </si>
  <si>
    <t xml:space="preserve">INV-09-031</t>
  </si>
  <si>
    <t xml:space="preserve">INV-09-032</t>
  </si>
  <si>
    <t xml:space="preserve">INV-09-033</t>
  </si>
  <si>
    <t xml:space="preserve">INV-09-034</t>
  </si>
  <si>
    <t xml:space="preserve">INV-09-035</t>
  </si>
  <si>
    <t xml:space="preserve">INV-09-036</t>
  </si>
  <si>
    <t xml:space="preserve">INV-10-001</t>
  </si>
  <si>
    <t xml:space="preserve">INV-10-002</t>
  </si>
  <si>
    <t xml:space="preserve">INV-10-003</t>
  </si>
  <si>
    <t xml:space="preserve">INV-10-004</t>
  </si>
  <si>
    <t xml:space="preserve">INV-10-005</t>
  </si>
  <si>
    <t xml:space="preserve">INV-10-006</t>
  </si>
  <si>
    <t xml:space="preserve">INV-10-007</t>
  </si>
  <si>
    <t xml:space="preserve">INV-10-008</t>
  </si>
  <si>
    <t xml:space="preserve">INV-10-009</t>
  </si>
  <si>
    <t xml:space="preserve">INV-10-010</t>
  </si>
  <si>
    <t xml:space="preserve">INV-10-011</t>
  </si>
  <si>
    <t xml:space="preserve">INV-10-012</t>
  </si>
  <si>
    <t xml:space="preserve">INV-10-013</t>
  </si>
  <si>
    <t xml:space="preserve">INV-10-014</t>
  </si>
  <si>
    <t xml:space="preserve">INV-10-015</t>
  </si>
  <si>
    <t xml:space="preserve">INV-10-016</t>
  </si>
  <si>
    <t xml:space="preserve">INV-10-017</t>
  </si>
  <si>
    <t xml:space="preserve">INV-10-018</t>
  </si>
  <si>
    <t xml:space="preserve">INV-10-019</t>
  </si>
  <si>
    <t xml:space="preserve">INV-10-020</t>
  </si>
  <si>
    <t xml:space="preserve">INV-10-021</t>
  </si>
  <si>
    <t xml:space="preserve">INV-10-022</t>
  </si>
  <si>
    <t xml:space="preserve">INV-10-023</t>
  </si>
  <si>
    <t xml:space="preserve">INV-10-024</t>
  </si>
  <si>
    <t xml:space="preserve">INV-10-025</t>
  </si>
  <si>
    <t xml:space="preserve">INV-10-026</t>
  </si>
  <si>
    <t xml:space="preserve">INV-10-027</t>
  </si>
  <si>
    <t xml:space="preserve">INV-10-028</t>
  </si>
  <si>
    <t xml:space="preserve">INV-10-029</t>
  </si>
  <si>
    <t xml:space="preserve">INV-10-030</t>
  </si>
  <si>
    <t xml:space="preserve">INV-10-031</t>
  </si>
  <si>
    <t xml:space="preserve">INV-10-032</t>
  </si>
  <si>
    <t xml:space="preserve">INV-10-033</t>
  </si>
  <si>
    <t xml:space="preserve">INV-10-034</t>
  </si>
  <si>
    <t xml:space="preserve">INV-10-035</t>
  </si>
  <si>
    <t xml:space="preserve">INV-10-036</t>
  </si>
  <si>
    <t xml:space="preserve">INV-11-001</t>
  </si>
  <si>
    <t xml:space="preserve">INV-11-002</t>
  </si>
  <si>
    <t xml:space="preserve">INV-11-003</t>
  </si>
  <si>
    <t xml:space="preserve">INV-11-004</t>
  </si>
  <si>
    <t xml:space="preserve">INV-11-005</t>
  </si>
  <si>
    <t xml:space="preserve">INV-11-006</t>
  </si>
  <si>
    <t xml:space="preserve">INV-11-007</t>
  </si>
  <si>
    <t xml:space="preserve">INV-11-008</t>
  </si>
  <si>
    <t xml:space="preserve">INV-11-009</t>
  </si>
  <si>
    <t xml:space="preserve">INV-11-010</t>
  </si>
  <si>
    <t xml:space="preserve">INV-11-011</t>
  </si>
  <si>
    <t xml:space="preserve">INV-11-012</t>
  </si>
  <si>
    <t xml:space="preserve">INV-11-013</t>
  </si>
  <si>
    <t xml:space="preserve">INV-11-014</t>
  </si>
  <si>
    <t xml:space="preserve">INV-11-015</t>
  </si>
  <si>
    <t xml:space="preserve">INV-11-016</t>
  </si>
  <si>
    <t xml:space="preserve">INV-11-017</t>
  </si>
  <si>
    <t xml:space="preserve">INV-11-018</t>
  </si>
  <si>
    <t xml:space="preserve">INV-11-019</t>
  </si>
  <si>
    <t xml:space="preserve">INV-11-020</t>
  </si>
  <si>
    <t xml:space="preserve">INV-11-021</t>
  </si>
  <si>
    <t xml:space="preserve">INV-11-022</t>
  </si>
  <si>
    <t xml:space="preserve">INV-11-023</t>
  </si>
  <si>
    <t xml:space="preserve">INV-11-024</t>
  </si>
  <si>
    <t xml:space="preserve">INV-11-025</t>
  </si>
  <si>
    <t xml:space="preserve">INV-11-026</t>
  </si>
  <si>
    <t xml:space="preserve">INV-11-027</t>
  </si>
  <si>
    <t xml:space="preserve">INV-11-028</t>
  </si>
  <si>
    <t xml:space="preserve">INV-11-029</t>
  </si>
  <si>
    <t xml:space="preserve">INV-11-030</t>
  </si>
  <si>
    <t xml:space="preserve">INV-11-031</t>
  </si>
  <si>
    <t xml:space="preserve">INV-11-032</t>
  </si>
  <si>
    <t xml:space="preserve">INV-11-033</t>
  </si>
  <si>
    <t xml:space="preserve">INV-11-034</t>
  </si>
  <si>
    <t xml:space="preserve">INV-11-035</t>
  </si>
  <si>
    <t xml:space="preserve">INV-11-036</t>
  </si>
  <si>
    <t xml:space="preserve">INV-12-001</t>
  </si>
  <si>
    <t xml:space="preserve">INV-12-002</t>
  </si>
  <si>
    <t xml:space="preserve">INV-12-003</t>
  </si>
  <si>
    <t xml:space="preserve">INV-12-004</t>
  </si>
  <si>
    <t xml:space="preserve">INV-12-005</t>
  </si>
  <si>
    <t xml:space="preserve">INV-12-006</t>
  </si>
  <si>
    <t xml:space="preserve">INV-12-007</t>
  </si>
  <si>
    <t xml:space="preserve">INV-12-008</t>
  </si>
  <si>
    <t xml:space="preserve">INV-12-009</t>
  </si>
  <si>
    <t xml:space="preserve">INV-12-010</t>
  </si>
  <si>
    <t xml:space="preserve">INV-12-011</t>
  </si>
  <si>
    <t xml:space="preserve">INV-12-012</t>
  </si>
  <si>
    <t xml:space="preserve">INV-12-013</t>
  </si>
  <si>
    <t xml:space="preserve">INV-12-014</t>
  </si>
  <si>
    <t xml:space="preserve">INV-12-015</t>
  </si>
  <si>
    <t xml:space="preserve">INV-12-016</t>
  </si>
  <si>
    <t xml:space="preserve">INV-12-017</t>
  </si>
  <si>
    <t xml:space="preserve">INV-12-018</t>
  </si>
  <si>
    <t xml:space="preserve">INV-12-019</t>
  </si>
  <si>
    <t xml:space="preserve">INV-12-020</t>
  </si>
  <si>
    <t xml:space="preserve">INV-12-021</t>
  </si>
  <si>
    <t xml:space="preserve">INV-12-022</t>
  </si>
  <si>
    <t xml:space="preserve">INV-12-023</t>
  </si>
  <si>
    <t xml:space="preserve">INV-12-024</t>
  </si>
  <si>
    <t xml:space="preserve">INV-12-025</t>
  </si>
  <si>
    <t xml:space="preserve">INV-12-026</t>
  </si>
  <si>
    <t xml:space="preserve">INV-12-027</t>
  </si>
  <si>
    <t xml:space="preserve">INV-12-028</t>
  </si>
  <si>
    <t xml:space="preserve">INV-12-029</t>
  </si>
  <si>
    <t xml:space="preserve">INV-12-030</t>
  </si>
  <si>
    <t xml:space="preserve">INV-12-031</t>
  </si>
  <si>
    <t xml:space="preserve">INV-12-032</t>
  </si>
  <si>
    <t xml:space="preserve">INV-12-033</t>
  </si>
  <si>
    <t xml:space="preserve">INV-12-034</t>
  </si>
  <si>
    <t xml:space="preserve">INV-12-035</t>
  </si>
  <si>
    <t xml:space="preserve">INV-12-036</t>
  </si>
  <si>
    <t xml:space="preserve">INV-13-001</t>
  </si>
  <si>
    <t xml:space="preserve">INV-13-002</t>
  </si>
  <si>
    <t xml:space="preserve">INV-13-003</t>
  </si>
  <si>
    <t xml:space="preserve">INV-13-004</t>
  </si>
  <si>
    <t xml:space="preserve">INV-13-005</t>
  </si>
  <si>
    <t xml:space="preserve">INV-13-006</t>
  </si>
  <si>
    <t xml:space="preserve">INV-13-007</t>
  </si>
  <si>
    <t xml:space="preserve">INV-13-008</t>
  </si>
  <si>
    <t xml:space="preserve">INV-13-009</t>
  </si>
  <si>
    <t xml:space="preserve">INV-13-010</t>
  </si>
  <si>
    <t xml:space="preserve">INV-13-011</t>
  </si>
  <si>
    <t xml:space="preserve">INV-13-012</t>
  </si>
  <si>
    <t xml:space="preserve">INV-13-013</t>
  </si>
  <si>
    <t xml:space="preserve">INV-13-014</t>
  </si>
  <si>
    <t xml:space="preserve">INV-13-015</t>
  </si>
  <si>
    <t xml:space="preserve">INV-13-016</t>
  </si>
  <si>
    <t xml:space="preserve">INV-13-017</t>
  </si>
  <si>
    <t xml:space="preserve">INV-13-018</t>
  </si>
  <si>
    <t xml:space="preserve">INV-13-019</t>
  </si>
  <si>
    <t xml:space="preserve">INV-13-020</t>
  </si>
  <si>
    <t xml:space="preserve">INV-13-021</t>
  </si>
  <si>
    <t xml:space="preserve">INV-13-022</t>
  </si>
  <si>
    <t xml:space="preserve">INV-13-023</t>
  </si>
  <si>
    <t xml:space="preserve">INV-13-024</t>
  </si>
  <si>
    <t xml:space="preserve">INV-13-025</t>
  </si>
  <si>
    <t xml:space="preserve">INV-13-026</t>
  </si>
  <si>
    <t xml:space="preserve">INV-13-027</t>
  </si>
  <si>
    <t xml:space="preserve">INV-13-028</t>
  </si>
  <si>
    <t xml:space="preserve">INV-13-029</t>
  </si>
  <si>
    <t xml:space="preserve">INV-13-030</t>
  </si>
  <si>
    <t xml:space="preserve">INV-13-031</t>
  </si>
  <si>
    <t xml:space="preserve">INV-13-032</t>
  </si>
  <si>
    <t xml:space="preserve">INV-13-033</t>
  </si>
  <si>
    <t xml:space="preserve">INV-13-034</t>
  </si>
  <si>
    <t xml:space="preserve">INV-13-035</t>
  </si>
  <si>
    <t xml:space="preserve">INV-13-036</t>
  </si>
  <si>
    <t xml:space="preserve">INV-14-001</t>
  </si>
  <si>
    <t xml:space="preserve">INV-14-002</t>
  </si>
  <si>
    <t xml:space="preserve">INV-14-003</t>
  </si>
  <si>
    <t xml:space="preserve">INV-14-004</t>
  </si>
  <si>
    <t xml:space="preserve">INV-14-005</t>
  </si>
  <si>
    <t xml:space="preserve">INV-14-006</t>
  </si>
  <si>
    <t xml:space="preserve">INV-14-007</t>
  </si>
  <si>
    <t xml:space="preserve">INV-14-008</t>
  </si>
  <si>
    <t xml:space="preserve">INV-14-009</t>
  </si>
  <si>
    <t xml:space="preserve">INV-14-010</t>
  </si>
  <si>
    <t xml:space="preserve">INV-14-011</t>
  </si>
  <si>
    <t xml:space="preserve">INV-14-012</t>
  </si>
  <si>
    <t xml:space="preserve">INV-14-013</t>
  </si>
  <si>
    <t xml:space="preserve">INV-14-014</t>
  </si>
  <si>
    <t xml:space="preserve">INV-14-015</t>
  </si>
  <si>
    <t xml:space="preserve">INV-14-016</t>
  </si>
  <si>
    <t xml:space="preserve">INV-14-017</t>
  </si>
  <si>
    <t xml:space="preserve">INV-14-018</t>
  </si>
  <si>
    <t xml:space="preserve">INV-14-019</t>
  </si>
  <si>
    <t xml:space="preserve">INV-14-020</t>
  </si>
  <si>
    <t xml:space="preserve">INV-14-021</t>
  </si>
  <si>
    <t xml:space="preserve">INV-14-022</t>
  </si>
  <si>
    <t xml:space="preserve">INV-14-023</t>
  </si>
  <si>
    <t xml:space="preserve">INV-14-024</t>
  </si>
  <si>
    <t xml:space="preserve">INV-14-025</t>
  </si>
  <si>
    <t xml:space="preserve">INV-14-026</t>
  </si>
  <si>
    <t xml:space="preserve">INV-14-027</t>
  </si>
  <si>
    <t xml:space="preserve">INV-14-028</t>
  </si>
  <si>
    <t xml:space="preserve">INV-14-029</t>
  </si>
  <si>
    <t xml:space="preserve">INV-14-030</t>
  </si>
  <si>
    <t xml:space="preserve">INV-14-031</t>
  </si>
  <si>
    <t xml:space="preserve">INV-14-032</t>
  </si>
  <si>
    <t xml:space="preserve">INV-14-033</t>
  </si>
  <si>
    <t xml:space="preserve">INV-14-034</t>
  </si>
  <si>
    <t xml:space="preserve">INV-14-035</t>
  </si>
  <si>
    <t xml:space="preserve">INV-14-036</t>
  </si>
  <si>
    <t xml:space="preserve">INV-15-001</t>
  </si>
  <si>
    <t xml:space="preserve">INV-15-002</t>
  </si>
  <si>
    <t xml:space="preserve">INV-15-003</t>
  </si>
  <si>
    <t xml:space="preserve">INV-15-004</t>
  </si>
  <si>
    <t xml:space="preserve">INV-15-005</t>
  </si>
  <si>
    <t xml:space="preserve">INV-15-006</t>
  </si>
  <si>
    <t xml:space="preserve">INV-15-007</t>
  </si>
  <si>
    <t xml:space="preserve">INV-15-008</t>
  </si>
  <si>
    <t xml:space="preserve">INV-15-009</t>
  </si>
  <si>
    <t xml:space="preserve">INV-15-010</t>
  </si>
  <si>
    <t xml:space="preserve">INV-15-011</t>
  </si>
  <si>
    <t xml:space="preserve">INV-15-012</t>
  </si>
  <si>
    <t xml:space="preserve">INV-15-013</t>
  </si>
  <si>
    <t xml:space="preserve">INV-15-014</t>
  </si>
  <si>
    <t xml:space="preserve">INV-15-015</t>
  </si>
  <si>
    <t xml:space="preserve">INV-15-016</t>
  </si>
  <si>
    <t xml:space="preserve">INV-15-017</t>
  </si>
  <si>
    <t xml:space="preserve">INV-15-018</t>
  </si>
  <si>
    <t xml:space="preserve">INV-15-019</t>
  </si>
  <si>
    <t xml:space="preserve">INV-15-020</t>
  </si>
  <si>
    <t xml:space="preserve">INV-15-021</t>
  </si>
  <si>
    <t xml:space="preserve">INV-15-022</t>
  </si>
  <si>
    <t xml:space="preserve">INV-15-023</t>
  </si>
  <si>
    <t xml:space="preserve">INV-15-024</t>
  </si>
  <si>
    <t xml:space="preserve">INV-15-025</t>
  </si>
  <si>
    <t xml:space="preserve">INV-15-026</t>
  </si>
  <si>
    <t xml:space="preserve">INV-15-027</t>
  </si>
  <si>
    <t xml:space="preserve">INV-15-028</t>
  </si>
  <si>
    <t xml:space="preserve">INV-15-029</t>
  </si>
  <si>
    <t xml:space="preserve">INV-15-030</t>
  </si>
  <si>
    <t xml:space="preserve">INV-15-031</t>
  </si>
  <si>
    <t xml:space="preserve">INV-15-032</t>
  </si>
  <si>
    <t xml:space="preserve">INV-15-033</t>
  </si>
  <si>
    <t xml:space="preserve">INV-15-034</t>
  </si>
  <si>
    <t xml:space="preserve">INV-15-035</t>
  </si>
  <si>
    <t xml:space="preserve">INV-15-036</t>
  </si>
  <si>
    <t xml:space="preserve">INV-16-001</t>
  </si>
  <si>
    <t xml:space="preserve">INV-16-002</t>
  </si>
  <si>
    <t xml:space="preserve">INV-16-003</t>
  </si>
  <si>
    <t xml:space="preserve">INV-16-004</t>
  </si>
  <si>
    <t xml:space="preserve">INV-16-005</t>
  </si>
  <si>
    <t xml:space="preserve">INV-16-006</t>
  </si>
  <si>
    <t xml:space="preserve">INV-16-007</t>
  </si>
  <si>
    <t xml:space="preserve">INV-16-008</t>
  </si>
  <si>
    <t xml:space="preserve">INV-16-009</t>
  </si>
  <si>
    <t xml:space="preserve">INV-16-010</t>
  </si>
  <si>
    <t xml:space="preserve">INV-16-011</t>
  </si>
  <si>
    <t xml:space="preserve">INV-16-012</t>
  </si>
  <si>
    <t xml:space="preserve">INV-16-013</t>
  </si>
  <si>
    <t xml:space="preserve">INV-16-014</t>
  </si>
  <si>
    <t xml:space="preserve">INV-16-015</t>
  </si>
  <si>
    <t xml:space="preserve">INV-16-016</t>
  </si>
  <si>
    <t xml:space="preserve">INV-16-017</t>
  </si>
  <si>
    <t xml:space="preserve">INV-16-018</t>
  </si>
  <si>
    <t xml:space="preserve">INV-16-019</t>
  </si>
  <si>
    <t xml:space="preserve">INV-16-020</t>
  </si>
  <si>
    <t xml:space="preserve">INV-16-021</t>
  </si>
  <si>
    <t xml:space="preserve">INV-16-022</t>
  </si>
  <si>
    <t xml:space="preserve">INV-16-023</t>
  </si>
  <si>
    <t xml:space="preserve">INV-16-024</t>
  </si>
  <si>
    <t xml:space="preserve">INV-16-025</t>
  </si>
  <si>
    <t xml:space="preserve">INV-16-026</t>
  </si>
  <si>
    <t xml:space="preserve">INV-16-027</t>
  </si>
  <si>
    <t xml:space="preserve">INV-16-028</t>
  </si>
  <si>
    <t xml:space="preserve">INV-16-029</t>
  </si>
  <si>
    <t xml:space="preserve">INV-16-030</t>
  </si>
  <si>
    <t xml:space="preserve">INV-16-031</t>
  </si>
  <si>
    <t xml:space="preserve">INV-16-032</t>
  </si>
  <si>
    <t xml:space="preserve">INV-16-033</t>
  </si>
  <si>
    <t xml:space="preserve">INV-16-034</t>
  </si>
  <si>
    <t xml:space="preserve">INV-16-035</t>
  </si>
  <si>
    <t xml:space="preserve">INV-16-036</t>
  </si>
  <si>
    <t xml:space="preserve">INV-17-001</t>
  </si>
  <si>
    <t xml:space="preserve">INV-17-002</t>
  </si>
  <si>
    <t xml:space="preserve">INV-17-003</t>
  </si>
  <si>
    <t xml:space="preserve">INV-17-004</t>
  </si>
  <si>
    <t xml:space="preserve">INV-17-005</t>
  </si>
  <si>
    <t xml:space="preserve">INV-17-006</t>
  </si>
  <si>
    <t xml:space="preserve">INV-17-007</t>
  </si>
  <si>
    <t xml:space="preserve">INV-17-008</t>
  </si>
  <si>
    <t xml:space="preserve">INV-17-009</t>
  </si>
  <si>
    <t xml:space="preserve">INV-17-010</t>
  </si>
  <si>
    <t xml:space="preserve">INV-17-011</t>
  </si>
  <si>
    <t xml:space="preserve">INV-17-012</t>
  </si>
  <si>
    <t xml:space="preserve">INV-17-013</t>
  </si>
  <si>
    <t xml:space="preserve">INV-17-014</t>
  </si>
  <si>
    <t xml:space="preserve">INV-17-015</t>
  </si>
  <si>
    <t xml:space="preserve">INV-17-016</t>
  </si>
  <si>
    <t xml:space="preserve">INV-17-017</t>
  </si>
  <si>
    <t xml:space="preserve">INV-17-018</t>
  </si>
  <si>
    <t xml:space="preserve">INV-17-019</t>
  </si>
  <si>
    <t xml:space="preserve">INV-17-020</t>
  </si>
  <si>
    <t xml:space="preserve">INV-17-021</t>
  </si>
  <si>
    <t xml:space="preserve">INV-17-022</t>
  </si>
  <si>
    <t xml:space="preserve">INV-17-023</t>
  </si>
  <si>
    <t xml:space="preserve">INV-17-024</t>
  </si>
  <si>
    <t xml:space="preserve">INV-17-025</t>
  </si>
  <si>
    <t xml:space="preserve">INV-17-026</t>
  </si>
  <si>
    <t xml:space="preserve">INV-17-027</t>
  </si>
  <si>
    <t xml:space="preserve">INV-17-028</t>
  </si>
  <si>
    <t xml:space="preserve">INV-17-029</t>
  </si>
  <si>
    <t xml:space="preserve">INV-17-030</t>
  </si>
  <si>
    <t xml:space="preserve">INV-17-031</t>
  </si>
  <si>
    <t xml:space="preserve">INV-17-032</t>
  </si>
  <si>
    <t xml:space="preserve">INV-17-033</t>
  </si>
  <si>
    <t xml:space="preserve">INV-17-034</t>
  </si>
  <si>
    <t xml:space="preserve">INV-17-035</t>
  </si>
  <si>
    <t xml:space="preserve">INV-17-036</t>
  </si>
  <si>
    <t xml:space="preserve">INV-18-001</t>
  </si>
  <si>
    <t xml:space="preserve">INV-18-002</t>
  </si>
  <si>
    <t xml:space="preserve">INV-18-003</t>
  </si>
  <si>
    <t xml:space="preserve">INV-18-004</t>
  </si>
  <si>
    <t xml:space="preserve">INV-18-005</t>
  </si>
  <si>
    <t xml:space="preserve">INV-18-006</t>
  </si>
  <si>
    <t xml:space="preserve">INV-18-007</t>
  </si>
  <si>
    <t xml:space="preserve">INV-18-008</t>
  </si>
  <si>
    <t xml:space="preserve">INV-18-009</t>
  </si>
  <si>
    <t xml:space="preserve">INV-18-010</t>
  </si>
  <si>
    <t xml:space="preserve">INV-18-011</t>
  </si>
  <si>
    <t xml:space="preserve">INV-18-012</t>
  </si>
  <si>
    <t xml:space="preserve">INV-18-013</t>
  </si>
  <si>
    <t xml:space="preserve">INV-18-014</t>
  </si>
  <si>
    <t xml:space="preserve">INV-18-015</t>
  </si>
  <si>
    <t xml:space="preserve">INV-18-016</t>
  </si>
  <si>
    <t xml:space="preserve">INV-18-017</t>
  </si>
  <si>
    <t xml:space="preserve">INV-18-018</t>
  </si>
  <si>
    <t xml:space="preserve">INV-18-019</t>
  </si>
  <si>
    <t xml:space="preserve">INV-18-020</t>
  </si>
  <si>
    <t xml:space="preserve">INV-18-021</t>
  </si>
  <si>
    <t xml:space="preserve">INV-18-022</t>
  </si>
  <si>
    <t xml:space="preserve">INV-18-023</t>
  </si>
  <si>
    <t xml:space="preserve">INV-18-024</t>
  </si>
  <si>
    <t xml:space="preserve">INV-18-025</t>
  </si>
  <si>
    <t xml:space="preserve">INV-18-026</t>
  </si>
  <si>
    <t xml:space="preserve">INV-18-027</t>
  </si>
  <si>
    <t xml:space="preserve">INV-18-028</t>
  </si>
  <si>
    <t xml:space="preserve">INV-18-029</t>
  </si>
  <si>
    <t xml:space="preserve">INV-18-030</t>
  </si>
  <si>
    <t xml:space="preserve">INV-18-031</t>
  </si>
  <si>
    <t xml:space="preserve">INV-18-032</t>
  </si>
  <si>
    <t xml:space="preserve">INV-18-033</t>
  </si>
  <si>
    <t xml:space="preserve">INV-18-034</t>
  </si>
  <si>
    <t xml:space="preserve">INV-18-035</t>
  </si>
  <si>
    <t xml:space="preserve">INV-18-036</t>
  </si>
  <si>
    <t xml:space="preserve">INV-19-001</t>
  </si>
  <si>
    <t xml:space="preserve">INV-19-002</t>
  </si>
  <si>
    <t xml:space="preserve">INV-19-003</t>
  </si>
  <si>
    <t xml:space="preserve">INV-19-004</t>
  </si>
  <si>
    <t xml:space="preserve">INV-19-005</t>
  </si>
  <si>
    <t xml:space="preserve">INV-19-006</t>
  </si>
  <si>
    <t xml:space="preserve">INV-19-007</t>
  </si>
  <si>
    <t xml:space="preserve">INV-19-008</t>
  </si>
  <si>
    <t xml:space="preserve">INV-19-009</t>
  </si>
  <si>
    <t xml:space="preserve">INV-19-010</t>
  </si>
  <si>
    <t xml:space="preserve">INV-19-011</t>
  </si>
  <si>
    <t xml:space="preserve">INV-19-012</t>
  </si>
  <si>
    <t xml:space="preserve">INV-19-013</t>
  </si>
  <si>
    <t xml:space="preserve">INV-19-014</t>
  </si>
  <si>
    <t xml:space="preserve">INV-19-015</t>
  </si>
  <si>
    <t xml:space="preserve">INV-19-016</t>
  </si>
  <si>
    <t xml:space="preserve">INV-19-017</t>
  </si>
  <si>
    <t xml:space="preserve">INV-19-018</t>
  </si>
  <si>
    <t xml:space="preserve">INV-19-019</t>
  </si>
  <si>
    <t xml:space="preserve">INV-19-020</t>
  </si>
  <si>
    <t xml:space="preserve">INV-19-021</t>
  </si>
  <si>
    <t xml:space="preserve">INV-19-022</t>
  </si>
  <si>
    <t xml:space="preserve">INV-19-023</t>
  </si>
  <si>
    <t xml:space="preserve">INV-19-024</t>
  </si>
  <si>
    <t xml:space="preserve">INV-19-025</t>
  </si>
  <si>
    <t xml:space="preserve">INV-19-026</t>
  </si>
  <si>
    <t xml:space="preserve">INV-19-027</t>
  </si>
  <si>
    <t xml:space="preserve">INV-19-028</t>
  </si>
  <si>
    <t xml:space="preserve">INV-19-029</t>
  </si>
  <si>
    <t xml:space="preserve">INV-19-030</t>
  </si>
  <si>
    <t xml:space="preserve">INV-19-031</t>
  </si>
  <si>
    <t xml:space="preserve">INV-19-032</t>
  </si>
  <si>
    <t xml:space="preserve">INV-19-033</t>
  </si>
  <si>
    <t xml:space="preserve">INV-19-034</t>
  </si>
  <si>
    <t xml:space="preserve">INV-19-035</t>
  </si>
  <si>
    <t xml:space="preserve">INV-19-036</t>
  </si>
  <si>
    <t xml:space="preserve">INV-20-001</t>
  </si>
  <si>
    <t xml:space="preserve">INV-20-002</t>
  </si>
  <si>
    <t xml:space="preserve">INV-20-003</t>
  </si>
  <si>
    <t xml:space="preserve">INV-20-004</t>
  </si>
  <si>
    <t xml:space="preserve">INV-20-005</t>
  </si>
  <si>
    <t xml:space="preserve">INV-20-006</t>
  </si>
  <si>
    <t xml:space="preserve">INV-20-007</t>
  </si>
  <si>
    <t xml:space="preserve">INV-20-008</t>
  </si>
  <si>
    <t xml:space="preserve">INV-20-009</t>
  </si>
  <si>
    <t xml:space="preserve">INV-20-010</t>
  </si>
  <si>
    <t xml:space="preserve">INV-20-011</t>
  </si>
  <si>
    <t xml:space="preserve">INV-20-012</t>
  </si>
  <si>
    <t xml:space="preserve">INV-20-013</t>
  </si>
  <si>
    <t xml:space="preserve">INV-20-014</t>
  </si>
  <si>
    <t xml:space="preserve">INV-20-015</t>
  </si>
  <si>
    <t xml:space="preserve">INV-20-016</t>
  </si>
  <si>
    <t xml:space="preserve">INV-20-017</t>
  </si>
  <si>
    <t xml:space="preserve">INV-20-018</t>
  </si>
  <si>
    <t xml:space="preserve">INV-20-019</t>
  </si>
  <si>
    <t xml:space="preserve">INV-20-020</t>
  </si>
  <si>
    <t xml:space="preserve">INV-20-021</t>
  </si>
  <si>
    <t xml:space="preserve">INV-20-022</t>
  </si>
  <si>
    <t xml:space="preserve">INV-20-023</t>
  </si>
  <si>
    <t xml:space="preserve">INV-20-024</t>
  </si>
  <si>
    <t xml:space="preserve">INV-20-025</t>
  </si>
  <si>
    <t xml:space="preserve">INV-20-026</t>
  </si>
  <si>
    <t xml:space="preserve">INV-20-027</t>
  </si>
  <si>
    <t xml:space="preserve">INV-20-028</t>
  </si>
  <si>
    <t xml:space="preserve">INV-20-029</t>
  </si>
  <si>
    <t xml:space="preserve">INV-20-030</t>
  </si>
  <si>
    <t xml:space="preserve">INV-20-031</t>
  </si>
  <si>
    <t xml:space="preserve">INV-20-032</t>
  </si>
  <si>
    <t xml:space="preserve">INV-20-033</t>
  </si>
  <si>
    <t xml:space="preserve">INV-20-034</t>
  </si>
  <si>
    <t xml:space="preserve">INV-20-035</t>
  </si>
  <si>
    <t xml:space="preserve">INV-20-036</t>
  </si>
  <si>
    <t xml:space="preserve">INV-21-001</t>
  </si>
  <si>
    <t xml:space="preserve">INV-21-002</t>
  </si>
  <si>
    <t xml:space="preserve">INV-21-003</t>
  </si>
  <si>
    <t xml:space="preserve">INV-21-004</t>
  </si>
  <si>
    <t xml:space="preserve">INV-21-005</t>
  </si>
  <si>
    <t xml:space="preserve">INV-21-006</t>
  </si>
  <si>
    <t xml:space="preserve">INV-21-007</t>
  </si>
  <si>
    <t xml:space="preserve">INV-21-008</t>
  </si>
  <si>
    <t xml:space="preserve">INV-21-009</t>
  </si>
  <si>
    <t xml:space="preserve">INV-21-010</t>
  </si>
  <si>
    <t xml:space="preserve">INV-21-011</t>
  </si>
  <si>
    <t xml:space="preserve">INV-21-012</t>
  </si>
  <si>
    <t xml:space="preserve">INV-21-013</t>
  </si>
  <si>
    <t xml:space="preserve">INV-21-014</t>
  </si>
  <si>
    <t xml:space="preserve">INV-21-015</t>
  </si>
  <si>
    <t xml:space="preserve">INV-21-016</t>
  </si>
  <si>
    <t xml:space="preserve">INV-21-017</t>
  </si>
  <si>
    <t xml:space="preserve">INV-21-018</t>
  </si>
  <si>
    <t xml:space="preserve">INV-21-019</t>
  </si>
  <si>
    <t xml:space="preserve">INV-21-020</t>
  </si>
  <si>
    <t xml:space="preserve">INV-21-021</t>
  </si>
  <si>
    <t xml:space="preserve">INV-21-022</t>
  </si>
  <si>
    <t xml:space="preserve">INV-21-023</t>
  </si>
  <si>
    <t xml:space="preserve">INV-21-024</t>
  </si>
  <si>
    <t xml:space="preserve">INV-21-025</t>
  </si>
  <si>
    <t xml:space="preserve">INV-21-026</t>
  </si>
  <si>
    <t xml:space="preserve">INV-21-027</t>
  </si>
  <si>
    <t xml:space="preserve">INV-21-028</t>
  </si>
  <si>
    <t xml:space="preserve">INV-21-029</t>
  </si>
  <si>
    <t xml:space="preserve">INV-21-030</t>
  </si>
  <si>
    <t xml:space="preserve">INV-21-031</t>
  </si>
  <si>
    <t xml:space="preserve">INV-21-032</t>
  </si>
  <si>
    <t xml:space="preserve">INV-21-033</t>
  </si>
  <si>
    <t xml:space="preserve">INV-21-034</t>
  </si>
  <si>
    <t xml:space="preserve">INV-21-035</t>
  </si>
  <si>
    <t xml:space="preserve">INV-21-036</t>
  </si>
  <si>
    <t xml:space="preserve">INV-22-001</t>
  </si>
  <si>
    <t xml:space="preserve">2026-10</t>
  </si>
  <si>
    <t xml:space="preserve">Forecast</t>
  </si>
  <si>
    <t xml:space="preserve">INV-22-002</t>
  </si>
  <si>
    <t xml:space="preserve">INV-22-003</t>
  </si>
  <si>
    <t xml:space="preserve">INV-22-004</t>
  </si>
  <si>
    <t xml:space="preserve">INV-22-005</t>
  </si>
  <si>
    <t xml:space="preserve">INV-22-006</t>
  </si>
  <si>
    <t xml:space="preserve">INV-22-007</t>
  </si>
  <si>
    <t xml:space="preserve">INV-22-008</t>
  </si>
  <si>
    <t xml:space="preserve">INV-22-009</t>
  </si>
  <si>
    <t xml:space="preserve">INV-22-010</t>
  </si>
  <si>
    <t xml:space="preserve">INV-22-011</t>
  </si>
  <si>
    <t xml:space="preserve">INV-22-012</t>
  </si>
  <si>
    <t xml:space="preserve">INV-22-013</t>
  </si>
  <si>
    <t xml:space="preserve">INV-22-014</t>
  </si>
  <si>
    <t xml:space="preserve">INV-22-015</t>
  </si>
  <si>
    <t xml:space="preserve">INV-22-016</t>
  </si>
  <si>
    <t xml:space="preserve">INV-22-017</t>
  </si>
  <si>
    <t xml:space="preserve">INV-22-018</t>
  </si>
  <si>
    <t xml:space="preserve">INV-22-019</t>
  </si>
  <si>
    <t xml:space="preserve">INV-22-020</t>
  </si>
  <si>
    <t xml:space="preserve">INV-22-021</t>
  </si>
  <si>
    <t xml:space="preserve">INV-22-022</t>
  </si>
  <si>
    <t xml:space="preserve">INV-22-023</t>
  </si>
  <si>
    <t xml:space="preserve">INV-22-024</t>
  </si>
  <si>
    <t xml:space="preserve">INV-22-025</t>
  </si>
  <si>
    <t xml:space="preserve">INV-22-026</t>
  </si>
  <si>
    <t xml:space="preserve">INV-22-027</t>
  </si>
  <si>
    <t xml:space="preserve">INV-22-028</t>
  </si>
  <si>
    <t xml:space="preserve">INV-22-029</t>
  </si>
  <si>
    <t xml:space="preserve">INV-22-030</t>
  </si>
  <si>
    <t xml:space="preserve">INV-22-031</t>
  </si>
  <si>
    <t xml:space="preserve">INV-22-032</t>
  </si>
  <si>
    <t xml:space="preserve">INV-22-033</t>
  </si>
  <si>
    <t xml:space="preserve">INV-22-034</t>
  </si>
  <si>
    <t xml:space="preserve">INV-22-035</t>
  </si>
  <si>
    <t xml:space="preserve">INV-22-036</t>
  </si>
  <si>
    <t xml:space="preserve">INV-23-001</t>
  </si>
  <si>
    <t xml:space="preserve">2026-11</t>
  </si>
  <si>
    <t xml:space="preserve">INV-23-002</t>
  </si>
  <si>
    <t xml:space="preserve">INV-23-003</t>
  </si>
  <si>
    <t xml:space="preserve">INV-23-004</t>
  </si>
  <si>
    <t xml:space="preserve">INV-23-005</t>
  </si>
  <si>
    <t xml:space="preserve">INV-23-006</t>
  </si>
  <si>
    <t xml:space="preserve">INV-23-007</t>
  </si>
  <si>
    <t xml:space="preserve">INV-23-008</t>
  </si>
  <si>
    <t xml:space="preserve">INV-23-009</t>
  </si>
  <si>
    <t xml:space="preserve">INV-23-010</t>
  </si>
  <si>
    <t xml:space="preserve">INV-23-011</t>
  </si>
  <si>
    <t xml:space="preserve">INV-23-012</t>
  </si>
  <si>
    <t xml:space="preserve">INV-23-013</t>
  </si>
  <si>
    <t xml:space="preserve">INV-23-014</t>
  </si>
  <si>
    <t xml:space="preserve">INV-23-015</t>
  </si>
  <si>
    <t xml:space="preserve">INV-23-016</t>
  </si>
  <si>
    <t xml:space="preserve">INV-23-017</t>
  </si>
  <si>
    <t xml:space="preserve">INV-23-018</t>
  </si>
  <si>
    <t xml:space="preserve">INV-23-019</t>
  </si>
  <si>
    <t xml:space="preserve">INV-23-020</t>
  </si>
  <si>
    <t xml:space="preserve">INV-23-021</t>
  </si>
  <si>
    <t xml:space="preserve">INV-23-022</t>
  </si>
  <si>
    <t xml:space="preserve">INV-23-023</t>
  </si>
  <si>
    <t xml:space="preserve">INV-23-024</t>
  </si>
  <si>
    <t xml:space="preserve">INV-23-025</t>
  </si>
  <si>
    <t xml:space="preserve">INV-23-026</t>
  </si>
  <si>
    <t xml:space="preserve">INV-23-027</t>
  </si>
  <si>
    <t xml:space="preserve">INV-23-028</t>
  </si>
  <si>
    <t xml:space="preserve">INV-23-029</t>
  </si>
  <si>
    <t xml:space="preserve">INV-23-030</t>
  </si>
  <si>
    <t xml:space="preserve">INV-23-031</t>
  </si>
  <si>
    <t xml:space="preserve">INV-23-032</t>
  </si>
  <si>
    <t xml:space="preserve">INV-23-033</t>
  </si>
  <si>
    <t xml:space="preserve">INV-23-034</t>
  </si>
  <si>
    <t xml:space="preserve">INV-23-035</t>
  </si>
  <si>
    <t xml:space="preserve">INV-23-036</t>
  </si>
  <si>
    <t xml:space="preserve">INV-24-001</t>
  </si>
  <si>
    <t xml:space="preserve">2026-12</t>
  </si>
  <si>
    <t xml:space="preserve">INV-24-002</t>
  </si>
  <si>
    <t xml:space="preserve">INV-24-003</t>
  </si>
  <si>
    <t xml:space="preserve">INV-24-004</t>
  </si>
  <si>
    <t xml:space="preserve">INV-24-005</t>
  </si>
  <si>
    <t xml:space="preserve">INV-24-006</t>
  </si>
  <si>
    <t xml:space="preserve">INV-24-007</t>
  </si>
  <si>
    <t xml:space="preserve">INV-24-008</t>
  </si>
  <si>
    <t xml:space="preserve">INV-24-009</t>
  </si>
  <si>
    <t xml:space="preserve">INV-24-010</t>
  </si>
  <si>
    <t xml:space="preserve">INV-24-011</t>
  </si>
  <si>
    <t xml:space="preserve">INV-24-012</t>
  </si>
  <si>
    <t xml:space="preserve">INV-24-013</t>
  </si>
  <si>
    <t xml:space="preserve">INV-24-014</t>
  </si>
  <si>
    <t xml:space="preserve">INV-24-015</t>
  </si>
  <si>
    <t xml:space="preserve">INV-24-016</t>
  </si>
  <si>
    <t xml:space="preserve">INV-24-017</t>
  </si>
  <si>
    <t xml:space="preserve">INV-24-018</t>
  </si>
  <si>
    <t xml:space="preserve">INV-24-019</t>
  </si>
  <si>
    <t xml:space="preserve">INV-24-020</t>
  </si>
  <si>
    <t xml:space="preserve">INV-24-021</t>
  </si>
  <si>
    <t xml:space="preserve">INV-24-022</t>
  </si>
  <si>
    <t xml:space="preserve">INV-24-023</t>
  </si>
  <si>
    <t xml:space="preserve">INV-24-024</t>
  </si>
  <si>
    <t xml:space="preserve">INV-24-025</t>
  </si>
  <si>
    <t xml:space="preserve">INV-24-026</t>
  </si>
  <si>
    <t xml:space="preserve">INV-24-027</t>
  </si>
  <si>
    <t xml:space="preserve">INV-24-028</t>
  </si>
  <si>
    <t xml:space="preserve">INV-24-029</t>
  </si>
  <si>
    <t xml:space="preserve">INV-24-030</t>
  </si>
  <si>
    <t xml:space="preserve">INV-24-031</t>
  </si>
  <si>
    <t xml:space="preserve">INV-24-032</t>
  </si>
  <si>
    <t xml:space="preserve">INV-24-033</t>
  </si>
  <si>
    <t xml:space="preserve">INV-24-034</t>
  </si>
  <si>
    <t xml:space="preserve">INV-24-035</t>
  </si>
  <si>
    <t xml:space="preserve">INV-24-036</t>
  </si>
  <si>
    <t xml:space="preserve">List_Price_INR</t>
  </si>
  <si>
    <t xml:space="preserve">Standard_Cost_INR</t>
  </si>
  <si>
    <t xml:space="preserve">Customer_Name</t>
  </si>
  <si>
    <t xml:space="preserve">Synthetic Customer 001</t>
  </si>
  <si>
    <t xml:space="preserve">Distributor</t>
  </si>
  <si>
    <t xml:space="preserve">Synthetic Customer 002</t>
  </si>
  <si>
    <t xml:space="preserve">Modern Trade</t>
  </si>
  <si>
    <t xml:space="preserve">Synthetic Customer 003</t>
  </si>
  <si>
    <t xml:space="preserve">Retail</t>
  </si>
  <si>
    <t xml:space="preserve">Synthetic Customer 004</t>
  </si>
  <si>
    <t xml:space="preserve">Synthetic Customer 005</t>
  </si>
  <si>
    <t xml:space="preserve">Synthetic Customer 006</t>
  </si>
  <si>
    <t xml:space="preserve">Synthetic Customer 007</t>
  </si>
  <si>
    <t xml:space="preserve">Synthetic Customer 008</t>
  </si>
  <si>
    <t xml:space="preserve">Synthetic Customer 009</t>
  </si>
  <si>
    <t xml:space="preserve">Synthetic Customer 010</t>
  </si>
  <si>
    <t xml:space="preserve">Synthetic Customer 011</t>
  </si>
  <si>
    <t xml:space="preserve">Synthetic Customer 012</t>
  </si>
  <si>
    <t xml:space="preserve">Synthetic Customer 013</t>
  </si>
  <si>
    <t xml:space="preserve">Synthetic Customer 014</t>
  </si>
  <si>
    <t xml:space="preserve">Synthetic Customer 015</t>
  </si>
  <si>
    <t xml:space="preserve">Synthetic Customer 016</t>
  </si>
  <si>
    <t xml:space="preserve">Synthetic Customer 017</t>
  </si>
  <si>
    <t xml:space="preserve">Synthetic Customer 018</t>
  </si>
  <si>
    <t xml:space="preserve">Synthetic Customer 019</t>
  </si>
  <si>
    <t xml:space="preserve">Synthetic Customer 020</t>
  </si>
  <si>
    <t xml:space="preserve">Synthetic Customer 021</t>
  </si>
  <si>
    <t xml:space="preserve">Synthetic Customer 022</t>
  </si>
  <si>
    <t xml:space="preserve">Synthetic Customer 023</t>
  </si>
  <si>
    <t xml:space="preserve">Synthetic Customer 024</t>
  </si>
  <si>
    <t xml:space="preserve">Synthetic Customer 025</t>
  </si>
  <si>
    <t xml:space="preserve">Synthetic Customer 026</t>
  </si>
  <si>
    <t xml:space="preserve">Synthetic Customer 027</t>
  </si>
  <si>
    <t xml:space="preserve">Synthetic Customer 028</t>
  </si>
  <si>
    <t xml:space="preserve">Synthetic Customer 029</t>
  </si>
  <si>
    <t xml:space="preserve">Synthetic Customer 030</t>
  </si>
  <si>
    <t xml:space="preserve">Synthetic Customer 031</t>
  </si>
  <si>
    <t xml:space="preserve">Synthetic Customer 032</t>
  </si>
  <si>
    <t xml:space="preserve">Synthetic Customer 033</t>
  </si>
  <si>
    <t xml:space="preserve">Synthetic Customer 034</t>
  </si>
  <si>
    <t xml:space="preserve">Synthetic Customer 035</t>
  </si>
  <si>
    <t xml:space="preserve">Synthetic Customer 036</t>
  </si>
  <si>
    <t xml:space="preserve">Synthetic Customer 037</t>
  </si>
  <si>
    <t xml:space="preserve">Synthetic Customer 038</t>
  </si>
  <si>
    <t xml:space="preserve">Synthetic Customer 039</t>
  </si>
  <si>
    <t xml:space="preserve">Synthetic Customer 040</t>
  </si>
  <si>
    <t xml:space="preserve">Synthetic Customer 041</t>
  </si>
  <si>
    <t xml:space="preserve">Synthetic Customer 042</t>
  </si>
  <si>
    <t xml:space="preserve">Synthetic Customer 043</t>
  </si>
  <si>
    <t xml:space="preserve">Synthetic Customer 044</t>
  </si>
  <si>
    <t xml:space="preserve">Synthetic Customer 045</t>
  </si>
  <si>
    <t xml:space="preserve">Synthetic Customer 046</t>
  </si>
  <si>
    <t xml:space="preserve">Synthetic Customer 047</t>
  </si>
  <si>
    <t xml:space="preserve">Synthetic Customer 048</t>
  </si>
  <si>
    <t xml:space="preserve">Quarter</t>
  </si>
  <si>
    <t xml:space="preserve">Month_Name</t>
  </si>
  <si>
    <t xml:space="preserve">Reporting_Status</t>
  </si>
  <si>
    <t xml:space="preserve">Q1</t>
  </si>
  <si>
    <t xml:space="preserve">Jan</t>
  </si>
  <si>
    <t xml:space="preserve">Feb</t>
  </si>
  <si>
    <t xml:space="preserve">Mar</t>
  </si>
  <si>
    <t xml:space="preserve">Q2</t>
  </si>
  <si>
    <t xml:space="preserve">Apr</t>
  </si>
  <si>
    <t xml:space="preserve">May</t>
  </si>
  <si>
    <t xml:space="preserve">Jun</t>
  </si>
  <si>
    <t xml:space="preserve">Q3</t>
  </si>
  <si>
    <t xml:space="preserve">Jul</t>
  </si>
  <si>
    <t xml:space="preserve">Aug</t>
  </si>
  <si>
    <t xml:space="preserve">Sep</t>
  </si>
  <si>
    <t xml:space="preserve">Q4</t>
  </si>
  <si>
    <t xml:space="preserve">Oct</t>
  </si>
  <si>
    <t xml:space="preserve">Nov</t>
  </si>
  <si>
    <t xml:space="preserve">Dec</t>
  </si>
  <si>
    <t xml:space="preserve">Scenario</t>
  </si>
  <si>
    <t xml:space="preserve">Revenue_Budget_INR</t>
  </si>
  <si>
    <t xml:space="preserve">COGS_Budget_INR</t>
  </si>
  <si>
    <t xml:space="preserve">Gross_Profit_Budget_INR</t>
  </si>
  <si>
    <t xml:space="preserve">Budget</t>
  </si>
</sst>
</file>

<file path=xl/styles.xml><?xml version="1.0" encoding="utf-8"?>
<styleSheet xmlns="http://schemas.openxmlformats.org/spreadsheetml/2006/main">
  <numFmts count="15">
    <numFmt numFmtId="164" formatCode="General"/>
    <numFmt numFmtId="165" formatCode="[&gt;=10000000]##\,##\,##\,##0;[&gt;=100000]##\,##\,##0;##,##0"/>
    <numFmt numFmtId="166" formatCode="0.0%"/>
    <numFmt numFmtId="167" formatCode="\+0.0%;\-0.0%;0.0%"/>
    <numFmt numFmtId="168" formatCode="\+0.0&quot; pp&quot;;\-0.0&quot; pp&quot;;0.0&quot; pp&quot;"/>
    <numFmt numFmtId="169" formatCode="#,##0"/>
    <numFmt numFmtId="170" formatCode="0%"/>
    <numFmt numFmtId="171" formatCode="0"/>
    <numFmt numFmtId="172" formatCode="#,##0;\-#,##0;0"/>
    <numFmt numFmtId="173" formatCode="0.00\x"/>
    <numFmt numFmtId="174" formatCode="0.0000"/>
    <numFmt numFmtId="175" formatCode="0.00"/>
    <numFmt numFmtId="176" formatCode="#,##0.00"/>
    <numFmt numFmtId="177" formatCode="#,##0.00;\-#,##0.00;0.00"/>
    <numFmt numFmtId="178" formatCode="0.0\x"/>
  </numFmts>
  <fonts count="15">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0"/>
      <color rgb="FFC00000"/>
      <name val="Arial"/>
      <family val="0"/>
      <charset val="1"/>
    </font>
    <font>
      <b val="true"/>
      <sz val="10"/>
      <color rgb="FFFFFFFF"/>
      <name val="Arial"/>
      <family val="0"/>
      <charset val="1"/>
    </font>
    <font>
      <b val="true"/>
      <sz val="10"/>
      <name val="Arial"/>
      <family val="0"/>
      <charset val="1"/>
    </font>
    <font>
      <sz val="1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2"/>
      <color rgb="FFC00000"/>
      <name val="Arial"/>
      <family val="0"/>
      <charset val="1"/>
    </font>
    <font>
      <sz val="10"/>
      <color rgb="FF0000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D9E2F3"/>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right"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right" vertical="bottom" textRotation="0" wrapText="false" indent="0" shrinkToFit="false"/>
      <protection locked="true" hidden="false"/>
    </xf>
    <xf numFmtId="167" fontId="9" fillId="0" borderId="1" xfId="0" applyFont="true" applyBorder="true" applyAlignment="true" applyProtection="false">
      <alignment horizontal="right" vertical="bottom" textRotation="0" wrapText="false" indent="0" shrinkToFit="false"/>
      <protection locked="true" hidden="false"/>
    </xf>
    <xf numFmtId="168" fontId="9" fillId="0" borderId="1" xfId="0" applyFont="true" applyBorder="true" applyAlignment="true" applyProtection="false">
      <alignment horizontal="right" vertical="bottom" textRotation="0" wrapText="false" indent="0" shrinkToFit="false"/>
      <protection locked="true" hidden="false"/>
    </xf>
    <xf numFmtId="164" fontId="9" fillId="0" borderId="1" xfId="0" applyFont="true" applyBorder="true" applyAlignment="true" applyProtection="false">
      <alignment horizontal="righ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9" fontId="8" fillId="4" borderId="1" xfId="0" applyFont="true" applyBorder="true" applyAlignment="false" applyProtection="false">
      <alignment horizontal="general" vertical="bottom" textRotation="0" wrapText="false" indent="0" shrinkToFit="false"/>
      <protection locked="true" hidden="false"/>
    </xf>
    <xf numFmtId="165" fontId="8" fillId="4" borderId="1" xfId="0" applyFont="true" applyBorder="true" applyAlignment="false" applyProtection="false">
      <alignment horizontal="general" vertical="bottom" textRotation="0" wrapText="false" indent="0" shrinkToFit="false"/>
      <protection locked="true" hidden="false"/>
    </xf>
    <xf numFmtId="166" fontId="8" fillId="4" borderId="1" xfId="0" applyFont="true" applyBorder="true" applyAlignment="false" applyProtection="false">
      <alignment horizontal="general" vertical="bottom" textRotation="0" wrapText="false" indent="0" shrinkToFit="false"/>
      <protection locked="true" hidden="false"/>
    </xf>
    <xf numFmtId="167" fontId="8" fillId="4" borderId="1" xfId="0" applyFont="true" applyBorder="true" applyAlignment="false" applyProtection="false">
      <alignment horizontal="general" vertical="bottom" textRotation="0" wrapText="false" indent="0" shrinkToFit="false"/>
      <protection locked="true" hidden="false"/>
    </xf>
    <xf numFmtId="168" fontId="8" fillId="4"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71" fontId="9" fillId="0"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72" fontId="9" fillId="0" borderId="1" xfId="0" applyFont="true" applyBorder="true" applyAlignment="false" applyProtection="false">
      <alignment horizontal="general" vertical="bottom" textRotation="0" wrapText="false" indent="0" shrinkToFit="false"/>
      <protection locked="true" hidden="false"/>
    </xf>
    <xf numFmtId="172" fontId="8" fillId="4"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72" fontId="9" fillId="0" borderId="1" xfId="0" applyFont="true" applyBorder="true" applyAlignment="true" applyProtection="false">
      <alignment horizontal="right"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73" fontId="9" fillId="0" borderId="1" xfId="0" applyFont="true" applyBorder="true" applyAlignment="false" applyProtection="false">
      <alignment horizontal="general" vertical="bottom" textRotation="0" wrapText="false" indent="0" shrinkToFit="false"/>
      <protection locked="true" hidden="false"/>
    </xf>
    <xf numFmtId="171" fontId="14" fillId="0" borderId="1" xfId="0" applyFont="true" applyBorder="true" applyAlignment="false" applyProtection="false">
      <alignment horizontal="general" vertical="bottom" textRotation="0" wrapText="false" indent="0" shrinkToFit="false"/>
      <protection locked="true" hidden="false"/>
    </xf>
    <xf numFmtId="174" fontId="9"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9" fontId="14" fillId="0" borderId="1" xfId="0" applyFont="true" applyBorder="true" applyAlignment="false" applyProtection="false">
      <alignment horizontal="general" vertical="bottom" textRotation="0" wrapText="false" indent="0" shrinkToFit="false"/>
      <protection locked="true" hidden="false"/>
    </xf>
    <xf numFmtId="175" fontId="9"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76" fontId="9" fillId="0" borderId="1" xfId="0" applyFont="true" applyBorder="true" applyAlignment="false" applyProtection="false">
      <alignment horizontal="general" vertical="bottom" textRotation="0" wrapText="false" indent="0" shrinkToFit="false"/>
      <protection locked="true" hidden="false"/>
    </xf>
    <xf numFmtId="177" fontId="9" fillId="0" borderId="1" xfId="0" applyFont="true" applyBorder="true" applyAlignment="false" applyProtection="false">
      <alignment horizontal="general" vertical="bottom" textRotation="0" wrapText="false" indent="0" shrinkToFit="false"/>
      <protection locked="true" hidden="false"/>
    </xf>
    <xf numFmtId="176" fontId="14" fillId="0" borderId="1" xfId="0" applyFont="true" applyBorder="true" applyAlignment="false" applyProtection="false">
      <alignment horizontal="general" vertical="bottom" textRotation="0" wrapText="false" indent="0" shrinkToFit="false"/>
      <protection locked="true" hidden="false"/>
    </xf>
    <xf numFmtId="178" fontId="9"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76" fontId="9"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ont>
        <b val="1"/>
        <color rgb="FF006100"/>
      </font>
      <fill>
        <patternFill>
          <bgColor rgb="FFC6EFCE"/>
        </patternFill>
      </fill>
    </dxf>
    <dxf>
      <font>
        <b val="1"/>
        <color rgb="FF9C0006"/>
      </font>
      <fill>
        <patternFill>
          <bgColor rgb="FFFFC7CE"/>
        </patternFill>
      </fill>
    </dxf>
    <dxf>
      <font>
        <b val="1"/>
        <color rgb="FF006100"/>
      </font>
    </dxf>
    <dxf>
      <font>
        <b val="1"/>
        <color rgb="FF9C0006"/>
      </font>
    </dxf>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548235"/>
      <rgbColor rgb="FF800080"/>
      <rgbColor rgb="FF008080"/>
      <rgbColor rgb="FFBFBFBF"/>
      <rgbColor rgb="FF7F7F7F"/>
      <rgbColor rgb="FFA6A6A6"/>
      <rgbColor rgb="FF993366"/>
      <rgbColor rgb="FFF2F2F2"/>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C55A11"/>
      <rgbColor rgb="FF595959"/>
      <rgbColor rgb="FF878787"/>
      <rgbColor rgb="FF1F3864"/>
      <rgbColor rgb="FF2E8B8B"/>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Net Revenue &amp; Gross Profit (INR) with GP %</a:t>
            </a:r>
          </a:p>
        </c:rich>
      </c:tx>
      <c:overlay val="0"/>
      <c:spPr>
        <a:noFill/>
        <a:ln w="0">
          <a:noFill/>
        </a:ln>
      </c:spPr>
    </c:title>
    <c:autoTitleDeleted val="0"/>
    <c:plotArea>
      <c:barChart>
        <c:barDir val="col"/>
        <c:grouping val="clustered"/>
        <c:varyColors val="0"/>
        <c:ser>
          <c:idx val="0"/>
          <c:order val="0"/>
          <c:tx>
            <c:strRef>
              <c:f>Monthly_MIS!E8</c:f>
              <c:strCache>
                <c:ptCount val="1"/>
                <c:pt idx="0">
                  <c:v>Net Revenue (INR)</c:v>
                </c:pt>
              </c:strCache>
            </c:strRef>
          </c:tx>
          <c:spPr>
            <a:solidFill>
              <a:srgbClr val="1f386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Monthly_MIS!$A$9:$A$29</c:f>
              <c:strCache>
                <c:ptCount val="21"/>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pt idx="17">
                  <c:v>2026-06</c:v>
                </c:pt>
                <c:pt idx="18">
                  <c:v>2026-07</c:v>
                </c:pt>
                <c:pt idx="19">
                  <c:v>2026-08</c:v>
                </c:pt>
                <c:pt idx="20">
                  <c:v>2026-09</c:v>
                </c:pt>
              </c:strCache>
            </c:strRef>
          </c:cat>
          <c:val>
            <c:numRef>
              <c:f>Monthly_MIS!$E$9:$E$29</c:f>
              <c:numCache>
                <c:formatCode>[&gt;=10000000]##\,##\,##\,##0;[&gt;=100000]##\,##\,##0;##,##0</c:formatCode>
                <c:ptCount val="21"/>
                <c:pt idx="0">
                  <c:v>2235970.65</c:v>
                </c:pt>
                <c:pt idx="1">
                  <c:v>2186134.57</c:v>
                </c:pt>
                <c:pt idx="2">
                  <c:v>1892456.31</c:v>
                </c:pt>
                <c:pt idx="3">
                  <c:v>2046367.5</c:v>
                </c:pt>
                <c:pt idx="4">
                  <c:v>1854769</c:v>
                </c:pt>
                <c:pt idx="5">
                  <c:v>2022308.48</c:v>
                </c:pt>
                <c:pt idx="6">
                  <c:v>2118994.93</c:v>
                </c:pt>
                <c:pt idx="7">
                  <c:v>2077890.72</c:v>
                </c:pt>
                <c:pt idx="8">
                  <c:v>1987738.34</c:v>
                </c:pt>
                <c:pt idx="9">
                  <c:v>1869248.17</c:v>
                </c:pt>
                <c:pt idx="10">
                  <c:v>2011362.92</c:v>
                </c:pt>
                <c:pt idx="11">
                  <c:v>2195809.83</c:v>
                </c:pt>
                <c:pt idx="12">
                  <c:v>1873462.95</c:v>
                </c:pt>
                <c:pt idx="13">
                  <c:v>2004732.02</c:v>
                </c:pt>
                <c:pt idx="14">
                  <c:v>1984215.76</c:v>
                </c:pt>
                <c:pt idx="15">
                  <c:v>1938660.22</c:v>
                </c:pt>
                <c:pt idx="16">
                  <c:v>2190614.59</c:v>
                </c:pt>
                <c:pt idx="17">
                  <c:v>1949299.04</c:v>
                </c:pt>
                <c:pt idx="18">
                  <c:v>2260040.79</c:v>
                </c:pt>
                <c:pt idx="19">
                  <c:v>2055159.07</c:v>
                </c:pt>
                <c:pt idx="20">
                  <c:v>1837789.44</c:v>
                </c:pt>
              </c:numCache>
            </c:numRef>
          </c:val>
        </c:ser>
        <c:ser>
          <c:idx val="1"/>
          <c:order val="1"/>
          <c:tx>
            <c:strRef>
              <c:f>Monthly_MIS!G8</c:f>
              <c:strCache>
                <c:ptCount val="1"/>
                <c:pt idx="0">
                  <c:v>Gross Profit (INR)</c:v>
                </c:pt>
              </c:strCache>
            </c:strRef>
          </c:tx>
          <c:spPr>
            <a:solidFill>
              <a:srgbClr val="2e8b8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Monthly_MIS!$A$9:$A$29</c:f>
              <c:strCache>
                <c:ptCount val="21"/>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pt idx="17">
                  <c:v>2026-06</c:v>
                </c:pt>
                <c:pt idx="18">
                  <c:v>2026-07</c:v>
                </c:pt>
                <c:pt idx="19">
                  <c:v>2026-08</c:v>
                </c:pt>
                <c:pt idx="20">
                  <c:v>2026-09</c:v>
                </c:pt>
              </c:strCache>
            </c:strRef>
          </c:cat>
          <c:val>
            <c:numRef>
              <c:f>Monthly_MIS!$G$9:$G$29</c:f>
              <c:numCache>
                <c:formatCode>[&gt;=10000000]##\,##\,##\,##0;[&gt;=100000]##\,##\,##0;##,##0</c:formatCode>
                <c:ptCount val="21"/>
                <c:pt idx="0">
                  <c:v>785381.64</c:v>
                </c:pt>
                <c:pt idx="1">
                  <c:v>787006.33</c:v>
                </c:pt>
                <c:pt idx="2">
                  <c:v>658531.2</c:v>
                </c:pt>
                <c:pt idx="3">
                  <c:v>741588.7</c:v>
                </c:pt>
                <c:pt idx="4">
                  <c:v>678309.89</c:v>
                </c:pt>
                <c:pt idx="5">
                  <c:v>714708.53</c:v>
                </c:pt>
                <c:pt idx="6">
                  <c:v>759360.9</c:v>
                </c:pt>
                <c:pt idx="7">
                  <c:v>747687.24</c:v>
                </c:pt>
                <c:pt idx="8">
                  <c:v>726599.29</c:v>
                </c:pt>
                <c:pt idx="9">
                  <c:v>663285.56</c:v>
                </c:pt>
                <c:pt idx="10">
                  <c:v>699317.88</c:v>
                </c:pt>
                <c:pt idx="11">
                  <c:v>789221.75</c:v>
                </c:pt>
                <c:pt idx="12">
                  <c:v>667954.83</c:v>
                </c:pt>
                <c:pt idx="13">
                  <c:v>719003.36</c:v>
                </c:pt>
                <c:pt idx="14">
                  <c:v>708034.31</c:v>
                </c:pt>
                <c:pt idx="15">
                  <c:v>683849.4</c:v>
                </c:pt>
                <c:pt idx="16">
                  <c:v>779866.74</c:v>
                </c:pt>
                <c:pt idx="17">
                  <c:v>680115.93</c:v>
                </c:pt>
                <c:pt idx="18">
                  <c:v>815880.81</c:v>
                </c:pt>
                <c:pt idx="19">
                  <c:v>737780.56</c:v>
                </c:pt>
                <c:pt idx="20">
                  <c:v>668945.26</c:v>
                </c:pt>
              </c:numCache>
            </c:numRef>
          </c:val>
        </c:ser>
        <c:gapWidth val="150"/>
        <c:overlap val="0"/>
        <c:axId val="58670029"/>
        <c:axId val="5187269"/>
      </c:barChart>
      <c:lineChart>
        <c:grouping val="standard"/>
        <c:varyColors val="0"/>
        <c:ser>
          <c:idx val="2"/>
          <c:order val="2"/>
          <c:tx>
            <c:strRef>
              <c:f>Monthly_MIS!H8</c:f>
              <c:strCache>
                <c:ptCount val="1"/>
                <c:pt idx="0">
                  <c:v>GP %</c:v>
                </c:pt>
              </c:strCache>
            </c:strRef>
          </c:tx>
          <c:spPr>
            <a:solidFill>
              <a:srgbClr val="c55a11"/>
            </a:solidFill>
            <a:ln w="28080">
              <a:solidFill>
                <a:srgbClr val="c55a11"/>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Monthly_MIS!$A$9:$A$29</c:f>
              <c:strCache>
                <c:ptCount val="21"/>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pt idx="17">
                  <c:v>2026-06</c:v>
                </c:pt>
                <c:pt idx="18">
                  <c:v>2026-07</c:v>
                </c:pt>
                <c:pt idx="19">
                  <c:v>2026-08</c:v>
                </c:pt>
                <c:pt idx="20">
                  <c:v>2026-09</c:v>
                </c:pt>
              </c:strCache>
            </c:strRef>
          </c:cat>
          <c:val>
            <c:numRef>
              <c:f>Monthly_MIS!$H$9:$H$29</c:f>
              <c:numCache>
                <c:formatCode>0.0%</c:formatCode>
                <c:ptCount val="21"/>
                <c:pt idx="0">
                  <c:v>0.351248635575784</c:v>
                </c:pt>
                <c:pt idx="1">
                  <c:v>0.359999032447486</c:v>
                </c:pt>
                <c:pt idx="2">
                  <c:v>0.347976963336078</c:v>
                </c:pt>
                <c:pt idx="3">
                  <c:v>0.362392727601469</c:v>
                </c:pt>
                <c:pt idx="4">
                  <c:v>0.365711250295859</c:v>
                </c:pt>
                <c:pt idx="5">
                  <c:v>0.353412220276107</c:v>
                </c:pt>
                <c:pt idx="6">
                  <c:v>0.358358998055743</c:v>
                </c:pt>
                <c:pt idx="7">
                  <c:v>0.359829914443239</c:v>
                </c:pt>
                <c:pt idx="8">
                  <c:v>0.365540712969294</c:v>
                </c:pt>
                <c:pt idx="9">
                  <c:v>0.354840823516762</c:v>
                </c:pt>
                <c:pt idx="10">
                  <c:v>0.347683589593071</c:v>
                </c:pt>
                <c:pt idx="11">
                  <c:v>0.35942172187106</c:v>
                </c:pt>
                <c:pt idx="12">
                  <c:v>0.356534849007823</c:v>
                </c:pt>
                <c:pt idx="13">
                  <c:v>0.358653103171366</c:v>
                </c:pt>
                <c:pt idx="14">
                  <c:v>0.356833326432202</c:v>
                </c:pt>
                <c:pt idx="15">
                  <c:v>0.352743298152577</c:v>
                </c:pt>
                <c:pt idx="16">
                  <c:v>0.356003627274298</c:v>
                </c:pt>
                <c:pt idx="17">
                  <c:v>0.348902818933313</c:v>
                </c:pt>
                <c:pt idx="18">
                  <c:v>0.361002692345212</c:v>
                </c:pt>
                <c:pt idx="19">
                  <c:v>0.358989516076729</c:v>
                </c:pt>
                <c:pt idx="20">
                  <c:v>0.363994506356506</c:v>
                </c:pt>
              </c:numCache>
            </c:numRef>
          </c:val>
          <c:smooth val="0"/>
        </c:ser>
        <c:hiLowLines>
          <c:spPr>
            <a:ln w="0">
              <a:noFill/>
            </a:ln>
          </c:spPr>
        </c:hiLowLines>
        <c:marker val="0"/>
        <c:axId val="39615020"/>
        <c:axId val="32029075"/>
      </c:lineChart>
      <c:catAx>
        <c:axId val="58670029"/>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5187269"/>
        <c:crosses val="autoZero"/>
        <c:auto val="1"/>
        <c:lblAlgn val="ctr"/>
        <c:lblOffset val="100"/>
        <c:noMultiLvlLbl val="0"/>
      </c:catAx>
      <c:valAx>
        <c:axId val="5187269"/>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INR</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670029"/>
        <c:crosses val="autoZero"/>
        <c:crossBetween val="between"/>
      </c:valAx>
      <c:catAx>
        <c:axId val="39615020"/>
        <c:scaling>
          <c:orientation val="minMax"/>
        </c:scaling>
        <c:delete val="0"/>
        <c:axPos val="t"/>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32029075"/>
        <c:crosses val="autoZero"/>
        <c:auto val="1"/>
        <c:lblAlgn val="ctr"/>
        <c:lblOffset val="100"/>
        <c:noMultiLvlLbl val="0"/>
      </c:catAx>
      <c:valAx>
        <c:axId val="32029075"/>
        <c:scaling>
          <c:orientation val="minMax"/>
          <c:max val="0.4"/>
          <c:min val="0.3"/>
        </c:scaling>
        <c:delete val="0"/>
        <c:axPos val="r"/>
        <c:title>
          <c:tx>
            <c:rich>
              <a:bodyPr rot="-5400000"/>
              <a:lstStyle/>
              <a:p>
                <a:pPr>
                  <a:defRPr b="1" sz="1000" spc="-1" strike="noStrike">
                    <a:solidFill>
                      <a:srgbClr val="000000"/>
                    </a:solidFill>
                    <a:latin typeface="Calibri"/>
                  </a:defRPr>
                </a:pPr>
                <a:r>
                  <a:rPr b="1" sz="1000" spc="-1" strike="noStrike">
                    <a:solidFill>
                      <a:srgbClr val="000000"/>
                    </a:solidFill>
                    <a:latin typeface="Calibri"/>
                  </a:rPr>
                  <a:t>GP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615020"/>
        <c:crosses val="max"/>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Net Revenue &amp; Gross Profit by Region (INR)</a:t>
            </a:r>
          </a:p>
        </c:rich>
      </c:tx>
      <c:overlay val="0"/>
      <c:spPr>
        <a:noFill/>
        <a:ln w="0">
          <a:noFill/>
        </a:ln>
      </c:spPr>
    </c:title>
    <c:autoTitleDeleted val="0"/>
    <c:plotArea>
      <c:barChart>
        <c:barDir val="col"/>
        <c:grouping val="clustered"/>
        <c:varyColors val="0"/>
        <c:ser>
          <c:idx val="0"/>
          <c:order val="0"/>
          <c:tx>
            <c:strRef>
              <c:f>Region_Performance!B5</c:f>
              <c:strCache>
                <c:ptCount val="1"/>
                <c:pt idx="0">
                  <c:v>Net Revenue (INR)</c:v>
                </c:pt>
              </c:strCache>
            </c:strRef>
          </c:tx>
          <c:spPr>
            <a:solidFill>
              <a:srgbClr val="1f386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Region_Performance!$A$6:$A$9</c:f>
              <c:strCache>
                <c:ptCount val="4"/>
                <c:pt idx="0">
                  <c:v>East</c:v>
                </c:pt>
                <c:pt idx="1">
                  <c:v>North</c:v>
                </c:pt>
                <c:pt idx="2">
                  <c:v>South</c:v>
                </c:pt>
                <c:pt idx="3">
                  <c:v>West</c:v>
                </c:pt>
              </c:strCache>
            </c:strRef>
          </c:cat>
          <c:val>
            <c:numRef>
              <c:f>Region_Performance!$B$6:$B$9</c:f>
              <c:numCache>
                <c:formatCode>[&gt;=10000000]##\,##\,##\,##0;[&gt;=100000]##\,##\,##0;##,##0</c:formatCode>
                <c:ptCount val="4"/>
                <c:pt idx="0">
                  <c:v>10080345.65</c:v>
                </c:pt>
                <c:pt idx="1">
                  <c:v>12412351.01</c:v>
                </c:pt>
                <c:pt idx="2">
                  <c:v>8028818.42</c:v>
                </c:pt>
                <c:pt idx="3">
                  <c:v>12071510.22</c:v>
                </c:pt>
              </c:numCache>
            </c:numRef>
          </c:val>
        </c:ser>
        <c:ser>
          <c:idx val="1"/>
          <c:order val="1"/>
          <c:tx>
            <c:strRef>
              <c:f>Region_Performance!D5</c:f>
              <c:strCache>
                <c:ptCount val="1"/>
                <c:pt idx="0">
                  <c:v>Gross Profit (INR)</c:v>
                </c:pt>
              </c:strCache>
            </c:strRef>
          </c:tx>
          <c:spPr>
            <a:solidFill>
              <a:srgbClr val="2e8b8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Region_Performance!$A$6:$A$9</c:f>
              <c:strCache>
                <c:ptCount val="4"/>
                <c:pt idx="0">
                  <c:v>East</c:v>
                </c:pt>
                <c:pt idx="1">
                  <c:v>North</c:v>
                </c:pt>
                <c:pt idx="2">
                  <c:v>South</c:v>
                </c:pt>
                <c:pt idx="3">
                  <c:v>West</c:v>
                </c:pt>
              </c:strCache>
            </c:strRef>
          </c:cat>
          <c:val>
            <c:numRef>
              <c:f>Region_Performance!$D$6:$D$9</c:f>
              <c:numCache>
                <c:formatCode>[&gt;=10000000]##\,##\,##\,##0;[&gt;=100000]##\,##\,##0;##,##0</c:formatCode>
                <c:ptCount val="4"/>
                <c:pt idx="0">
                  <c:v>3669742.98</c:v>
                </c:pt>
                <c:pt idx="1">
                  <c:v>4543187.39</c:v>
                </c:pt>
                <c:pt idx="2">
                  <c:v>2653764.46</c:v>
                </c:pt>
                <c:pt idx="3">
                  <c:v>4345735.28</c:v>
                </c:pt>
              </c:numCache>
            </c:numRef>
          </c:val>
        </c:ser>
        <c:gapWidth val="150"/>
        <c:overlap val="0"/>
        <c:axId val="81970106"/>
        <c:axId val="54135338"/>
      </c:barChart>
      <c:catAx>
        <c:axId val="8197010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4135338"/>
        <c:crosses val="autoZero"/>
        <c:auto val="1"/>
        <c:lblAlgn val="ctr"/>
        <c:lblOffset val="100"/>
        <c:noMultiLvlLbl val="0"/>
      </c:catAx>
      <c:valAx>
        <c:axId val="54135338"/>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97010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Gross Profit % by Region</a:t>
            </a:r>
          </a:p>
        </c:rich>
      </c:tx>
      <c:overlay val="0"/>
      <c:spPr>
        <a:noFill/>
        <a:ln w="0">
          <a:noFill/>
        </a:ln>
      </c:spPr>
    </c:title>
    <c:autoTitleDeleted val="0"/>
    <c:plotArea>
      <c:barChart>
        <c:barDir val="col"/>
        <c:grouping val="clustered"/>
        <c:varyColors val="0"/>
        <c:ser>
          <c:idx val="0"/>
          <c:order val="0"/>
          <c:tx>
            <c:strRef>
              <c:f>Region_Performance!E5</c:f>
              <c:strCache>
                <c:ptCount val="1"/>
                <c:pt idx="0">
                  <c:v>GP %</c:v>
                </c:pt>
              </c:strCache>
            </c:strRef>
          </c:tx>
          <c:spPr>
            <a:solidFill>
              <a:srgbClr val="c55a1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Region_Performance!$A$6:$A$9</c:f>
              <c:strCache>
                <c:ptCount val="4"/>
                <c:pt idx="0">
                  <c:v>East</c:v>
                </c:pt>
                <c:pt idx="1">
                  <c:v>North</c:v>
                </c:pt>
                <c:pt idx="2">
                  <c:v>South</c:v>
                </c:pt>
                <c:pt idx="3">
                  <c:v>West</c:v>
                </c:pt>
              </c:strCache>
            </c:strRef>
          </c:cat>
          <c:val>
            <c:numRef>
              <c:f>Region_Performance!$E$6:$E$9</c:f>
              <c:numCache>
                <c:formatCode>0.0%</c:formatCode>
                <c:ptCount val="4"/>
                <c:pt idx="0">
                  <c:v>0.364049320074654</c:v>
                </c:pt>
                <c:pt idx="1">
                  <c:v>0.366021504414416</c:v>
                </c:pt>
                <c:pt idx="2">
                  <c:v>0.330529888855053</c:v>
                </c:pt>
                <c:pt idx="3">
                  <c:v>0.35999930421299</c:v>
                </c:pt>
              </c:numCache>
            </c:numRef>
          </c:val>
        </c:ser>
        <c:gapWidth val="150"/>
        <c:overlap val="0"/>
        <c:axId val="33598129"/>
        <c:axId val="46977670"/>
      </c:barChart>
      <c:catAx>
        <c:axId val="3359812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977670"/>
        <c:crosses val="autoZero"/>
        <c:auto val="1"/>
        <c:lblAlgn val="ctr"/>
        <c:lblOffset val="100"/>
        <c:noMultiLvlLbl val="0"/>
      </c:catAx>
      <c:valAx>
        <c:axId val="46977670"/>
        <c:scaling>
          <c:orientation val="minMax"/>
          <c:max val="0.45"/>
          <c:min val="0.25"/>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59812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Net Revenue &amp; Gross Profit by Product (INR)</a:t>
            </a:r>
          </a:p>
        </c:rich>
      </c:tx>
      <c:overlay val="0"/>
      <c:spPr>
        <a:noFill/>
        <a:ln w="0">
          <a:noFill/>
        </a:ln>
      </c:spPr>
    </c:title>
    <c:autoTitleDeleted val="0"/>
    <c:plotArea>
      <c:barChart>
        <c:barDir val="col"/>
        <c:grouping val="clustered"/>
        <c:varyColors val="0"/>
        <c:ser>
          <c:idx val="0"/>
          <c:order val="0"/>
          <c:tx>
            <c:strRef>
              <c:f>Product_Performance!C5</c:f>
              <c:strCache>
                <c:ptCount val="1"/>
                <c:pt idx="0">
                  <c:v>Net Revenue (INR)</c:v>
                </c:pt>
              </c:strCache>
            </c:strRef>
          </c:tx>
          <c:spPr>
            <a:solidFill>
              <a:srgbClr val="1f386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Product_Performance!$A$6:$A$13</c:f>
              <c:strCache>
                <c:ptCount val="8"/>
                <c:pt idx="0">
                  <c:v>Detergent 1kg</c:v>
                </c:pt>
                <c:pt idx="1">
                  <c:v>Dishwash Gel</c:v>
                </c:pt>
                <c:pt idx="2">
                  <c:v>Shampoo 400ml</c:v>
                </c:pt>
                <c:pt idx="3">
                  <c:v>Soap 4-pack</c:v>
                </c:pt>
                <c:pt idx="4">
                  <c:v>Biscuits 500g</c:v>
                </c:pt>
                <c:pt idx="5">
                  <c:v>Breakfast Cereal</c:v>
                </c:pt>
                <c:pt idx="6">
                  <c:v>Floor Cleaner</c:v>
                </c:pt>
                <c:pt idx="7">
                  <c:v>Body Lotion</c:v>
                </c:pt>
              </c:strCache>
            </c:strRef>
          </c:cat>
          <c:val>
            <c:numRef>
              <c:f>Product_Performance!$C$6:$C$13</c:f>
              <c:numCache>
                <c:formatCode>[&gt;=10000000]##\,##\,##\,##0;[&gt;=100000]##\,##\,##0;##,##0</c:formatCode>
                <c:ptCount val="8"/>
                <c:pt idx="0">
                  <c:v>5329802.37</c:v>
                </c:pt>
                <c:pt idx="1">
                  <c:v>3716909.9</c:v>
                </c:pt>
                <c:pt idx="2">
                  <c:v>7438401.03</c:v>
                </c:pt>
                <c:pt idx="3">
                  <c:v>4437357.46</c:v>
                </c:pt>
                <c:pt idx="4">
                  <c:v>2699016.05</c:v>
                </c:pt>
                <c:pt idx="5">
                  <c:v>6363435.75</c:v>
                </c:pt>
                <c:pt idx="6">
                  <c:v>4633109.19</c:v>
                </c:pt>
                <c:pt idx="7">
                  <c:v>7974993.55</c:v>
                </c:pt>
              </c:numCache>
            </c:numRef>
          </c:val>
        </c:ser>
        <c:ser>
          <c:idx val="1"/>
          <c:order val="1"/>
          <c:tx>
            <c:strRef>
              <c:f>Product_Performance!E5</c:f>
              <c:strCache>
                <c:ptCount val="1"/>
                <c:pt idx="0">
                  <c:v>Gross Profit (INR)</c:v>
                </c:pt>
              </c:strCache>
            </c:strRef>
          </c:tx>
          <c:spPr>
            <a:solidFill>
              <a:srgbClr val="2e8b8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Product_Performance!$A$6:$A$13</c:f>
              <c:strCache>
                <c:ptCount val="8"/>
                <c:pt idx="0">
                  <c:v>Detergent 1kg</c:v>
                </c:pt>
                <c:pt idx="1">
                  <c:v>Dishwash Gel</c:v>
                </c:pt>
                <c:pt idx="2">
                  <c:v>Shampoo 400ml</c:v>
                </c:pt>
                <c:pt idx="3">
                  <c:v>Soap 4-pack</c:v>
                </c:pt>
                <c:pt idx="4">
                  <c:v>Biscuits 500g</c:v>
                </c:pt>
                <c:pt idx="5">
                  <c:v>Breakfast Cereal</c:v>
                </c:pt>
                <c:pt idx="6">
                  <c:v>Floor Cleaner</c:v>
                </c:pt>
                <c:pt idx="7">
                  <c:v>Body Lotion</c:v>
                </c:pt>
              </c:strCache>
            </c:strRef>
          </c:cat>
          <c:val>
            <c:numRef>
              <c:f>Product_Performance!$E$6:$E$13</c:f>
              <c:numCache>
                <c:formatCode>[&gt;=10000000]##\,##\,##\,##0;[&gt;=100000]##\,##\,##0;##,##0</c:formatCode>
                <c:ptCount val="8"/>
                <c:pt idx="0">
                  <c:v>1736856.38</c:v>
                </c:pt>
                <c:pt idx="1">
                  <c:v>1466290.46</c:v>
                </c:pt>
                <c:pt idx="2">
                  <c:v>2606465.88</c:v>
                </c:pt>
                <c:pt idx="3">
                  <c:v>1858487.45</c:v>
                </c:pt>
                <c:pt idx="4">
                  <c:v>916908.08</c:v>
                </c:pt>
                <c:pt idx="5">
                  <c:v>2203452.52</c:v>
                </c:pt>
                <c:pt idx="6">
                  <c:v>1739269.4</c:v>
                </c:pt>
                <c:pt idx="7">
                  <c:v>2684699.94</c:v>
                </c:pt>
              </c:numCache>
            </c:numRef>
          </c:val>
        </c:ser>
        <c:gapWidth val="150"/>
        <c:overlap val="0"/>
        <c:axId val="88006840"/>
        <c:axId val="42333053"/>
      </c:barChart>
      <c:catAx>
        <c:axId val="8800684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333053"/>
        <c:crosses val="autoZero"/>
        <c:auto val="1"/>
        <c:lblAlgn val="ctr"/>
        <c:lblOffset val="100"/>
        <c:noMultiLvlLbl val="0"/>
      </c:catAx>
      <c:valAx>
        <c:axId val="42333053"/>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800684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Gross Profit % by Product</a:t>
            </a:r>
          </a:p>
        </c:rich>
      </c:tx>
      <c:overlay val="0"/>
      <c:spPr>
        <a:noFill/>
        <a:ln w="0">
          <a:noFill/>
        </a:ln>
      </c:spPr>
    </c:title>
    <c:autoTitleDeleted val="0"/>
    <c:plotArea>
      <c:barChart>
        <c:barDir val="col"/>
        <c:grouping val="clustered"/>
        <c:varyColors val="0"/>
        <c:ser>
          <c:idx val="0"/>
          <c:order val="0"/>
          <c:tx>
            <c:strRef>
              <c:f>Product_Performance!F5</c:f>
              <c:strCache>
                <c:ptCount val="1"/>
                <c:pt idx="0">
                  <c:v>GP %</c:v>
                </c:pt>
              </c:strCache>
            </c:strRef>
          </c:tx>
          <c:spPr>
            <a:solidFill>
              <a:srgbClr val="c55a1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Product_Performance!$A$6:$A$13</c:f>
              <c:strCache>
                <c:ptCount val="8"/>
                <c:pt idx="0">
                  <c:v>Detergent 1kg</c:v>
                </c:pt>
                <c:pt idx="1">
                  <c:v>Dishwash Gel</c:v>
                </c:pt>
                <c:pt idx="2">
                  <c:v>Shampoo 400ml</c:v>
                </c:pt>
                <c:pt idx="3">
                  <c:v>Soap 4-pack</c:v>
                </c:pt>
                <c:pt idx="4">
                  <c:v>Biscuits 500g</c:v>
                </c:pt>
                <c:pt idx="5">
                  <c:v>Breakfast Cereal</c:v>
                </c:pt>
                <c:pt idx="6">
                  <c:v>Floor Cleaner</c:v>
                </c:pt>
                <c:pt idx="7">
                  <c:v>Body Lotion</c:v>
                </c:pt>
              </c:strCache>
            </c:strRef>
          </c:cat>
          <c:val>
            <c:numRef>
              <c:f>Product_Performance!$F$6:$F$13</c:f>
              <c:numCache>
                <c:formatCode>0.0%</c:formatCode>
                <c:ptCount val="8"/>
                <c:pt idx="0">
                  <c:v>0.32587631950038</c:v>
                </c:pt>
                <c:pt idx="1">
                  <c:v>0.39449179545622</c:v>
                </c:pt>
                <c:pt idx="2">
                  <c:v>0.350406743262134</c:v>
                </c:pt>
                <c:pt idx="3">
                  <c:v>0.418827526687471</c:v>
                </c:pt>
                <c:pt idx="4">
                  <c:v>0.339719387737616</c:v>
                </c:pt>
                <c:pt idx="5">
                  <c:v>0.346267740661953</c:v>
                </c:pt>
                <c:pt idx="6">
                  <c:v>0.375400045341906</c:v>
                </c:pt>
                <c:pt idx="7">
                  <c:v>0.336639763175733</c:v>
                </c:pt>
              </c:numCache>
            </c:numRef>
          </c:val>
        </c:ser>
        <c:gapWidth val="150"/>
        <c:overlap val="0"/>
        <c:axId val="61284914"/>
        <c:axId val="34173145"/>
      </c:barChart>
      <c:catAx>
        <c:axId val="6128491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173145"/>
        <c:crosses val="autoZero"/>
        <c:auto val="1"/>
        <c:lblAlgn val="ctr"/>
        <c:lblOffset val="100"/>
        <c:noMultiLvlLbl val="0"/>
      </c:catAx>
      <c:valAx>
        <c:axId val="34173145"/>
        <c:scaling>
          <c:orientation val="minMax"/>
          <c:max val="0.45"/>
          <c:min val="0.25"/>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28491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Actual vs SYNTHETIC v2 Budget - Revenue (illustrative)</a:t>
            </a:r>
          </a:p>
        </c:rich>
      </c:tx>
      <c:overlay val="0"/>
      <c:spPr>
        <a:noFill/>
        <a:ln w="0">
          <a:noFill/>
        </a:ln>
      </c:spPr>
    </c:title>
    <c:autoTitleDeleted val="0"/>
    <c:plotArea>
      <c:barChart>
        <c:barDir val="col"/>
        <c:grouping val="clustered"/>
        <c:varyColors val="0"/>
        <c:ser>
          <c:idx val="0"/>
          <c:order val="0"/>
          <c:tx>
            <c:strRef>
              <c:f>Budget_vs_Actual_v2!B4</c:f>
              <c:strCache>
                <c:ptCount val="1"/>
                <c:pt idx="0">
                  <c:v>v2 Budget Revenue</c:v>
                </c:pt>
              </c:strCache>
            </c:strRef>
          </c:tx>
          <c:spPr>
            <a:solidFill>
              <a:srgbClr val="a6a6a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Budget_vs_Actual_v2!$A$5:$A$25</c:f>
              <c:strCache>
                <c:ptCount val="21"/>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pt idx="17">
                  <c:v>2026-06</c:v>
                </c:pt>
                <c:pt idx="18">
                  <c:v>2026-07</c:v>
                </c:pt>
                <c:pt idx="19">
                  <c:v>2026-08</c:v>
                </c:pt>
                <c:pt idx="20">
                  <c:v>2026-09</c:v>
                </c:pt>
              </c:strCache>
            </c:strRef>
          </c:cat>
          <c:val>
            <c:numRef>
              <c:f>Budget_vs_Actual_v2!$B$5:$B$25</c:f>
              <c:numCache>
                <c:formatCode>[&gt;=10000000]##\,##\,##\,##0;[&gt;=100000]##\,##\,##0;##,##0</c:formatCode>
                <c:ptCount val="21"/>
                <c:pt idx="0">
                  <c:v>2041587.61833333</c:v>
                </c:pt>
                <c:pt idx="1">
                  <c:v>2041587.61833333</c:v>
                </c:pt>
                <c:pt idx="2">
                  <c:v>2041587.61833333</c:v>
                </c:pt>
                <c:pt idx="3">
                  <c:v>2041587.61833333</c:v>
                </c:pt>
                <c:pt idx="4">
                  <c:v>2041587.61833333</c:v>
                </c:pt>
                <c:pt idx="5">
                  <c:v>2041587.61833333</c:v>
                </c:pt>
                <c:pt idx="6">
                  <c:v>2041587.61833333</c:v>
                </c:pt>
                <c:pt idx="7">
                  <c:v>2041587.61833333</c:v>
                </c:pt>
                <c:pt idx="8">
                  <c:v>2041587.61833333</c:v>
                </c:pt>
                <c:pt idx="9">
                  <c:v>2041587.61833333</c:v>
                </c:pt>
                <c:pt idx="10">
                  <c:v>2041587.61833333</c:v>
                </c:pt>
                <c:pt idx="11">
                  <c:v>2041587.61833333</c:v>
                </c:pt>
                <c:pt idx="12">
                  <c:v>2204914.6278</c:v>
                </c:pt>
                <c:pt idx="13">
                  <c:v>2204914.6278</c:v>
                </c:pt>
                <c:pt idx="14">
                  <c:v>2204914.6278</c:v>
                </c:pt>
                <c:pt idx="15">
                  <c:v>2204914.6278</c:v>
                </c:pt>
                <c:pt idx="16">
                  <c:v>2204914.6278</c:v>
                </c:pt>
                <c:pt idx="17">
                  <c:v>2204914.6278</c:v>
                </c:pt>
                <c:pt idx="18">
                  <c:v>2204914.6278</c:v>
                </c:pt>
                <c:pt idx="19">
                  <c:v>2204914.6278</c:v>
                </c:pt>
                <c:pt idx="20">
                  <c:v>2204914.6278</c:v>
                </c:pt>
              </c:numCache>
            </c:numRef>
          </c:val>
        </c:ser>
        <c:ser>
          <c:idx val="1"/>
          <c:order val="1"/>
          <c:tx>
            <c:strRef>
              <c:f>Budget_vs_Actual_v2!C4</c:f>
              <c:strCache>
                <c:ptCount val="1"/>
                <c:pt idx="0">
                  <c:v>Actual Revenue</c:v>
                </c:pt>
              </c:strCache>
            </c:strRef>
          </c:tx>
          <c:spPr>
            <a:solidFill>
              <a:srgbClr val="1f386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Budget_vs_Actual_v2!$A$5:$A$25</c:f>
              <c:strCache>
                <c:ptCount val="21"/>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pt idx="17">
                  <c:v>2026-06</c:v>
                </c:pt>
                <c:pt idx="18">
                  <c:v>2026-07</c:v>
                </c:pt>
                <c:pt idx="19">
                  <c:v>2026-08</c:v>
                </c:pt>
                <c:pt idx="20">
                  <c:v>2026-09</c:v>
                </c:pt>
              </c:strCache>
            </c:strRef>
          </c:cat>
          <c:val>
            <c:numRef>
              <c:f>Budget_vs_Actual_v2!$C$5:$C$25</c:f>
              <c:numCache>
                <c:formatCode>[&gt;=10000000]##\,##\,##\,##0;[&gt;=100000]##\,##\,##0;##,##0</c:formatCode>
                <c:ptCount val="21"/>
                <c:pt idx="0">
                  <c:v>2235970.65</c:v>
                </c:pt>
                <c:pt idx="1">
                  <c:v>2186134.57</c:v>
                </c:pt>
                <c:pt idx="2">
                  <c:v>1892456.31</c:v>
                </c:pt>
                <c:pt idx="3">
                  <c:v>2046367.5</c:v>
                </c:pt>
                <c:pt idx="4">
                  <c:v>1854769</c:v>
                </c:pt>
                <c:pt idx="5">
                  <c:v>2022308.48</c:v>
                </c:pt>
                <c:pt idx="6">
                  <c:v>2118994.93</c:v>
                </c:pt>
                <c:pt idx="7">
                  <c:v>2077890.72</c:v>
                </c:pt>
                <c:pt idx="8">
                  <c:v>1987738.34</c:v>
                </c:pt>
                <c:pt idx="9">
                  <c:v>1869248.17</c:v>
                </c:pt>
                <c:pt idx="10">
                  <c:v>2011362.92</c:v>
                </c:pt>
                <c:pt idx="11">
                  <c:v>2195809.83</c:v>
                </c:pt>
                <c:pt idx="12">
                  <c:v>1873462.95</c:v>
                </c:pt>
                <c:pt idx="13">
                  <c:v>2004732.02</c:v>
                </c:pt>
                <c:pt idx="14">
                  <c:v>1984215.76</c:v>
                </c:pt>
                <c:pt idx="15">
                  <c:v>1938660.22</c:v>
                </c:pt>
                <c:pt idx="16">
                  <c:v>2190614.59</c:v>
                </c:pt>
                <c:pt idx="17">
                  <c:v>1949299.04</c:v>
                </c:pt>
                <c:pt idx="18">
                  <c:v>2260040.79</c:v>
                </c:pt>
                <c:pt idx="19">
                  <c:v>2055159.07</c:v>
                </c:pt>
                <c:pt idx="20">
                  <c:v>1837789.44</c:v>
                </c:pt>
              </c:numCache>
            </c:numRef>
          </c:val>
        </c:ser>
        <c:gapWidth val="150"/>
        <c:overlap val="0"/>
        <c:axId val="72247107"/>
        <c:axId val="95267010"/>
      </c:barChart>
      <c:catAx>
        <c:axId val="7224710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5267010"/>
        <c:crosses val="autoZero"/>
        <c:auto val="1"/>
        <c:lblAlgn val="ctr"/>
        <c:lblOffset val="100"/>
        <c:noMultiLvlLbl val="0"/>
      </c:catAx>
      <c:valAx>
        <c:axId val="95267010"/>
        <c:scaling>
          <c:orientation val="minMax"/>
        </c:scaling>
        <c:delete val="0"/>
        <c:axPos val="l"/>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224710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
</Relationships>
</file>

<file path=xl/drawings/_rels/drawing3.xml.rels><?xml version="1.0" encoding="UTF-8"?>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
</Relationships>
</file>

<file path=xl/drawings/_rels/drawing4.xml.rels><?xml version="1.0" encoding="UTF-8"?>
<Relationships xmlns="http://schemas.openxmlformats.org/package/2006/relationships"><Relationship Id="rId1"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38</xdr:row>
      <xdr:rowOff>131040</xdr:rowOff>
    </xdr:from>
    <xdr:to>
      <xdr:col>8</xdr:col>
      <xdr:colOff>267120</xdr:colOff>
      <xdr:row>55</xdr:row>
      <xdr:rowOff>132120</xdr:rowOff>
    </xdr:to>
    <xdr:graphicFrame>
      <xdr:nvGraphicFramePr>
        <xdr:cNvPr id="0" name="Chart 1"/>
        <xdr:cNvGraphicFramePr/>
      </xdr:nvGraphicFramePr>
      <xdr:xfrm>
        <a:off x="0" y="7848720"/>
        <a:ext cx="93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19</xdr:row>
      <xdr:rowOff>131040</xdr:rowOff>
    </xdr:from>
    <xdr:to>
      <xdr:col>5</xdr:col>
      <xdr:colOff>57960</xdr:colOff>
      <xdr:row>35</xdr:row>
      <xdr:rowOff>142560</xdr:rowOff>
    </xdr:to>
    <xdr:graphicFrame>
      <xdr:nvGraphicFramePr>
        <xdr:cNvPr id="1" name="Chart 1"/>
        <xdr:cNvGraphicFramePr/>
      </xdr:nvGraphicFramePr>
      <xdr:xfrm>
        <a:off x="0" y="4229280"/>
        <a:ext cx="611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19</xdr:row>
      <xdr:rowOff>131040</xdr:rowOff>
    </xdr:from>
    <xdr:to>
      <xdr:col>11</xdr:col>
      <xdr:colOff>480960</xdr:colOff>
      <xdr:row>35</xdr:row>
      <xdr:rowOff>142560</xdr:rowOff>
    </xdr:to>
    <xdr:graphicFrame>
      <xdr:nvGraphicFramePr>
        <xdr:cNvPr id="2" name="Chart 2"/>
        <xdr:cNvGraphicFramePr/>
      </xdr:nvGraphicFramePr>
      <xdr:xfrm>
        <a:off x="7189560" y="4229280"/>
        <a:ext cx="6119640" cy="30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27</xdr:row>
      <xdr:rowOff>131040</xdr:rowOff>
    </xdr:from>
    <xdr:to>
      <xdr:col>5</xdr:col>
      <xdr:colOff>57960</xdr:colOff>
      <xdr:row>43</xdr:row>
      <xdr:rowOff>142560</xdr:rowOff>
    </xdr:to>
    <xdr:graphicFrame>
      <xdr:nvGraphicFramePr>
        <xdr:cNvPr id="3" name="Chart 1"/>
        <xdr:cNvGraphicFramePr/>
      </xdr:nvGraphicFramePr>
      <xdr:xfrm>
        <a:off x="0" y="5753160"/>
        <a:ext cx="611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27</xdr:row>
      <xdr:rowOff>131040</xdr:rowOff>
    </xdr:from>
    <xdr:to>
      <xdr:col>11</xdr:col>
      <xdr:colOff>480960</xdr:colOff>
      <xdr:row>43</xdr:row>
      <xdr:rowOff>142560</xdr:rowOff>
    </xdr:to>
    <xdr:graphicFrame>
      <xdr:nvGraphicFramePr>
        <xdr:cNvPr id="4" name="Chart 2"/>
        <xdr:cNvGraphicFramePr/>
      </xdr:nvGraphicFramePr>
      <xdr:xfrm>
        <a:off x="7189560" y="5753160"/>
        <a:ext cx="6119640" cy="30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51</xdr:row>
      <xdr:rowOff>0</xdr:rowOff>
    </xdr:from>
    <xdr:to>
      <xdr:col>5</xdr:col>
      <xdr:colOff>886320</xdr:colOff>
      <xdr:row>67</xdr:row>
      <xdr:rowOff>11880</xdr:rowOff>
    </xdr:to>
    <xdr:graphicFrame>
      <xdr:nvGraphicFramePr>
        <xdr:cNvPr id="5" name="Chart 1"/>
        <xdr:cNvGraphicFramePr/>
      </xdr:nvGraphicFramePr>
      <xdr:xfrm>
        <a:off x="0" y="10344240"/>
        <a:ext cx="863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12.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C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6"/>
    <col collapsed="false" customWidth="true" hidden="false" outlineLevel="0" max="3" min="3" style="0" width="96"/>
  </cols>
  <sheetData>
    <row r="1" customFormat="false" ht="19.7" hidden="false" customHeight="false" outlineLevel="0" collapsed="false">
      <c r="A1" s="1" t="s">
        <v>0</v>
      </c>
    </row>
    <row r="2" customFormat="false" ht="15" hidden="false" customHeight="false" outlineLevel="0" collapsed="false">
      <c r="A2" s="2" t="str">
        <f aca="false">"Actuals "&amp;Monthly_MIS!A9&amp;" to "&amp;Monthly_MIS!B4&amp;"  |  INR  |  Synthetic data  |  Controls: "&amp;Control_Checks!C3</f>
        <v>Actuals 2025-01 to 2026-09  |  INR  |  Synthetic data  |  Controls: ALL 51 CHECKS PASS</v>
      </c>
    </row>
    <row r="3" customFormat="false" ht="15" hidden="false" customHeight="false" outlineLevel="0" collapsed="false">
      <c r="A3" s="3" t="str">
        <f aca="false">"Budget: original Sales_Budget is "&amp;TEXT(Budget_Integrity!B5,"0.0")&amp;"x actual revenue and is NOT used. Illustrative variance only against SYNTHETIC v2 (unapproved) - see Budget_vs_Actual_v2 / Budget_Integrity."</f>
        <v>Budget: original Sales_Budget is 7.1x actual revenue and is NOT used. Illustrative variance only against SYNTHETIC v2 (unapproved) - see Budget_vs_Actual_v2 / Budget_Integrity.</v>
      </c>
    </row>
    <row r="4" customFormat="false" ht="31.5" hidden="false" customHeight="true" outlineLevel="0" collapsed="false">
      <c r="A4" s="4" t="s">
        <v>1</v>
      </c>
      <c r="B4" s="4" t="s">
        <v>2</v>
      </c>
      <c r="C4" s="4" t="s">
        <v>3</v>
      </c>
    </row>
    <row r="5" customFormat="false" ht="15" hidden="false" customHeight="false" outlineLevel="0" collapsed="false">
      <c r="A5" s="5" t="s">
        <v>4</v>
      </c>
      <c r="B5" s="6" t="n">
        <f aca="false">Monthly_MIS!E30</f>
        <v>42593025.3</v>
      </c>
      <c r="C5" s="7" t="s">
        <v>5</v>
      </c>
    </row>
    <row r="6" customFormat="false" ht="15" hidden="false" customHeight="false" outlineLevel="0" collapsed="false">
      <c r="A6" s="5" t="s">
        <v>6</v>
      </c>
      <c r="B6" s="6" t="n">
        <f aca="false">Monthly_MIS!F30</f>
        <v>27380595.19</v>
      </c>
      <c r="C6" s="7"/>
    </row>
    <row r="7" customFormat="false" ht="15" hidden="false" customHeight="false" outlineLevel="0" collapsed="false">
      <c r="A7" s="5" t="s">
        <v>7</v>
      </c>
      <c r="B7" s="6" t="n">
        <f aca="false">Monthly_MIS!G30</f>
        <v>15212430.11</v>
      </c>
      <c r="C7" s="7"/>
    </row>
    <row r="8" customFormat="false" ht="15" hidden="false" customHeight="false" outlineLevel="0" collapsed="false">
      <c r="A8" s="5" t="s">
        <v>8</v>
      </c>
      <c r="B8" s="8" t="n">
        <f aca="false">Monthly_MIS!H30</f>
        <v>0.357157774139138</v>
      </c>
      <c r="C8" s="7"/>
    </row>
    <row r="9" customFormat="false" ht="15" hidden="false" customHeight="false" outlineLevel="0" collapsed="false">
      <c r="A9" s="5" t="str">
        <f aca="false">"YTD revenue "&amp;Monthly_MIS!B5</f>
        <v>YTD revenue 2026</v>
      </c>
      <c r="B9" s="6" t="n">
        <f aca="false">Monthly_MIS!E34</f>
        <v>18093973.88</v>
      </c>
      <c r="C9" s="7" t="s">
        <v>9</v>
      </c>
    </row>
    <row r="10" customFormat="false" ht="15" hidden="false" customHeight="false" outlineLevel="0" collapsed="false">
      <c r="A10" s="5" t="s">
        <v>10</v>
      </c>
      <c r="B10" s="9" t="n">
        <f aca="false">Monthly_MIS!E37</f>
        <v>-0.0178398312879369</v>
      </c>
      <c r="C10" s="7" t="s">
        <v>11</v>
      </c>
    </row>
    <row r="11" customFormat="false" ht="15" hidden="false" customHeight="false" outlineLevel="0" collapsed="false">
      <c r="A11" s="5" t="s">
        <v>12</v>
      </c>
      <c r="B11" s="10" t="n">
        <f aca="false">Monthly_MIS!H37</f>
        <v>-0.110613480090943</v>
      </c>
      <c r="C11" s="7" t="s">
        <v>13</v>
      </c>
    </row>
    <row r="12" customFormat="false" ht="15" hidden="false" customHeight="false" outlineLevel="0" collapsed="false">
      <c r="A12" s="5" t="s">
        <v>14</v>
      </c>
      <c r="B12" s="11" t="str">
        <f aca="false">Control_Checks!C3</f>
        <v>ALL 51 CHECKS PASS</v>
      </c>
      <c r="C12" s="7" t="s">
        <v>15</v>
      </c>
    </row>
    <row r="14" customFormat="false" ht="15" hidden="false" customHeight="false" outlineLevel="0" collapsed="false">
      <c r="A14" s="12" t="s">
        <v>16</v>
      </c>
    </row>
    <row r="15" customFormat="false" ht="61.5" hidden="false" customHeight="true" outlineLevel="0" collapsed="false">
      <c r="A15" s="13" t="s">
        <v>17</v>
      </c>
      <c r="B15" s="13"/>
      <c r="C15" s="13"/>
    </row>
    <row r="16" customFormat="false" ht="39.75" hidden="false" customHeight="true" outlineLevel="0" collapsed="false">
      <c r="A16" s="13" t="s">
        <v>18</v>
      </c>
      <c r="B16" s="13"/>
      <c r="C16" s="13"/>
    </row>
    <row r="17" customFormat="false" ht="15" hidden="false" customHeight="false" outlineLevel="0" collapsed="false">
      <c r="A17" s="2" t="s">
        <v>19</v>
      </c>
    </row>
    <row r="19" customFormat="false" ht="15" hidden="false" customHeight="false" outlineLevel="0" collapsed="false">
      <c r="A19" s="12" t="s">
        <v>20</v>
      </c>
    </row>
    <row r="20" customFormat="false" ht="31.5" hidden="false" customHeight="true" outlineLevel="0" collapsed="false">
      <c r="A20" s="4" t="s">
        <v>21</v>
      </c>
      <c r="B20" s="4" t="s">
        <v>22</v>
      </c>
      <c r="C20" s="4" t="s">
        <v>23</v>
      </c>
    </row>
    <row r="21" customFormat="false" ht="43.5" hidden="false" customHeight="true" outlineLevel="0" collapsed="false">
      <c r="A21" s="14" t="s">
        <v>24</v>
      </c>
      <c r="B21" s="15" t="s">
        <v>25</v>
      </c>
      <c r="C21" s="14" t="s">
        <v>26</v>
      </c>
    </row>
    <row r="22" customFormat="false" ht="43.5" hidden="false" customHeight="true" outlineLevel="0" collapsed="false">
      <c r="A22" s="14" t="s">
        <v>27</v>
      </c>
      <c r="B22" s="15" t="s">
        <v>25</v>
      </c>
      <c r="C22" s="14" t="s">
        <v>28</v>
      </c>
    </row>
    <row r="23" customFormat="false" ht="43.5" hidden="false" customHeight="true" outlineLevel="0" collapsed="false">
      <c r="A23" s="14" t="s">
        <v>29</v>
      </c>
      <c r="B23" s="15" t="s">
        <v>30</v>
      </c>
      <c r="C23" s="14" t="s">
        <v>31</v>
      </c>
    </row>
    <row r="24" customFormat="false" ht="43.5" hidden="false" customHeight="true" outlineLevel="0" collapsed="false">
      <c r="A24" s="14" t="s">
        <v>32</v>
      </c>
      <c r="B24" s="15" t="s">
        <v>30</v>
      </c>
      <c r="C24" s="14" t="s">
        <v>33</v>
      </c>
    </row>
    <row r="25" customFormat="false" ht="43.5" hidden="false" customHeight="true" outlineLevel="0" collapsed="false">
      <c r="A25" s="14" t="s">
        <v>34</v>
      </c>
      <c r="B25" s="15" t="s">
        <v>35</v>
      </c>
      <c r="C25" s="14" t="s">
        <v>36</v>
      </c>
    </row>
    <row r="26" customFormat="false" ht="43.5" hidden="false" customHeight="true" outlineLevel="0" collapsed="false">
      <c r="A26" s="14" t="s">
        <v>37</v>
      </c>
      <c r="B26" s="15" t="s">
        <v>30</v>
      </c>
      <c r="C26" s="14" t="s">
        <v>38</v>
      </c>
    </row>
    <row r="27" customFormat="false" ht="43.5" hidden="false" customHeight="true" outlineLevel="0" collapsed="false">
      <c r="A27" s="14" t="s">
        <v>39</v>
      </c>
      <c r="B27" s="15" t="s">
        <v>40</v>
      </c>
      <c r="C27" s="14" t="s">
        <v>41</v>
      </c>
    </row>
    <row r="28" customFormat="false" ht="43.5" hidden="false" customHeight="true" outlineLevel="0" collapsed="false">
      <c r="A28" s="14" t="s">
        <v>42</v>
      </c>
      <c r="B28" s="15" t="s">
        <v>43</v>
      </c>
      <c r="C28" s="14" t="s">
        <v>44</v>
      </c>
    </row>
  </sheetData>
  <mergeCells count="2">
    <mergeCell ref="A15:C15"/>
    <mergeCell ref="A16:C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M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1"/>
    <col collapsed="false" customWidth="true" hidden="false" outlineLevel="0" max="3" min="3" style="0" width="10"/>
    <col collapsed="false" customWidth="true" hidden="false" outlineLevel="0" max="4" min="4" style="0" width="11"/>
    <col collapsed="false" customWidth="true" hidden="false" outlineLevel="0" max="5" min="5" style="0" width="18"/>
    <col collapsed="false" customWidth="true" hidden="false" outlineLevel="0" max="6" min="6" style="0" width="16"/>
    <col collapsed="false" customWidth="true" hidden="false" outlineLevel="0" max="7" min="7" style="0" width="18"/>
    <col collapsed="false" customWidth="true" hidden="false" outlineLevel="0" max="8" min="8" style="0" width="9"/>
    <col collapsed="false" customWidth="true" hidden="false" outlineLevel="0" max="10" min="9" style="0" width="14"/>
    <col collapsed="false" customWidth="true" hidden="false" outlineLevel="0" max="11" min="11" style="0" width="16"/>
    <col collapsed="false" customWidth="true" hidden="false" outlineLevel="0" max="13" min="12" style="0" width="20"/>
  </cols>
  <sheetData>
    <row r="1" customFormat="false" ht="19.7" hidden="false" customHeight="false" outlineLevel="0" collapsed="false">
      <c r="A1" s="1" t="s">
        <v>45</v>
      </c>
    </row>
    <row r="2" customFormat="false" ht="15" hidden="false" customHeight="false" outlineLevel="0" collapsed="false">
      <c r="A2" s="2" t="s">
        <v>46</v>
      </c>
    </row>
    <row r="4" customFormat="false" ht="15" hidden="false" customHeight="false" outlineLevel="0" collapsed="false">
      <c r="A4" s="16" t="s">
        <v>47</v>
      </c>
      <c r="B4" s="17" t="str">
        <f aca="false">LOOKUP(2,1/(Calendar!$E$2:$E$25="Actual"),Calendar!$A$2:$A$25)</f>
        <v>2026-09</v>
      </c>
    </row>
    <row r="5" customFormat="false" ht="15" hidden="false" customHeight="false" outlineLevel="0" collapsed="false">
      <c r="A5" s="16" t="s">
        <v>48</v>
      </c>
      <c r="B5" s="17" t="n">
        <f aca="false">VALUE(LEFT(B4,4))</f>
        <v>2026</v>
      </c>
    </row>
    <row r="6" customFormat="false" ht="15" hidden="false" customHeight="false" outlineLevel="0" collapsed="false">
      <c r="A6" s="16" t="s">
        <v>49</v>
      </c>
      <c r="B6" s="17" t="n">
        <f aca="false">VALUE(RIGHT(B4,2))</f>
        <v>9</v>
      </c>
    </row>
    <row r="8" customFormat="false" ht="31.5" hidden="false" customHeight="true" outlineLevel="0" collapsed="false">
      <c r="A8" s="4" t="s">
        <v>50</v>
      </c>
      <c r="B8" s="4" t="s">
        <v>51</v>
      </c>
      <c r="C8" s="4" t="s">
        <v>52</v>
      </c>
      <c r="D8" s="4" t="s">
        <v>53</v>
      </c>
      <c r="E8" s="4" t="s">
        <v>54</v>
      </c>
      <c r="F8" s="4" t="s">
        <v>55</v>
      </c>
      <c r="G8" s="4" t="s">
        <v>56</v>
      </c>
      <c r="H8" s="4" t="s">
        <v>57</v>
      </c>
      <c r="I8" s="4" t="s">
        <v>58</v>
      </c>
      <c r="J8" s="4" t="s">
        <v>59</v>
      </c>
      <c r="K8" s="4" t="s">
        <v>60</v>
      </c>
      <c r="L8" s="4" t="s">
        <v>61</v>
      </c>
      <c r="M8" s="4" t="s">
        <v>62</v>
      </c>
    </row>
    <row r="9" customFormat="false" ht="15" hidden="false" customHeight="false" outlineLevel="0" collapsed="false">
      <c r="A9" s="17" t="s">
        <v>63</v>
      </c>
      <c r="B9" s="17" t="n">
        <f aca="false">INDEX(Calendar!$B$2:$B$25,MATCH(A9,Calendar!$A$2:$A$25,0))</f>
        <v>2025</v>
      </c>
      <c r="C9" s="18" t="n">
        <f aca="false">COUNTIFS(Calc_Actuals!$J$2:$J$865,B9,Calc_Actuals!$K$2:$K$865,VALUE(RIGHT(A9,2)),Calc_Actuals!$C$2:$C$865,"Actual")</f>
        <v>36</v>
      </c>
      <c r="D9" s="18" t="n">
        <f aca="false">SUMIFS(Calc_Actuals!$M$2:$M$865,Calc_Actuals!$J$2:$J$865,B9,Calc_Actuals!$K$2:$K$865,VALUE(RIGHT(A9,2)),Calc_Actuals!$C$2:$C$865,"Actual")</f>
        <v>11217</v>
      </c>
      <c r="E9" s="19" t="n">
        <f aca="false">SUMIFS(Calc_Actuals!$N$2:$N$865,Calc_Actuals!$J$2:$J$865,B9,Calc_Actuals!$K$2:$K$865,VALUE(RIGHT(A9,2)),Calc_Actuals!$C$2:$C$865,"Actual")</f>
        <v>2235970.65</v>
      </c>
      <c r="F9" s="19" t="n">
        <f aca="false">SUMIFS(Calc_Actuals!$O$2:$O$865,Calc_Actuals!$J$2:$J$865,B9,Calc_Actuals!$K$2:$K$865,VALUE(RIGHT(A9,2)),Calc_Actuals!$C$2:$C$865,"Actual")</f>
        <v>1450589.01</v>
      </c>
      <c r="G9" s="19" t="n">
        <f aca="false">E9-F9</f>
        <v>785381.64</v>
      </c>
      <c r="H9" s="20" t="n">
        <f aca="false">IF(E9=0,"n/a",G9/E9)</f>
        <v>0.351248635575784</v>
      </c>
      <c r="I9" s="9" t="s">
        <v>64</v>
      </c>
      <c r="J9" s="9" t="s">
        <v>64</v>
      </c>
      <c r="K9" s="10" t="s">
        <v>64</v>
      </c>
      <c r="L9" s="21" t="n">
        <f aca="false">SUMPRODUCT((Sales_Transactions!$B$2:$B$865=A9)*(Sales_Transactions!$C$2:$C$865="Actual")*Sales_Transactions!$I$2:$I$865)</f>
        <v>2235970.65</v>
      </c>
      <c r="M9" s="21" t="n">
        <f aca="false">SUMPRODUCT((Sales_Transactions!$B$2:$B$865=A9)*(Sales_Transactions!$C$2:$C$865="Actual")*Sales_Transactions!$J$2:$J$865)</f>
        <v>1450589.01</v>
      </c>
    </row>
    <row r="10" customFormat="false" ht="15" hidden="false" customHeight="false" outlineLevel="0" collapsed="false">
      <c r="A10" s="17" t="s">
        <v>65</v>
      </c>
      <c r="B10" s="17" t="n">
        <f aca="false">INDEX(Calendar!$B$2:$B$25,MATCH(A10,Calendar!$A$2:$A$25,0))</f>
        <v>2025</v>
      </c>
      <c r="C10" s="18" t="n">
        <f aca="false">COUNTIFS(Calc_Actuals!$J$2:$J$865,B10,Calc_Actuals!$K$2:$K$865,VALUE(RIGHT(A10,2)),Calc_Actuals!$C$2:$C$865,"Actual")</f>
        <v>36</v>
      </c>
      <c r="D10" s="18" t="n">
        <f aca="false">SUMIFS(Calc_Actuals!$M$2:$M$865,Calc_Actuals!$J$2:$J$865,B10,Calc_Actuals!$K$2:$K$865,VALUE(RIGHT(A10,2)),Calc_Actuals!$C$2:$C$865,"Actual")</f>
        <v>10456</v>
      </c>
      <c r="E10" s="19" t="n">
        <f aca="false">SUMIFS(Calc_Actuals!$N$2:$N$865,Calc_Actuals!$J$2:$J$865,B10,Calc_Actuals!$K$2:$K$865,VALUE(RIGHT(A10,2)),Calc_Actuals!$C$2:$C$865,"Actual")</f>
        <v>2186134.57</v>
      </c>
      <c r="F10" s="19" t="n">
        <f aca="false">SUMIFS(Calc_Actuals!$O$2:$O$865,Calc_Actuals!$J$2:$J$865,B10,Calc_Actuals!$K$2:$K$865,VALUE(RIGHT(A10,2)),Calc_Actuals!$C$2:$C$865,"Actual")</f>
        <v>1399128.24</v>
      </c>
      <c r="G10" s="19" t="n">
        <f aca="false">E10-F10</f>
        <v>787006.33</v>
      </c>
      <c r="H10" s="20" t="n">
        <f aca="false">IF(E10=0,"n/a",G10/E10)</f>
        <v>0.359999032447486</v>
      </c>
      <c r="I10" s="9" t="n">
        <f aca="false">E10/E9-1</f>
        <v>-0.0222883426488626</v>
      </c>
      <c r="J10" s="9" t="s">
        <v>64</v>
      </c>
      <c r="K10" s="10" t="s">
        <v>64</v>
      </c>
      <c r="L10" s="21" t="n">
        <f aca="false">SUMPRODUCT((Sales_Transactions!$B$2:$B$865=A10)*(Sales_Transactions!$C$2:$C$865="Actual")*Sales_Transactions!$I$2:$I$865)</f>
        <v>2186134.57</v>
      </c>
      <c r="M10" s="21" t="n">
        <f aca="false">SUMPRODUCT((Sales_Transactions!$B$2:$B$865=A10)*(Sales_Transactions!$C$2:$C$865="Actual")*Sales_Transactions!$J$2:$J$865)</f>
        <v>1399128.24</v>
      </c>
    </row>
    <row r="11" customFormat="false" ht="15" hidden="false" customHeight="false" outlineLevel="0" collapsed="false">
      <c r="A11" s="17" t="s">
        <v>66</v>
      </c>
      <c r="B11" s="17" t="n">
        <f aca="false">INDEX(Calendar!$B$2:$B$25,MATCH(A11,Calendar!$A$2:$A$25,0))</f>
        <v>2025</v>
      </c>
      <c r="C11" s="18" t="n">
        <f aca="false">COUNTIFS(Calc_Actuals!$J$2:$J$865,B11,Calc_Actuals!$K$2:$K$865,VALUE(RIGHT(A11,2)),Calc_Actuals!$C$2:$C$865,"Actual")</f>
        <v>36</v>
      </c>
      <c r="D11" s="18" t="n">
        <f aca="false">SUMIFS(Calc_Actuals!$M$2:$M$865,Calc_Actuals!$J$2:$J$865,B11,Calc_Actuals!$K$2:$K$865,VALUE(RIGHT(A11,2)),Calc_Actuals!$C$2:$C$865,"Actual")</f>
        <v>9508</v>
      </c>
      <c r="E11" s="19" t="n">
        <f aca="false">SUMIFS(Calc_Actuals!$N$2:$N$865,Calc_Actuals!$J$2:$J$865,B11,Calc_Actuals!$K$2:$K$865,VALUE(RIGHT(A11,2)),Calc_Actuals!$C$2:$C$865,"Actual")</f>
        <v>1892456.31</v>
      </c>
      <c r="F11" s="19" t="n">
        <f aca="false">SUMIFS(Calc_Actuals!$O$2:$O$865,Calc_Actuals!$J$2:$J$865,B11,Calc_Actuals!$K$2:$K$865,VALUE(RIGHT(A11,2)),Calc_Actuals!$C$2:$C$865,"Actual")</f>
        <v>1233925.11</v>
      </c>
      <c r="G11" s="19" t="n">
        <f aca="false">E11-F11</f>
        <v>658531.2</v>
      </c>
      <c r="H11" s="20" t="n">
        <f aca="false">IF(E11=0,"n/a",G11/E11)</f>
        <v>0.347976963336078</v>
      </c>
      <c r="I11" s="9" t="n">
        <f aca="false">E11/E10-1</f>
        <v>-0.134336771409273</v>
      </c>
      <c r="J11" s="9" t="s">
        <v>64</v>
      </c>
      <c r="K11" s="10" t="s">
        <v>64</v>
      </c>
      <c r="L11" s="21" t="n">
        <f aca="false">SUMPRODUCT((Sales_Transactions!$B$2:$B$865=A11)*(Sales_Transactions!$C$2:$C$865="Actual")*Sales_Transactions!$I$2:$I$865)</f>
        <v>1892456.31</v>
      </c>
      <c r="M11" s="21" t="n">
        <f aca="false">SUMPRODUCT((Sales_Transactions!$B$2:$B$865=A11)*(Sales_Transactions!$C$2:$C$865="Actual")*Sales_Transactions!$J$2:$J$865)</f>
        <v>1233925.11</v>
      </c>
    </row>
    <row r="12" customFormat="false" ht="15" hidden="false" customHeight="false" outlineLevel="0" collapsed="false">
      <c r="A12" s="17" t="s">
        <v>67</v>
      </c>
      <c r="B12" s="17" t="n">
        <f aca="false">INDEX(Calendar!$B$2:$B$25,MATCH(A12,Calendar!$A$2:$A$25,0))</f>
        <v>2025</v>
      </c>
      <c r="C12" s="18" t="n">
        <f aca="false">COUNTIFS(Calc_Actuals!$J$2:$J$865,B12,Calc_Actuals!$K$2:$K$865,VALUE(RIGHT(A12,2)),Calc_Actuals!$C$2:$C$865,"Actual")</f>
        <v>36</v>
      </c>
      <c r="D12" s="18" t="n">
        <f aca="false">SUMIFS(Calc_Actuals!$M$2:$M$865,Calc_Actuals!$J$2:$J$865,B12,Calc_Actuals!$K$2:$K$865,VALUE(RIGHT(A12,2)),Calc_Actuals!$C$2:$C$865,"Actual")</f>
        <v>9553</v>
      </c>
      <c r="E12" s="19" t="n">
        <f aca="false">SUMIFS(Calc_Actuals!$N$2:$N$865,Calc_Actuals!$J$2:$J$865,B12,Calc_Actuals!$K$2:$K$865,VALUE(RIGHT(A12,2)),Calc_Actuals!$C$2:$C$865,"Actual")</f>
        <v>2046367.5</v>
      </c>
      <c r="F12" s="19" t="n">
        <f aca="false">SUMIFS(Calc_Actuals!$O$2:$O$865,Calc_Actuals!$J$2:$J$865,B12,Calc_Actuals!$K$2:$K$865,VALUE(RIGHT(A12,2)),Calc_Actuals!$C$2:$C$865,"Actual")</f>
        <v>1304778.8</v>
      </c>
      <c r="G12" s="19" t="n">
        <f aca="false">E12-F12</f>
        <v>741588.7</v>
      </c>
      <c r="H12" s="20" t="n">
        <f aca="false">IF(E12=0,"n/a",G12/E12)</f>
        <v>0.362392727601469</v>
      </c>
      <c r="I12" s="9" t="n">
        <f aca="false">E12/E11-1</f>
        <v>0.0813287943223375</v>
      </c>
      <c r="J12" s="9" t="s">
        <v>64</v>
      </c>
      <c r="K12" s="10" t="s">
        <v>64</v>
      </c>
      <c r="L12" s="21" t="n">
        <f aca="false">SUMPRODUCT((Sales_Transactions!$B$2:$B$865=A12)*(Sales_Transactions!$C$2:$C$865="Actual")*Sales_Transactions!$I$2:$I$865)</f>
        <v>2046367.5</v>
      </c>
      <c r="M12" s="21" t="n">
        <f aca="false">SUMPRODUCT((Sales_Transactions!$B$2:$B$865=A12)*(Sales_Transactions!$C$2:$C$865="Actual")*Sales_Transactions!$J$2:$J$865)</f>
        <v>1304778.8</v>
      </c>
    </row>
    <row r="13" customFormat="false" ht="15" hidden="false" customHeight="false" outlineLevel="0" collapsed="false">
      <c r="A13" s="17" t="s">
        <v>68</v>
      </c>
      <c r="B13" s="17" t="n">
        <f aca="false">INDEX(Calendar!$B$2:$B$25,MATCH(A13,Calendar!$A$2:$A$25,0))</f>
        <v>2025</v>
      </c>
      <c r="C13" s="18" t="n">
        <f aca="false">COUNTIFS(Calc_Actuals!$J$2:$J$865,B13,Calc_Actuals!$K$2:$K$865,VALUE(RIGHT(A13,2)),Calc_Actuals!$C$2:$C$865,"Actual")</f>
        <v>36</v>
      </c>
      <c r="D13" s="18" t="n">
        <f aca="false">SUMIFS(Calc_Actuals!$M$2:$M$865,Calc_Actuals!$J$2:$J$865,B13,Calc_Actuals!$K$2:$K$865,VALUE(RIGHT(A13,2)),Calc_Actuals!$C$2:$C$865,"Actual")</f>
        <v>9461</v>
      </c>
      <c r="E13" s="19" t="n">
        <f aca="false">SUMIFS(Calc_Actuals!$N$2:$N$865,Calc_Actuals!$J$2:$J$865,B13,Calc_Actuals!$K$2:$K$865,VALUE(RIGHT(A13,2)),Calc_Actuals!$C$2:$C$865,"Actual")</f>
        <v>1854769</v>
      </c>
      <c r="F13" s="19" t="n">
        <f aca="false">SUMIFS(Calc_Actuals!$O$2:$O$865,Calc_Actuals!$J$2:$J$865,B13,Calc_Actuals!$K$2:$K$865,VALUE(RIGHT(A13,2)),Calc_Actuals!$C$2:$C$865,"Actual")</f>
        <v>1176459.11</v>
      </c>
      <c r="G13" s="19" t="n">
        <f aca="false">E13-F13</f>
        <v>678309.89</v>
      </c>
      <c r="H13" s="20" t="n">
        <f aca="false">IF(E13=0,"n/a",G13/E13)</f>
        <v>0.365711250295859</v>
      </c>
      <c r="I13" s="9" t="n">
        <f aca="false">E13/E12-1</f>
        <v>-0.0936285882179032</v>
      </c>
      <c r="J13" s="9" t="s">
        <v>64</v>
      </c>
      <c r="K13" s="10" t="s">
        <v>64</v>
      </c>
      <c r="L13" s="21" t="n">
        <f aca="false">SUMPRODUCT((Sales_Transactions!$B$2:$B$865=A13)*(Sales_Transactions!$C$2:$C$865="Actual")*Sales_Transactions!$I$2:$I$865)</f>
        <v>1854769</v>
      </c>
      <c r="M13" s="21" t="n">
        <f aca="false">SUMPRODUCT((Sales_Transactions!$B$2:$B$865=A13)*(Sales_Transactions!$C$2:$C$865="Actual")*Sales_Transactions!$J$2:$J$865)</f>
        <v>1176459.11</v>
      </c>
    </row>
    <row r="14" customFormat="false" ht="15" hidden="false" customHeight="false" outlineLevel="0" collapsed="false">
      <c r="A14" s="17" t="s">
        <v>69</v>
      </c>
      <c r="B14" s="17" t="n">
        <f aca="false">INDEX(Calendar!$B$2:$B$25,MATCH(A14,Calendar!$A$2:$A$25,0))</f>
        <v>2025</v>
      </c>
      <c r="C14" s="18" t="n">
        <f aca="false">COUNTIFS(Calc_Actuals!$J$2:$J$865,B14,Calc_Actuals!$K$2:$K$865,VALUE(RIGHT(A14,2)),Calc_Actuals!$C$2:$C$865,"Actual")</f>
        <v>36</v>
      </c>
      <c r="D14" s="18" t="n">
        <f aca="false">SUMIFS(Calc_Actuals!$M$2:$M$865,Calc_Actuals!$J$2:$J$865,B14,Calc_Actuals!$K$2:$K$865,VALUE(RIGHT(A14,2)),Calc_Actuals!$C$2:$C$865,"Actual")</f>
        <v>10213</v>
      </c>
      <c r="E14" s="19" t="n">
        <f aca="false">SUMIFS(Calc_Actuals!$N$2:$N$865,Calc_Actuals!$J$2:$J$865,B14,Calc_Actuals!$K$2:$K$865,VALUE(RIGHT(A14,2)),Calc_Actuals!$C$2:$C$865,"Actual")</f>
        <v>2022308.48</v>
      </c>
      <c r="F14" s="19" t="n">
        <f aca="false">SUMIFS(Calc_Actuals!$O$2:$O$865,Calc_Actuals!$J$2:$J$865,B14,Calc_Actuals!$K$2:$K$865,VALUE(RIGHT(A14,2)),Calc_Actuals!$C$2:$C$865,"Actual")</f>
        <v>1307599.95</v>
      </c>
      <c r="G14" s="19" t="n">
        <f aca="false">E14-F14</f>
        <v>714708.53</v>
      </c>
      <c r="H14" s="20" t="n">
        <f aca="false">IF(E14=0,"n/a",G14/E14)</f>
        <v>0.353412220276107</v>
      </c>
      <c r="I14" s="9" t="n">
        <f aca="false">E14/E13-1</f>
        <v>0.0903290274961464</v>
      </c>
      <c r="J14" s="9" t="s">
        <v>64</v>
      </c>
      <c r="K14" s="10" t="s">
        <v>64</v>
      </c>
      <c r="L14" s="21" t="n">
        <f aca="false">SUMPRODUCT((Sales_Transactions!$B$2:$B$865=A14)*(Sales_Transactions!$C$2:$C$865="Actual")*Sales_Transactions!$I$2:$I$865)</f>
        <v>2022308.48</v>
      </c>
      <c r="M14" s="21" t="n">
        <f aca="false">SUMPRODUCT((Sales_Transactions!$B$2:$B$865=A14)*(Sales_Transactions!$C$2:$C$865="Actual")*Sales_Transactions!$J$2:$J$865)</f>
        <v>1307599.95</v>
      </c>
    </row>
    <row r="15" customFormat="false" ht="15" hidden="false" customHeight="false" outlineLevel="0" collapsed="false">
      <c r="A15" s="17" t="s">
        <v>70</v>
      </c>
      <c r="B15" s="17" t="n">
        <f aca="false">INDEX(Calendar!$B$2:$B$25,MATCH(A15,Calendar!$A$2:$A$25,0))</f>
        <v>2025</v>
      </c>
      <c r="C15" s="18" t="n">
        <f aca="false">COUNTIFS(Calc_Actuals!$J$2:$J$865,B15,Calc_Actuals!$K$2:$K$865,VALUE(RIGHT(A15,2)),Calc_Actuals!$C$2:$C$865,"Actual")</f>
        <v>36</v>
      </c>
      <c r="D15" s="18" t="n">
        <f aca="false">SUMIFS(Calc_Actuals!$M$2:$M$865,Calc_Actuals!$J$2:$J$865,B15,Calc_Actuals!$K$2:$K$865,VALUE(RIGHT(A15,2)),Calc_Actuals!$C$2:$C$865,"Actual")</f>
        <v>10255</v>
      </c>
      <c r="E15" s="19" t="n">
        <f aca="false">SUMIFS(Calc_Actuals!$N$2:$N$865,Calc_Actuals!$J$2:$J$865,B15,Calc_Actuals!$K$2:$K$865,VALUE(RIGHT(A15,2)),Calc_Actuals!$C$2:$C$865,"Actual")</f>
        <v>2118994.93</v>
      </c>
      <c r="F15" s="19" t="n">
        <f aca="false">SUMIFS(Calc_Actuals!$O$2:$O$865,Calc_Actuals!$J$2:$J$865,B15,Calc_Actuals!$K$2:$K$865,VALUE(RIGHT(A15,2)),Calc_Actuals!$C$2:$C$865,"Actual")</f>
        <v>1359634.03</v>
      </c>
      <c r="G15" s="19" t="n">
        <f aca="false">E15-F15</f>
        <v>759360.9</v>
      </c>
      <c r="H15" s="20" t="n">
        <f aca="false">IF(E15=0,"n/a",G15/E15)</f>
        <v>0.358358998055743</v>
      </c>
      <c r="I15" s="9" t="n">
        <f aca="false">E15/E14-1</f>
        <v>0.0478099414388058</v>
      </c>
      <c r="J15" s="9" t="s">
        <v>64</v>
      </c>
      <c r="K15" s="10" t="s">
        <v>64</v>
      </c>
      <c r="L15" s="21" t="n">
        <f aca="false">SUMPRODUCT((Sales_Transactions!$B$2:$B$865=A15)*(Sales_Transactions!$C$2:$C$865="Actual")*Sales_Transactions!$I$2:$I$865)</f>
        <v>2118994.93</v>
      </c>
      <c r="M15" s="21" t="n">
        <f aca="false">SUMPRODUCT((Sales_Transactions!$B$2:$B$865=A15)*(Sales_Transactions!$C$2:$C$865="Actual")*Sales_Transactions!$J$2:$J$865)</f>
        <v>1359634.03</v>
      </c>
    </row>
    <row r="16" customFormat="false" ht="15" hidden="false" customHeight="false" outlineLevel="0" collapsed="false">
      <c r="A16" s="17" t="s">
        <v>71</v>
      </c>
      <c r="B16" s="17" t="n">
        <f aca="false">INDEX(Calendar!$B$2:$B$25,MATCH(A16,Calendar!$A$2:$A$25,0))</f>
        <v>2025</v>
      </c>
      <c r="C16" s="18" t="n">
        <f aca="false">COUNTIFS(Calc_Actuals!$J$2:$J$865,B16,Calc_Actuals!$K$2:$K$865,VALUE(RIGHT(A16,2)),Calc_Actuals!$C$2:$C$865,"Actual")</f>
        <v>36</v>
      </c>
      <c r="D16" s="18" t="n">
        <f aca="false">SUMIFS(Calc_Actuals!$M$2:$M$865,Calc_Actuals!$J$2:$J$865,B16,Calc_Actuals!$K$2:$K$865,VALUE(RIGHT(A16,2)),Calc_Actuals!$C$2:$C$865,"Actual")</f>
        <v>10467</v>
      </c>
      <c r="E16" s="19" t="n">
        <f aca="false">SUMIFS(Calc_Actuals!$N$2:$N$865,Calc_Actuals!$J$2:$J$865,B16,Calc_Actuals!$K$2:$K$865,VALUE(RIGHT(A16,2)),Calc_Actuals!$C$2:$C$865,"Actual")</f>
        <v>2077890.72</v>
      </c>
      <c r="F16" s="19" t="n">
        <f aca="false">SUMIFS(Calc_Actuals!$O$2:$O$865,Calc_Actuals!$J$2:$J$865,B16,Calc_Actuals!$K$2:$K$865,VALUE(RIGHT(A16,2)),Calc_Actuals!$C$2:$C$865,"Actual")</f>
        <v>1330203.48</v>
      </c>
      <c r="G16" s="19" t="n">
        <f aca="false">E16-F16</f>
        <v>747687.24</v>
      </c>
      <c r="H16" s="20" t="n">
        <f aca="false">IF(E16=0,"n/a",G16/E16)</f>
        <v>0.359829914443239</v>
      </c>
      <c r="I16" s="9" t="n">
        <f aca="false">E16/E15-1</f>
        <v>-0.0193979746803831</v>
      </c>
      <c r="J16" s="9" t="s">
        <v>64</v>
      </c>
      <c r="K16" s="10" t="s">
        <v>64</v>
      </c>
      <c r="L16" s="21" t="n">
        <f aca="false">SUMPRODUCT((Sales_Transactions!$B$2:$B$865=A16)*(Sales_Transactions!$C$2:$C$865="Actual")*Sales_Transactions!$I$2:$I$865)</f>
        <v>2077890.72</v>
      </c>
      <c r="M16" s="21" t="n">
        <f aca="false">SUMPRODUCT((Sales_Transactions!$B$2:$B$865=A16)*(Sales_Transactions!$C$2:$C$865="Actual")*Sales_Transactions!$J$2:$J$865)</f>
        <v>1330203.48</v>
      </c>
    </row>
    <row r="17" customFormat="false" ht="15" hidden="false" customHeight="false" outlineLevel="0" collapsed="false">
      <c r="A17" s="17" t="s">
        <v>72</v>
      </c>
      <c r="B17" s="17" t="n">
        <f aca="false">INDEX(Calendar!$B$2:$B$25,MATCH(A17,Calendar!$A$2:$A$25,0))</f>
        <v>2025</v>
      </c>
      <c r="C17" s="18" t="n">
        <f aca="false">COUNTIFS(Calc_Actuals!$J$2:$J$865,B17,Calc_Actuals!$K$2:$K$865,VALUE(RIGHT(A17,2)),Calc_Actuals!$C$2:$C$865,"Actual")</f>
        <v>36</v>
      </c>
      <c r="D17" s="18" t="n">
        <f aca="false">SUMIFS(Calc_Actuals!$M$2:$M$865,Calc_Actuals!$J$2:$J$865,B17,Calc_Actuals!$K$2:$K$865,VALUE(RIGHT(A17,2)),Calc_Actuals!$C$2:$C$865,"Actual")</f>
        <v>9666</v>
      </c>
      <c r="E17" s="19" t="n">
        <f aca="false">SUMIFS(Calc_Actuals!$N$2:$N$865,Calc_Actuals!$J$2:$J$865,B17,Calc_Actuals!$K$2:$K$865,VALUE(RIGHT(A17,2)),Calc_Actuals!$C$2:$C$865,"Actual")</f>
        <v>1987738.34</v>
      </c>
      <c r="F17" s="19" t="n">
        <f aca="false">SUMIFS(Calc_Actuals!$O$2:$O$865,Calc_Actuals!$J$2:$J$865,B17,Calc_Actuals!$K$2:$K$865,VALUE(RIGHT(A17,2)),Calc_Actuals!$C$2:$C$865,"Actual")</f>
        <v>1261139.05</v>
      </c>
      <c r="G17" s="19" t="n">
        <f aca="false">E17-F17</f>
        <v>726599.29</v>
      </c>
      <c r="H17" s="20" t="n">
        <f aca="false">IF(E17=0,"n/a",G17/E17)</f>
        <v>0.365540712969294</v>
      </c>
      <c r="I17" s="9" t="n">
        <f aca="false">E17/E16-1</f>
        <v>-0.0433864876204846</v>
      </c>
      <c r="J17" s="9" t="s">
        <v>64</v>
      </c>
      <c r="K17" s="10" t="s">
        <v>64</v>
      </c>
      <c r="L17" s="21" t="n">
        <f aca="false">SUMPRODUCT((Sales_Transactions!$B$2:$B$865=A17)*(Sales_Transactions!$C$2:$C$865="Actual")*Sales_Transactions!$I$2:$I$865)</f>
        <v>1987738.34</v>
      </c>
      <c r="M17" s="21" t="n">
        <f aca="false">SUMPRODUCT((Sales_Transactions!$B$2:$B$865=A17)*(Sales_Transactions!$C$2:$C$865="Actual")*Sales_Transactions!$J$2:$J$865)</f>
        <v>1261139.05</v>
      </c>
    </row>
    <row r="18" customFormat="false" ht="15" hidden="false" customHeight="false" outlineLevel="0" collapsed="false">
      <c r="A18" s="17" t="s">
        <v>73</v>
      </c>
      <c r="B18" s="17" t="n">
        <f aca="false">INDEX(Calendar!$B$2:$B$25,MATCH(A18,Calendar!$A$2:$A$25,0))</f>
        <v>2025</v>
      </c>
      <c r="C18" s="18" t="n">
        <f aca="false">COUNTIFS(Calc_Actuals!$J$2:$J$865,B18,Calc_Actuals!$K$2:$K$865,VALUE(RIGHT(A18,2)),Calc_Actuals!$C$2:$C$865,"Actual")</f>
        <v>36</v>
      </c>
      <c r="D18" s="18" t="n">
        <f aca="false">SUMIFS(Calc_Actuals!$M$2:$M$865,Calc_Actuals!$J$2:$J$865,B18,Calc_Actuals!$K$2:$K$865,VALUE(RIGHT(A18,2)),Calc_Actuals!$C$2:$C$865,"Actual")</f>
        <v>9279</v>
      </c>
      <c r="E18" s="19" t="n">
        <f aca="false">SUMIFS(Calc_Actuals!$N$2:$N$865,Calc_Actuals!$J$2:$J$865,B18,Calc_Actuals!$K$2:$K$865,VALUE(RIGHT(A18,2)),Calc_Actuals!$C$2:$C$865,"Actual")</f>
        <v>1869248.17</v>
      </c>
      <c r="F18" s="19" t="n">
        <f aca="false">SUMIFS(Calc_Actuals!$O$2:$O$865,Calc_Actuals!$J$2:$J$865,B18,Calc_Actuals!$K$2:$K$865,VALUE(RIGHT(A18,2)),Calc_Actuals!$C$2:$C$865,"Actual")</f>
        <v>1205962.61</v>
      </c>
      <c r="G18" s="19" t="n">
        <f aca="false">E18-F18</f>
        <v>663285.56</v>
      </c>
      <c r="H18" s="20" t="n">
        <f aca="false">IF(E18=0,"n/a",G18/E18)</f>
        <v>0.354840823516762</v>
      </c>
      <c r="I18" s="9" t="n">
        <f aca="false">E18/E17-1</f>
        <v>-0.0596105471306652</v>
      </c>
      <c r="J18" s="9" t="s">
        <v>64</v>
      </c>
      <c r="K18" s="10" t="s">
        <v>64</v>
      </c>
      <c r="L18" s="21" t="n">
        <f aca="false">SUMPRODUCT((Sales_Transactions!$B$2:$B$865=A18)*(Sales_Transactions!$C$2:$C$865="Actual")*Sales_Transactions!$I$2:$I$865)</f>
        <v>1869248.17</v>
      </c>
      <c r="M18" s="21" t="n">
        <f aca="false">SUMPRODUCT((Sales_Transactions!$B$2:$B$865=A18)*(Sales_Transactions!$C$2:$C$865="Actual")*Sales_Transactions!$J$2:$J$865)</f>
        <v>1205962.61</v>
      </c>
    </row>
    <row r="19" customFormat="false" ht="15" hidden="false" customHeight="false" outlineLevel="0" collapsed="false">
      <c r="A19" s="17" t="s">
        <v>74</v>
      </c>
      <c r="B19" s="17" t="n">
        <f aca="false">INDEX(Calendar!$B$2:$B$25,MATCH(A19,Calendar!$A$2:$A$25,0))</f>
        <v>2025</v>
      </c>
      <c r="C19" s="18" t="n">
        <f aca="false">COUNTIFS(Calc_Actuals!$J$2:$J$865,B19,Calc_Actuals!$K$2:$K$865,VALUE(RIGHT(A19,2)),Calc_Actuals!$C$2:$C$865,"Actual")</f>
        <v>36</v>
      </c>
      <c r="D19" s="18" t="n">
        <f aca="false">SUMIFS(Calc_Actuals!$M$2:$M$865,Calc_Actuals!$J$2:$J$865,B19,Calc_Actuals!$K$2:$K$865,VALUE(RIGHT(A19,2)),Calc_Actuals!$C$2:$C$865,"Actual")</f>
        <v>9797</v>
      </c>
      <c r="E19" s="19" t="n">
        <f aca="false">SUMIFS(Calc_Actuals!$N$2:$N$865,Calc_Actuals!$J$2:$J$865,B19,Calc_Actuals!$K$2:$K$865,VALUE(RIGHT(A19,2)),Calc_Actuals!$C$2:$C$865,"Actual")</f>
        <v>2011362.92</v>
      </c>
      <c r="F19" s="19" t="n">
        <f aca="false">SUMIFS(Calc_Actuals!$O$2:$O$865,Calc_Actuals!$J$2:$J$865,B19,Calc_Actuals!$K$2:$K$865,VALUE(RIGHT(A19,2)),Calc_Actuals!$C$2:$C$865,"Actual")</f>
        <v>1312045.04</v>
      </c>
      <c r="G19" s="19" t="n">
        <f aca="false">E19-F19</f>
        <v>699317.88</v>
      </c>
      <c r="H19" s="20" t="n">
        <f aca="false">IF(E19=0,"n/a",G19/E19)</f>
        <v>0.347683589593071</v>
      </c>
      <c r="I19" s="9" t="n">
        <f aca="false">E19/E18-1</f>
        <v>0.0760277593317105</v>
      </c>
      <c r="J19" s="9" t="s">
        <v>64</v>
      </c>
      <c r="K19" s="10" t="s">
        <v>64</v>
      </c>
      <c r="L19" s="21" t="n">
        <f aca="false">SUMPRODUCT((Sales_Transactions!$B$2:$B$865=A19)*(Sales_Transactions!$C$2:$C$865="Actual")*Sales_Transactions!$I$2:$I$865)</f>
        <v>2011362.92</v>
      </c>
      <c r="M19" s="21" t="n">
        <f aca="false">SUMPRODUCT((Sales_Transactions!$B$2:$B$865=A19)*(Sales_Transactions!$C$2:$C$865="Actual")*Sales_Transactions!$J$2:$J$865)</f>
        <v>1312045.04</v>
      </c>
    </row>
    <row r="20" customFormat="false" ht="15" hidden="false" customHeight="false" outlineLevel="0" collapsed="false">
      <c r="A20" s="17" t="s">
        <v>75</v>
      </c>
      <c r="B20" s="17" t="n">
        <f aca="false">INDEX(Calendar!$B$2:$B$25,MATCH(A20,Calendar!$A$2:$A$25,0))</f>
        <v>2025</v>
      </c>
      <c r="C20" s="18" t="n">
        <f aca="false">COUNTIFS(Calc_Actuals!$J$2:$J$865,B20,Calc_Actuals!$K$2:$K$865,VALUE(RIGHT(A20,2)),Calc_Actuals!$C$2:$C$865,"Actual")</f>
        <v>36</v>
      </c>
      <c r="D20" s="18" t="n">
        <f aca="false">SUMIFS(Calc_Actuals!$M$2:$M$865,Calc_Actuals!$J$2:$J$865,B20,Calc_Actuals!$K$2:$K$865,VALUE(RIGHT(A20,2)),Calc_Actuals!$C$2:$C$865,"Actual")</f>
        <v>10675</v>
      </c>
      <c r="E20" s="19" t="n">
        <f aca="false">SUMIFS(Calc_Actuals!$N$2:$N$865,Calc_Actuals!$J$2:$J$865,B20,Calc_Actuals!$K$2:$K$865,VALUE(RIGHT(A20,2)),Calc_Actuals!$C$2:$C$865,"Actual")</f>
        <v>2195809.83</v>
      </c>
      <c r="F20" s="19" t="n">
        <f aca="false">SUMIFS(Calc_Actuals!$O$2:$O$865,Calc_Actuals!$J$2:$J$865,B20,Calc_Actuals!$K$2:$K$865,VALUE(RIGHT(A20,2)),Calc_Actuals!$C$2:$C$865,"Actual")</f>
        <v>1406588.08</v>
      </c>
      <c r="G20" s="19" t="n">
        <f aca="false">E20-F20</f>
        <v>789221.75</v>
      </c>
      <c r="H20" s="20" t="n">
        <f aca="false">IF(E20=0,"n/a",G20/E20)</f>
        <v>0.35942172187106</v>
      </c>
      <c r="I20" s="9" t="n">
        <f aca="false">E20/E19-1</f>
        <v>0.0917024511916527</v>
      </c>
      <c r="J20" s="9" t="s">
        <v>64</v>
      </c>
      <c r="K20" s="10" t="s">
        <v>64</v>
      </c>
      <c r="L20" s="21" t="n">
        <f aca="false">SUMPRODUCT((Sales_Transactions!$B$2:$B$865=A20)*(Sales_Transactions!$C$2:$C$865="Actual")*Sales_Transactions!$I$2:$I$865)</f>
        <v>2195809.83</v>
      </c>
      <c r="M20" s="21" t="n">
        <f aca="false">SUMPRODUCT((Sales_Transactions!$B$2:$B$865=A20)*(Sales_Transactions!$C$2:$C$865="Actual")*Sales_Transactions!$J$2:$J$865)</f>
        <v>1406588.08</v>
      </c>
    </row>
    <row r="21" customFormat="false" ht="15" hidden="false" customHeight="false" outlineLevel="0" collapsed="false">
      <c r="A21" s="17" t="s">
        <v>76</v>
      </c>
      <c r="B21" s="17" t="n">
        <f aca="false">INDEX(Calendar!$B$2:$B$25,MATCH(A21,Calendar!$A$2:$A$25,0))</f>
        <v>2026</v>
      </c>
      <c r="C21" s="18" t="n">
        <f aca="false">COUNTIFS(Calc_Actuals!$J$2:$J$865,B21,Calc_Actuals!$K$2:$K$865,VALUE(RIGHT(A21,2)),Calc_Actuals!$C$2:$C$865,"Actual")</f>
        <v>36</v>
      </c>
      <c r="D21" s="18" t="n">
        <f aca="false">SUMIFS(Calc_Actuals!$M$2:$M$865,Calc_Actuals!$J$2:$J$865,B21,Calc_Actuals!$K$2:$K$865,VALUE(RIGHT(A21,2)),Calc_Actuals!$C$2:$C$865,"Actual")</f>
        <v>9570</v>
      </c>
      <c r="E21" s="19" t="n">
        <f aca="false">SUMIFS(Calc_Actuals!$N$2:$N$865,Calc_Actuals!$J$2:$J$865,B21,Calc_Actuals!$K$2:$K$865,VALUE(RIGHT(A21,2)),Calc_Actuals!$C$2:$C$865,"Actual")</f>
        <v>1873462.95</v>
      </c>
      <c r="F21" s="19" t="n">
        <f aca="false">SUMIFS(Calc_Actuals!$O$2:$O$865,Calc_Actuals!$J$2:$J$865,B21,Calc_Actuals!$K$2:$K$865,VALUE(RIGHT(A21,2)),Calc_Actuals!$C$2:$C$865,"Actual")</f>
        <v>1205508.12</v>
      </c>
      <c r="G21" s="19" t="n">
        <f aca="false">E21-F21</f>
        <v>667954.83</v>
      </c>
      <c r="H21" s="20" t="n">
        <f aca="false">IF(E21=0,"n/a",G21/E21)</f>
        <v>0.356534849007823</v>
      </c>
      <c r="I21" s="9" t="n">
        <f aca="false">E21/E20-1</f>
        <v>-0.146800909439412</v>
      </c>
      <c r="J21" s="9" t="n">
        <f aca="false">E21/E9-1</f>
        <v>-0.16212542861419</v>
      </c>
      <c r="K21" s="10" t="n">
        <f aca="false">(H21-H9)*100</f>
        <v>0.528621343203822</v>
      </c>
      <c r="L21" s="21" t="n">
        <f aca="false">SUMPRODUCT((Sales_Transactions!$B$2:$B$865=A21)*(Sales_Transactions!$C$2:$C$865="Actual")*Sales_Transactions!$I$2:$I$865)</f>
        <v>1873462.95</v>
      </c>
      <c r="M21" s="21" t="n">
        <f aca="false">SUMPRODUCT((Sales_Transactions!$B$2:$B$865=A21)*(Sales_Transactions!$C$2:$C$865="Actual")*Sales_Transactions!$J$2:$J$865)</f>
        <v>1205508.12</v>
      </c>
    </row>
    <row r="22" customFormat="false" ht="15" hidden="false" customHeight="false" outlineLevel="0" collapsed="false">
      <c r="A22" s="17" t="s">
        <v>77</v>
      </c>
      <c r="B22" s="17" t="n">
        <f aca="false">INDEX(Calendar!$B$2:$B$25,MATCH(A22,Calendar!$A$2:$A$25,0))</f>
        <v>2026</v>
      </c>
      <c r="C22" s="18" t="n">
        <f aca="false">COUNTIFS(Calc_Actuals!$J$2:$J$865,B22,Calc_Actuals!$K$2:$K$865,VALUE(RIGHT(A22,2)),Calc_Actuals!$C$2:$C$865,"Actual")</f>
        <v>36</v>
      </c>
      <c r="D22" s="18" t="n">
        <f aca="false">SUMIFS(Calc_Actuals!$M$2:$M$865,Calc_Actuals!$J$2:$J$865,B22,Calc_Actuals!$K$2:$K$865,VALUE(RIGHT(A22,2)),Calc_Actuals!$C$2:$C$865,"Actual")</f>
        <v>9703</v>
      </c>
      <c r="E22" s="19" t="n">
        <f aca="false">SUMIFS(Calc_Actuals!$N$2:$N$865,Calc_Actuals!$J$2:$J$865,B22,Calc_Actuals!$K$2:$K$865,VALUE(RIGHT(A22,2)),Calc_Actuals!$C$2:$C$865,"Actual")</f>
        <v>2004732.02</v>
      </c>
      <c r="F22" s="19" t="n">
        <f aca="false">SUMIFS(Calc_Actuals!$O$2:$O$865,Calc_Actuals!$J$2:$J$865,B22,Calc_Actuals!$K$2:$K$865,VALUE(RIGHT(A22,2)),Calc_Actuals!$C$2:$C$865,"Actual")</f>
        <v>1285728.66</v>
      </c>
      <c r="G22" s="19" t="n">
        <f aca="false">E22-F22</f>
        <v>719003.36</v>
      </c>
      <c r="H22" s="20" t="n">
        <f aca="false">IF(E22=0,"n/a",G22/E22)</f>
        <v>0.358653103171366</v>
      </c>
      <c r="I22" s="9" t="n">
        <f aca="false">E22/E21-1</f>
        <v>0.0700676092900583</v>
      </c>
      <c r="J22" s="9" t="n">
        <f aca="false">E22/E10-1</f>
        <v>-0.0829786750044393</v>
      </c>
      <c r="K22" s="10" t="n">
        <f aca="false">(H22-H10)*100</f>
        <v>-0.134592927611998</v>
      </c>
      <c r="L22" s="21" t="n">
        <f aca="false">SUMPRODUCT((Sales_Transactions!$B$2:$B$865=A22)*(Sales_Transactions!$C$2:$C$865="Actual")*Sales_Transactions!$I$2:$I$865)</f>
        <v>2004732.02</v>
      </c>
      <c r="M22" s="21" t="n">
        <f aca="false">SUMPRODUCT((Sales_Transactions!$B$2:$B$865=A22)*(Sales_Transactions!$C$2:$C$865="Actual")*Sales_Transactions!$J$2:$J$865)</f>
        <v>1285728.66</v>
      </c>
    </row>
    <row r="23" customFormat="false" ht="15" hidden="false" customHeight="false" outlineLevel="0" collapsed="false">
      <c r="A23" s="17" t="s">
        <v>78</v>
      </c>
      <c r="B23" s="17" t="n">
        <f aca="false">INDEX(Calendar!$B$2:$B$25,MATCH(A23,Calendar!$A$2:$A$25,0))</f>
        <v>2026</v>
      </c>
      <c r="C23" s="18" t="n">
        <f aca="false">COUNTIFS(Calc_Actuals!$J$2:$J$865,B23,Calc_Actuals!$K$2:$K$865,VALUE(RIGHT(A23,2)),Calc_Actuals!$C$2:$C$865,"Actual")</f>
        <v>36</v>
      </c>
      <c r="D23" s="18" t="n">
        <f aca="false">SUMIFS(Calc_Actuals!$M$2:$M$865,Calc_Actuals!$J$2:$J$865,B23,Calc_Actuals!$K$2:$K$865,VALUE(RIGHT(A23,2)),Calc_Actuals!$C$2:$C$865,"Actual")</f>
        <v>9712</v>
      </c>
      <c r="E23" s="19" t="n">
        <f aca="false">SUMIFS(Calc_Actuals!$N$2:$N$865,Calc_Actuals!$J$2:$J$865,B23,Calc_Actuals!$K$2:$K$865,VALUE(RIGHT(A23,2)),Calc_Actuals!$C$2:$C$865,"Actual")</f>
        <v>1984215.76</v>
      </c>
      <c r="F23" s="19" t="n">
        <f aca="false">SUMIFS(Calc_Actuals!$O$2:$O$865,Calc_Actuals!$J$2:$J$865,B23,Calc_Actuals!$K$2:$K$865,VALUE(RIGHT(A23,2)),Calc_Actuals!$C$2:$C$865,"Actual")</f>
        <v>1276181.45</v>
      </c>
      <c r="G23" s="19" t="n">
        <f aca="false">E23-F23</f>
        <v>708034.31</v>
      </c>
      <c r="H23" s="20" t="n">
        <f aca="false">IF(E23=0,"n/a",G23/E23)</f>
        <v>0.356833326432202</v>
      </c>
      <c r="I23" s="9" t="n">
        <f aca="false">E23/E22-1</f>
        <v>-0.010233916451337</v>
      </c>
      <c r="J23" s="9" t="n">
        <f aca="false">E23/E11-1</f>
        <v>0.0484869582009002</v>
      </c>
      <c r="K23" s="10" t="n">
        <f aca="false">(H23-H11)*100</f>
        <v>0.885636309612375</v>
      </c>
      <c r="L23" s="21" t="n">
        <f aca="false">SUMPRODUCT((Sales_Transactions!$B$2:$B$865=A23)*(Sales_Transactions!$C$2:$C$865="Actual")*Sales_Transactions!$I$2:$I$865)</f>
        <v>1984215.76</v>
      </c>
      <c r="M23" s="21" t="n">
        <f aca="false">SUMPRODUCT((Sales_Transactions!$B$2:$B$865=A23)*(Sales_Transactions!$C$2:$C$865="Actual")*Sales_Transactions!$J$2:$J$865)</f>
        <v>1276181.45</v>
      </c>
    </row>
    <row r="24" customFormat="false" ht="15" hidden="false" customHeight="false" outlineLevel="0" collapsed="false">
      <c r="A24" s="17" t="s">
        <v>79</v>
      </c>
      <c r="B24" s="17" t="n">
        <f aca="false">INDEX(Calendar!$B$2:$B$25,MATCH(A24,Calendar!$A$2:$A$25,0))</f>
        <v>2026</v>
      </c>
      <c r="C24" s="18" t="n">
        <f aca="false">COUNTIFS(Calc_Actuals!$J$2:$J$865,B24,Calc_Actuals!$K$2:$K$865,VALUE(RIGHT(A24,2)),Calc_Actuals!$C$2:$C$865,"Actual")</f>
        <v>36</v>
      </c>
      <c r="D24" s="18" t="n">
        <f aca="false">SUMIFS(Calc_Actuals!$M$2:$M$865,Calc_Actuals!$J$2:$J$865,B24,Calc_Actuals!$K$2:$K$865,VALUE(RIGHT(A24,2)),Calc_Actuals!$C$2:$C$865,"Actual")</f>
        <v>9917</v>
      </c>
      <c r="E24" s="19" t="n">
        <f aca="false">SUMIFS(Calc_Actuals!$N$2:$N$865,Calc_Actuals!$J$2:$J$865,B24,Calc_Actuals!$K$2:$K$865,VALUE(RIGHT(A24,2)),Calc_Actuals!$C$2:$C$865,"Actual")</f>
        <v>1938660.22</v>
      </c>
      <c r="F24" s="19" t="n">
        <f aca="false">SUMIFS(Calc_Actuals!$O$2:$O$865,Calc_Actuals!$J$2:$J$865,B24,Calc_Actuals!$K$2:$K$865,VALUE(RIGHT(A24,2)),Calc_Actuals!$C$2:$C$865,"Actual")</f>
        <v>1254810.82</v>
      </c>
      <c r="G24" s="19" t="n">
        <f aca="false">E24-F24</f>
        <v>683849.4</v>
      </c>
      <c r="H24" s="20" t="n">
        <f aca="false">IF(E24=0,"n/a",G24/E24)</f>
        <v>0.352743298152577</v>
      </c>
      <c r="I24" s="9" t="n">
        <f aca="false">E24/E23-1</f>
        <v>-0.0229589649061148</v>
      </c>
      <c r="J24" s="9" t="n">
        <f aca="false">E24/E12-1</f>
        <v>-0.0526334004033977</v>
      </c>
      <c r="K24" s="10" t="n">
        <f aca="false">(H24-H12)*100</f>
        <v>-0.964942944889269</v>
      </c>
      <c r="L24" s="21" t="n">
        <f aca="false">SUMPRODUCT((Sales_Transactions!$B$2:$B$865=A24)*(Sales_Transactions!$C$2:$C$865="Actual")*Sales_Transactions!$I$2:$I$865)</f>
        <v>1938660.22</v>
      </c>
      <c r="M24" s="21" t="n">
        <f aca="false">SUMPRODUCT((Sales_Transactions!$B$2:$B$865=A24)*(Sales_Transactions!$C$2:$C$865="Actual")*Sales_Transactions!$J$2:$J$865)</f>
        <v>1254810.82</v>
      </c>
    </row>
    <row r="25" customFormat="false" ht="15" hidden="false" customHeight="false" outlineLevel="0" collapsed="false">
      <c r="A25" s="17" t="s">
        <v>80</v>
      </c>
      <c r="B25" s="17" t="n">
        <f aca="false">INDEX(Calendar!$B$2:$B$25,MATCH(A25,Calendar!$A$2:$A$25,0))</f>
        <v>2026</v>
      </c>
      <c r="C25" s="18" t="n">
        <f aca="false">COUNTIFS(Calc_Actuals!$J$2:$J$865,B25,Calc_Actuals!$K$2:$K$865,VALUE(RIGHT(A25,2)),Calc_Actuals!$C$2:$C$865,"Actual")</f>
        <v>36</v>
      </c>
      <c r="D25" s="18" t="n">
        <f aca="false">SUMIFS(Calc_Actuals!$M$2:$M$865,Calc_Actuals!$J$2:$J$865,B25,Calc_Actuals!$K$2:$K$865,VALUE(RIGHT(A25,2)),Calc_Actuals!$C$2:$C$865,"Actual")</f>
        <v>10484</v>
      </c>
      <c r="E25" s="19" t="n">
        <f aca="false">SUMIFS(Calc_Actuals!$N$2:$N$865,Calc_Actuals!$J$2:$J$865,B25,Calc_Actuals!$K$2:$K$865,VALUE(RIGHT(A25,2)),Calc_Actuals!$C$2:$C$865,"Actual")</f>
        <v>2190614.59</v>
      </c>
      <c r="F25" s="19" t="n">
        <f aca="false">SUMIFS(Calc_Actuals!$O$2:$O$865,Calc_Actuals!$J$2:$J$865,B25,Calc_Actuals!$K$2:$K$865,VALUE(RIGHT(A25,2)),Calc_Actuals!$C$2:$C$865,"Actual")</f>
        <v>1410747.85</v>
      </c>
      <c r="G25" s="19" t="n">
        <f aca="false">E25-F25</f>
        <v>779866.74</v>
      </c>
      <c r="H25" s="20" t="n">
        <f aca="false">IF(E25=0,"n/a",G25/E25)</f>
        <v>0.356003627274298</v>
      </c>
      <c r="I25" s="9" t="n">
        <f aca="false">E25/E24-1</f>
        <v>0.129963140214431</v>
      </c>
      <c r="J25" s="9" t="n">
        <f aca="false">E25/E13-1</f>
        <v>0.181071384091496</v>
      </c>
      <c r="K25" s="10" t="n">
        <f aca="false">(H25-H13)*100</f>
        <v>-0.970762302156059</v>
      </c>
      <c r="L25" s="21" t="n">
        <f aca="false">SUMPRODUCT((Sales_Transactions!$B$2:$B$865=A25)*(Sales_Transactions!$C$2:$C$865="Actual")*Sales_Transactions!$I$2:$I$865)</f>
        <v>2190614.59</v>
      </c>
      <c r="M25" s="21" t="n">
        <f aca="false">SUMPRODUCT((Sales_Transactions!$B$2:$B$865=A25)*(Sales_Transactions!$C$2:$C$865="Actual")*Sales_Transactions!$J$2:$J$865)</f>
        <v>1410747.85</v>
      </c>
    </row>
    <row r="26" customFormat="false" ht="15" hidden="false" customHeight="false" outlineLevel="0" collapsed="false">
      <c r="A26" s="17" t="s">
        <v>81</v>
      </c>
      <c r="B26" s="17" t="n">
        <f aca="false">INDEX(Calendar!$B$2:$B$25,MATCH(A26,Calendar!$A$2:$A$25,0))</f>
        <v>2026</v>
      </c>
      <c r="C26" s="18" t="n">
        <f aca="false">COUNTIFS(Calc_Actuals!$J$2:$J$865,B26,Calc_Actuals!$K$2:$K$865,VALUE(RIGHT(A26,2)),Calc_Actuals!$C$2:$C$865,"Actual")</f>
        <v>36</v>
      </c>
      <c r="D26" s="18" t="n">
        <f aca="false">SUMIFS(Calc_Actuals!$M$2:$M$865,Calc_Actuals!$J$2:$J$865,B26,Calc_Actuals!$K$2:$K$865,VALUE(RIGHT(A26,2)),Calc_Actuals!$C$2:$C$865,"Actual")</f>
        <v>9992</v>
      </c>
      <c r="E26" s="19" t="n">
        <f aca="false">SUMIFS(Calc_Actuals!$N$2:$N$865,Calc_Actuals!$J$2:$J$865,B26,Calc_Actuals!$K$2:$K$865,VALUE(RIGHT(A26,2)),Calc_Actuals!$C$2:$C$865,"Actual")</f>
        <v>1949299.04</v>
      </c>
      <c r="F26" s="19" t="n">
        <f aca="false">SUMIFS(Calc_Actuals!$O$2:$O$865,Calc_Actuals!$J$2:$J$865,B26,Calc_Actuals!$K$2:$K$865,VALUE(RIGHT(A26,2)),Calc_Actuals!$C$2:$C$865,"Actual")</f>
        <v>1269183.11</v>
      </c>
      <c r="G26" s="19" t="n">
        <f aca="false">E26-F26</f>
        <v>680115.93</v>
      </c>
      <c r="H26" s="20" t="n">
        <f aca="false">IF(E26=0,"n/a",G26/E26)</f>
        <v>0.348902818933313</v>
      </c>
      <c r="I26" s="9" t="n">
        <f aca="false">E26/E25-1</f>
        <v>-0.110158834466632</v>
      </c>
      <c r="J26" s="9" t="n">
        <f aca="false">E26/E14-1</f>
        <v>-0.0361020293006931</v>
      </c>
      <c r="K26" s="10" t="n">
        <f aca="false">(H26-H14)*100</f>
        <v>-0.450940134279493</v>
      </c>
      <c r="L26" s="21" t="n">
        <f aca="false">SUMPRODUCT((Sales_Transactions!$B$2:$B$865=A26)*(Sales_Transactions!$C$2:$C$865="Actual")*Sales_Transactions!$I$2:$I$865)</f>
        <v>1949299.04</v>
      </c>
      <c r="M26" s="21" t="n">
        <f aca="false">SUMPRODUCT((Sales_Transactions!$B$2:$B$865=A26)*(Sales_Transactions!$C$2:$C$865="Actual")*Sales_Transactions!$J$2:$J$865)</f>
        <v>1269183.11</v>
      </c>
    </row>
    <row r="27" customFormat="false" ht="15" hidden="false" customHeight="false" outlineLevel="0" collapsed="false">
      <c r="A27" s="17" t="s">
        <v>82</v>
      </c>
      <c r="B27" s="17" t="n">
        <f aca="false">INDEX(Calendar!$B$2:$B$25,MATCH(A27,Calendar!$A$2:$A$25,0))</f>
        <v>2026</v>
      </c>
      <c r="C27" s="18" t="n">
        <f aca="false">COUNTIFS(Calc_Actuals!$J$2:$J$865,B27,Calc_Actuals!$K$2:$K$865,VALUE(RIGHT(A27,2)),Calc_Actuals!$C$2:$C$865,"Actual")</f>
        <v>36</v>
      </c>
      <c r="D27" s="18" t="n">
        <f aca="false">SUMIFS(Calc_Actuals!$M$2:$M$865,Calc_Actuals!$J$2:$J$865,B27,Calc_Actuals!$K$2:$K$865,VALUE(RIGHT(A27,2)),Calc_Actuals!$C$2:$C$865,"Actual")</f>
        <v>11177</v>
      </c>
      <c r="E27" s="19" t="n">
        <f aca="false">SUMIFS(Calc_Actuals!$N$2:$N$865,Calc_Actuals!$J$2:$J$865,B27,Calc_Actuals!$K$2:$K$865,VALUE(RIGHT(A27,2)),Calc_Actuals!$C$2:$C$865,"Actual")</f>
        <v>2260040.79</v>
      </c>
      <c r="F27" s="19" t="n">
        <f aca="false">SUMIFS(Calc_Actuals!$O$2:$O$865,Calc_Actuals!$J$2:$J$865,B27,Calc_Actuals!$K$2:$K$865,VALUE(RIGHT(A27,2)),Calc_Actuals!$C$2:$C$865,"Actual")</f>
        <v>1444159.98</v>
      </c>
      <c r="G27" s="19" t="n">
        <f aca="false">E27-F27</f>
        <v>815880.81</v>
      </c>
      <c r="H27" s="20" t="n">
        <f aca="false">IF(E27=0,"n/a",G27/E27)</f>
        <v>0.361002692345212</v>
      </c>
      <c r="I27" s="9" t="n">
        <f aca="false">E27/E26-1</f>
        <v>0.159412046906872</v>
      </c>
      <c r="J27" s="9" t="n">
        <f aca="false">E27/E15-1</f>
        <v>0.0665626226864071</v>
      </c>
      <c r="K27" s="10" t="n">
        <f aca="false">(H27-H15)*100</f>
        <v>0.26436942894687</v>
      </c>
      <c r="L27" s="21" t="n">
        <f aca="false">SUMPRODUCT((Sales_Transactions!$B$2:$B$865=A27)*(Sales_Transactions!$C$2:$C$865="Actual")*Sales_Transactions!$I$2:$I$865)</f>
        <v>2260040.79</v>
      </c>
      <c r="M27" s="21" t="n">
        <f aca="false">SUMPRODUCT((Sales_Transactions!$B$2:$B$865=A27)*(Sales_Transactions!$C$2:$C$865="Actual")*Sales_Transactions!$J$2:$J$865)</f>
        <v>1444159.98</v>
      </c>
    </row>
    <row r="28" customFormat="false" ht="15" hidden="false" customHeight="false" outlineLevel="0" collapsed="false">
      <c r="A28" s="17" t="s">
        <v>83</v>
      </c>
      <c r="B28" s="17" t="n">
        <f aca="false">INDEX(Calendar!$B$2:$B$25,MATCH(A28,Calendar!$A$2:$A$25,0))</f>
        <v>2026</v>
      </c>
      <c r="C28" s="18" t="n">
        <f aca="false">COUNTIFS(Calc_Actuals!$J$2:$J$865,B28,Calc_Actuals!$K$2:$K$865,VALUE(RIGHT(A28,2)),Calc_Actuals!$C$2:$C$865,"Actual")</f>
        <v>36</v>
      </c>
      <c r="D28" s="18" t="n">
        <f aca="false">SUMIFS(Calc_Actuals!$M$2:$M$865,Calc_Actuals!$J$2:$J$865,B28,Calc_Actuals!$K$2:$K$865,VALUE(RIGHT(A28,2)),Calc_Actuals!$C$2:$C$865,"Actual")</f>
        <v>10141</v>
      </c>
      <c r="E28" s="19" t="n">
        <f aca="false">SUMIFS(Calc_Actuals!$N$2:$N$865,Calc_Actuals!$J$2:$J$865,B28,Calc_Actuals!$K$2:$K$865,VALUE(RIGHT(A28,2)),Calc_Actuals!$C$2:$C$865,"Actual")</f>
        <v>2055159.07</v>
      </c>
      <c r="F28" s="19" t="n">
        <f aca="false">SUMIFS(Calc_Actuals!$O$2:$O$865,Calc_Actuals!$J$2:$J$865,B28,Calc_Actuals!$K$2:$K$865,VALUE(RIGHT(A28,2)),Calc_Actuals!$C$2:$C$865,"Actual")</f>
        <v>1317378.51</v>
      </c>
      <c r="G28" s="19" t="n">
        <f aca="false">E28-F28</f>
        <v>737780.56</v>
      </c>
      <c r="H28" s="20" t="n">
        <f aca="false">IF(E28=0,"n/a",G28/E28)</f>
        <v>0.358989516076729</v>
      </c>
      <c r="I28" s="9" t="n">
        <f aca="false">E28/E27-1</f>
        <v>-0.0906539921343632</v>
      </c>
      <c r="J28" s="9" t="n">
        <f aca="false">E28/E16-1</f>
        <v>-0.010939771654594</v>
      </c>
      <c r="K28" s="10" t="n">
        <f aca="false">(H28-H16)*100</f>
        <v>-0.0840398366510065</v>
      </c>
      <c r="L28" s="21" t="n">
        <f aca="false">SUMPRODUCT((Sales_Transactions!$B$2:$B$865=A28)*(Sales_Transactions!$C$2:$C$865="Actual")*Sales_Transactions!$I$2:$I$865)</f>
        <v>2055159.07</v>
      </c>
      <c r="M28" s="21" t="n">
        <f aca="false">SUMPRODUCT((Sales_Transactions!$B$2:$B$865=A28)*(Sales_Transactions!$C$2:$C$865="Actual")*Sales_Transactions!$J$2:$J$865)</f>
        <v>1317378.51</v>
      </c>
    </row>
    <row r="29" customFormat="false" ht="15" hidden="false" customHeight="false" outlineLevel="0" collapsed="false">
      <c r="A29" s="17" t="s">
        <v>84</v>
      </c>
      <c r="B29" s="17" t="n">
        <f aca="false">INDEX(Calendar!$B$2:$B$25,MATCH(A29,Calendar!$A$2:$A$25,0))</f>
        <v>2026</v>
      </c>
      <c r="C29" s="18" t="n">
        <f aca="false">COUNTIFS(Calc_Actuals!$J$2:$J$865,B29,Calc_Actuals!$K$2:$K$865,VALUE(RIGHT(A29,2)),Calc_Actuals!$C$2:$C$865,"Actual")</f>
        <v>36</v>
      </c>
      <c r="D29" s="18" t="n">
        <f aca="false">SUMIFS(Calc_Actuals!$M$2:$M$865,Calc_Actuals!$J$2:$J$865,B29,Calc_Actuals!$K$2:$K$865,VALUE(RIGHT(A29,2)),Calc_Actuals!$C$2:$C$865,"Actual")</f>
        <v>9534</v>
      </c>
      <c r="E29" s="19" t="n">
        <f aca="false">SUMIFS(Calc_Actuals!$N$2:$N$865,Calc_Actuals!$J$2:$J$865,B29,Calc_Actuals!$K$2:$K$865,VALUE(RIGHT(A29,2)),Calc_Actuals!$C$2:$C$865,"Actual")</f>
        <v>1837789.44</v>
      </c>
      <c r="F29" s="19" t="n">
        <f aca="false">SUMIFS(Calc_Actuals!$O$2:$O$865,Calc_Actuals!$J$2:$J$865,B29,Calc_Actuals!$K$2:$K$865,VALUE(RIGHT(A29,2)),Calc_Actuals!$C$2:$C$865,"Actual")</f>
        <v>1168844.18</v>
      </c>
      <c r="G29" s="19" t="n">
        <f aca="false">E29-F29</f>
        <v>668945.26</v>
      </c>
      <c r="H29" s="20" t="n">
        <f aca="false">IF(E29=0,"n/a",G29/E29)</f>
        <v>0.363994506356506</v>
      </c>
      <c r="I29" s="9" t="n">
        <f aca="false">E29/E28-1</f>
        <v>-0.105767788573174</v>
      </c>
      <c r="J29" s="9" t="n">
        <f aca="false">E29/E17-1</f>
        <v>-0.0754369410613673</v>
      </c>
      <c r="K29" s="10" t="n">
        <f aca="false">(H29-H17)*100</f>
        <v>-0.154620661278732</v>
      </c>
      <c r="L29" s="21" t="n">
        <f aca="false">SUMPRODUCT((Sales_Transactions!$B$2:$B$865=A29)*(Sales_Transactions!$C$2:$C$865="Actual")*Sales_Transactions!$I$2:$I$865)</f>
        <v>1837789.44</v>
      </c>
      <c r="M29" s="21" t="n">
        <f aca="false">SUMPRODUCT((Sales_Transactions!$B$2:$B$865=A29)*(Sales_Transactions!$C$2:$C$865="Actual")*Sales_Transactions!$J$2:$J$865)</f>
        <v>1168844.18</v>
      </c>
    </row>
    <row r="30" customFormat="false" ht="15" hidden="false" customHeight="false" outlineLevel="0" collapsed="false">
      <c r="A30" s="22" t="s">
        <v>85</v>
      </c>
      <c r="B30" s="23"/>
      <c r="C30" s="24" t="n">
        <f aca="false">SUM(C9:C29)</f>
        <v>756</v>
      </c>
      <c r="D30" s="24" t="n">
        <f aca="false">SUM(D9:D29)</f>
        <v>210777</v>
      </c>
      <c r="E30" s="25" t="n">
        <f aca="false">SUM(E9:E29)</f>
        <v>42593025.3</v>
      </c>
      <c r="F30" s="25" t="n">
        <f aca="false">SUM(F9:F29)</f>
        <v>27380595.19</v>
      </c>
      <c r="G30" s="25" t="n">
        <f aca="false">SUM(G9:G29)</f>
        <v>15212430.11</v>
      </c>
      <c r="H30" s="26" t="n">
        <f aca="false">G30/E30</f>
        <v>0.357157774139138</v>
      </c>
      <c r="I30" s="23"/>
      <c r="J30" s="23"/>
      <c r="K30" s="23"/>
      <c r="L30" s="25" t="n">
        <f aca="false">SUM(L9:L29)</f>
        <v>42593025.3</v>
      </c>
      <c r="M30" s="25" t="n">
        <f aca="false">SUM(M9:M29)</f>
        <v>27380595.19</v>
      </c>
    </row>
    <row r="32" customFormat="false" ht="15" hidden="false" customHeight="false" outlineLevel="0" collapsed="false">
      <c r="A32" s="12" t="s">
        <v>86</v>
      </c>
    </row>
    <row r="33" customFormat="false" ht="31.5" hidden="false" customHeight="true" outlineLevel="0" collapsed="false">
      <c r="A33" s="4" t="s">
        <v>87</v>
      </c>
      <c r="B33" s="4"/>
      <c r="C33" s="4"/>
      <c r="D33" s="4"/>
      <c r="E33" s="4" t="s">
        <v>54</v>
      </c>
      <c r="F33" s="4" t="s">
        <v>55</v>
      </c>
      <c r="G33" s="4" t="s">
        <v>56</v>
      </c>
      <c r="H33" s="4" t="s">
        <v>57</v>
      </c>
    </row>
    <row r="34" customFormat="false" ht="15" hidden="false" customHeight="false" outlineLevel="0" collapsed="false">
      <c r="A34" s="5" t="str">
        <f aca="false">"YTD "&amp;B5&amp;" (Jan-"&amp;TEXT(DATE(B5,B6,1),"mmm")&amp;")"</f>
        <v>YTD 2026 (Jan-Sep)</v>
      </c>
      <c r="B34" s="17"/>
      <c r="C34" s="17"/>
      <c r="D34" s="17"/>
      <c r="E34" s="19" t="n">
        <f aca="false">SUMIFS(Calc_Actuals!$N$2:$N$865,Calc_Actuals!$C$2:$C$865,"Actual",Calc_Actuals!$J$2:$J$865,$B$5,Calc_Actuals!$K$2:$K$865,"&lt;="&amp;$B$6)</f>
        <v>18093973.88</v>
      </c>
      <c r="F34" s="19" t="n">
        <f aca="false">SUMIFS(Calc_Actuals!$O$2:$O$865,Calc_Actuals!$C$2:$C$865,"Actual",Calc_Actuals!$J$2:$J$865,$B$5,Calc_Actuals!$K$2:$K$865,"&lt;="&amp;$B$6)</f>
        <v>11632542.68</v>
      </c>
      <c r="G34" s="19" t="n">
        <f aca="false">E34-F34</f>
        <v>6461431.2</v>
      </c>
      <c r="H34" s="20" t="n">
        <f aca="false">IF(E34=0,"n/a",G34/E34)</f>
        <v>0.357104041536286</v>
      </c>
    </row>
    <row r="35" customFormat="false" ht="15" hidden="false" customHeight="false" outlineLevel="0" collapsed="false">
      <c r="A35" s="5" t="str">
        <f aca="false">"YTD "&amp;(B5-1)&amp;" (Jan-"&amp;TEXT(DATE(B5,B6,1),"mmm")&amp;")"</f>
        <v>YTD 2025 (Jan-Sep)</v>
      </c>
      <c r="B35" s="17"/>
      <c r="C35" s="17"/>
      <c r="D35" s="17"/>
      <c r="E35" s="19" t="n">
        <f aca="false">SUMIFS(Calc_Actuals!$N$2:$N$865,Calc_Actuals!$C$2:$C$865,"Actual",Calc_Actuals!$J$2:$J$865,($B$5-1),Calc_Actuals!$K$2:$K$865,"&lt;="&amp;$B$6)</f>
        <v>18422630.5</v>
      </c>
      <c r="F35" s="19" t="n">
        <f aca="false">SUMIFS(Calc_Actuals!$O$2:$O$865,Calc_Actuals!$C$2:$C$865,"Actual",Calc_Actuals!$J$2:$J$865,($B$5-1),Calc_Actuals!$K$2:$K$865,"&lt;="&amp;$B$6)</f>
        <v>11823456.78</v>
      </c>
      <c r="G35" s="19" t="n">
        <f aca="false">E35-F35</f>
        <v>6599173.72</v>
      </c>
      <c r="H35" s="20" t="n">
        <f aca="false">IF(E35=0,"n/a",G35/E35)</f>
        <v>0.358210176337196</v>
      </c>
    </row>
    <row r="36" customFormat="false" ht="15" hidden="false" customHeight="false" outlineLevel="0" collapsed="false">
      <c r="A36" s="5" t="str">
        <f aca="false">"Full year "&amp;(B5-1)</f>
        <v>Full year 2025</v>
      </c>
      <c r="B36" s="17"/>
      <c r="C36" s="17"/>
      <c r="D36" s="17"/>
      <c r="E36" s="19" t="n">
        <f aca="false">SUMIFS(Calc_Actuals!$N$2:$N$865,Calc_Actuals!$C$2:$C$865,"Actual",Calc_Actuals!$J$2:$J$865,($B$5-1))</f>
        <v>24499051.42</v>
      </c>
      <c r="F36" s="19" t="n">
        <f aca="false">SUMIFS(Calc_Actuals!$O$2:$O$865,Calc_Actuals!$C$2:$C$865,"Actual",Calc_Actuals!$J$2:$J$865,($B$5-1))</f>
        <v>15748052.51</v>
      </c>
      <c r="G36" s="19" t="n">
        <f aca="false">E36-F36</f>
        <v>8750998.91</v>
      </c>
      <c r="H36" s="20" t="n">
        <f aca="false">IF(E36=0,"n/a",G36/E36)</f>
        <v>0.357197458790427</v>
      </c>
    </row>
    <row r="37" customFormat="false" ht="15" hidden="false" customHeight="false" outlineLevel="0" collapsed="false">
      <c r="A37" s="22" t="s">
        <v>88</v>
      </c>
      <c r="B37" s="23"/>
      <c r="C37" s="23"/>
      <c r="D37" s="23"/>
      <c r="E37" s="27" t="n">
        <f aca="false">IF(E35=0,"n/a",E34/E35-1)</f>
        <v>-0.0178398312879369</v>
      </c>
      <c r="F37" s="27" t="n">
        <f aca="false">IF(F35=0,"n/a",F34/F35-1)</f>
        <v>-0.0161470628727582</v>
      </c>
      <c r="G37" s="27" t="n">
        <f aca="false">IF(G35=0,"n/a",G34/G35-1)</f>
        <v>-0.0208726919224065</v>
      </c>
      <c r="H37" s="28" t="n">
        <f aca="false">(H34-H35)*100</f>
        <v>-0.110613480090943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W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14" min="2" style="0" width="16"/>
    <col collapsed="false" customWidth="true" hidden="false" outlineLevel="0" max="23" min="15" style="0" width="14"/>
  </cols>
  <sheetData>
    <row r="1" customFormat="false" ht="19.7" hidden="false" customHeight="false" outlineLevel="0" collapsed="false">
      <c r="A1" s="1" t="s">
        <v>89</v>
      </c>
    </row>
    <row r="2" customFormat="false" ht="15" hidden="false" customHeight="false" outlineLevel="0" collapsed="false">
      <c r="A2" s="2" t="s">
        <v>90</v>
      </c>
    </row>
    <row r="5" customFormat="false" ht="31.5" hidden="false" customHeight="true" outlineLevel="0" collapsed="false">
      <c r="A5" s="4" t="s">
        <v>91</v>
      </c>
      <c r="B5" s="4" t="s">
        <v>54</v>
      </c>
      <c r="C5" s="4" t="s">
        <v>55</v>
      </c>
      <c r="D5" s="4" t="s">
        <v>56</v>
      </c>
      <c r="E5" s="4" t="s">
        <v>57</v>
      </c>
      <c r="F5" s="4" t="s">
        <v>92</v>
      </c>
      <c r="G5" s="4" t="s">
        <v>93</v>
      </c>
      <c r="H5" s="4" t="s">
        <v>94</v>
      </c>
      <c r="I5" s="4" t="s">
        <v>95</v>
      </c>
      <c r="J5" s="4" t="s">
        <v>96</v>
      </c>
      <c r="K5" s="4" t="s">
        <v>97</v>
      </c>
      <c r="L5" s="4" t="s">
        <v>98</v>
      </c>
    </row>
    <row r="6" customFormat="false" ht="15" hidden="false" customHeight="false" outlineLevel="0" collapsed="false">
      <c r="A6" s="5" t="s">
        <v>99</v>
      </c>
      <c r="B6" s="19" t="n">
        <f aca="false">SUMIFS(Calc_Actuals!$N$2:$N$865,Calc_Actuals!$F$2:$F$865,$A6,Calc_Actuals!$C$2:$C$865,"Actual")</f>
        <v>10080345.65</v>
      </c>
      <c r="C6" s="19" t="n">
        <f aca="false">SUMIFS(Calc_Actuals!$O$2:$O$865,Calc_Actuals!$F$2:$F$865,$A6,Calc_Actuals!$C$2:$C$865,"Actual")</f>
        <v>6410602.67</v>
      </c>
      <c r="D6" s="19" t="n">
        <f aca="false">B6-C6</f>
        <v>3669742.98</v>
      </c>
      <c r="E6" s="20" t="n">
        <f aca="false">IF(B6=0,"n/a",D6/B6)</f>
        <v>0.364049320074654</v>
      </c>
      <c r="F6" s="20" t="n">
        <f aca="false">B6/B$10</f>
        <v>0.236666580478847</v>
      </c>
      <c r="G6" s="19" t="n">
        <f aca="false">SUMIFS(Calc_Actuals!$N$2:$N$865,Calc_Actuals!$F$2:$F$865,$A6,Calc_Actuals!$C$2:$C$865,"Actual",Calc_Actuals!$J$2:$J$865,Monthly_MIS!$B$5,Calc_Actuals!$K$2:$K$865,"&lt;="&amp;Monthly_MIS!$B$6)</f>
        <v>4494059.69</v>
      </c>
      <c r="H6" s="19" t="n">
        <f aca="false">SUMIFS(Calc_Actuals!$N$2:$N$865,Calc_Actuals!$F$2:$F$865,$A6,Calc_Actuals!$C$2:$C$865,"Actual",Calc_Actuals!$J$2:$J$865,(Monthly_MIS!$B$5-1),Calc_Actuals!$K$2:$K$865,"&lt;="&amp;Monthly_MIS!$B$6)</f>
        <v>4089303.88</v>
      </c>
      <c r="I6" s="29" t="n">
        <f aca="false">IF(H6=0,"n/a",G6/H6-1)</f>
        <v>0.0989791470327219</v>
      </c>
      <c r="J6" s="20" t="n">
        <f aca="false">IF(G6=0,"n/a",(SUMIFS(Calc_Actuals!$N$2:$N$865,Calc_Actuals!$F$2:$F$865,$A6,Calc_Actuals!$C$2:$C$865,"Actual",Calc_Actuals!$J$2:$J$865,Monthly_MIS!$B$5,Calc_Actuals!$K$2:$K$865,"&lt;="&amp;Monthly_MIS!$B$6)-SUMIFS(Calc_Actuals!$O$2:$O$865,Calc_Actuals!$F$2:$F$865,$A6,Calc_Actuals!$C$2:$C$865,"Actual",Calc_Actuals!$J$2:$J$865,Monthly_MIS!$B$5,Calc_Actuals!$K$2:$K$865,"&lt;="&amp;Monthly_MIS!$B$6))/G6)</f>
        <v>0.366629600774172</v>
      </c>
      <c r="K6" s="20" t="n">
        <f aca="false">IF(H6=0,"n/a",(SUMIFS(Calc_Actuals!$N$2:$N$865,Calc_Actuals!$F$2:$F$865,$A6,Calc_Actuals!$C$2:$C$865,"Actual",Calc_Actuals!$J$2:$J$865,(Monthly_MIS!$B$5-1),Calc_Actuals!$K$2:$K$865,"&lt;="&amp;Monthly_MIS!$B$6)-SUMIFS(Calc_Actuals!$O$2:$O$865,Calc_Actuals!$F$2:$F$865,$A6,Calc_Actuals!$C$2:$C$865,"Actual",Calc_Actuals!$J$2:$J$865,(Monthly_MIS!$B$5-1),Calc_Actuals!$K$2:$K$865,"&lt;="&amp;Monthly_MIS!$B$6))/H6)</f>
        <v>0.361853071677324</v>
      </c>
      <c r="L6" s="30" t="n">
        <f aca="false">IFERROR((J6-K6)*100,"n/a")</f>
        <v>0.477652909684806</v>
      </c>
    </row>
    <row r="7" customFormat="false" ht="15" hidden="false" customHeight="false" outlineLevel="0" collapsed="false">
      <c r="A7" s="5" t="s">
        <v>100</v>
      </c>
      <c r="B7" s="19" t="n">
        <f aca="false">SUMIFS(Calc_Actuals!$N$2:$N$865,Calc_Actuals!$F$2:$F$865,$A7,Calc_Actuals!$C$2:$C$865,"Actual")</f>
        <v>12412351.01</v>
      </c>
      <c r="C7" s="19" t="n">
        <f aca="false">SUMIFS(Calc_Actuals!$O$2:$O$865,Calc_Actuals!$F$2:$F$865,$A7,Calc_Actuals!$C$2:$C$865,"Actual")</f>
        <v>7869163.62</v>
      </c>
      <c r="D7" s="19" t="n">
        <f aca="false">B7-C7</f>
        <v>4543187.39</v>
      </c>
      <c r="E7" s="20" t="n">
        <f aca="false">IF(B7=0,"n/a",D7/B7)</f>
        <v>0.366021504414416</v>
      </c>
      <c r="F7" s="20" t="n">
        <f aca="false">B7/B$10</f>
        <v>0.29141745444412</v>
      </c>
      <c r="G7" s="19" t="n">
        <f aca="false">SUMIFS(Calc_Actuals!$N$2:$N$865,Calc_Actuals!$F$2:$F$865,$A7,Calc_Actuals!$C$2:$C$865,"Actual",Calc_Actuals!$J$2:$J$865,Monthly_MIS!$B$5,Calc_Actuals!$K$2:$K$865,"&lt;="&amp;Monthly_MIS!$B$6)</f>
        <v>4914885.99</v>
      </c>
      <c r="H7" s="19" t="n">
        <f aca="false">SUMIFS(Calc_Actuals!$N$2:$N$865,Calc_Actuals!$F$2:$F$865,$A7,Calc_Actuals!$C$2:$C$865,"Actual",Calc_Actuals!$J$2:$J$865,(Monthly_MIS!$B$5-1),Calc_Actuals!$K$2:$K$865,"&lt;="&amp;Monthly_MIS!$B$6)</f>
        <v>5782011.61</v>
      </c>
      <c r="I7" s="29" t="n">
        <f aca="false">IF(H7=0,"n/a",G7/H7-1)</f>
        <v>-0.149969539753311</v>
      </c>
      <c r="J7" s="20" t="n">
        <f aca="false">IF(G7=0,"n/a",(SUMIFS(Calc_Actuals!$N$2:$N$865,Calc_Actuals!$F$2:$F$865,$A7,Calc_Actuals!$C$2:$C$865,"Actual",Calc_Actuals!$J$2:$J$865,Monthly_MIS!$B$5,Calc_Actuals!$K$2:$K$865,"&lt;="&amp;Monthly_MIS!$B$6)-SUMIFS(Calc_Actuals!$O$2:$O$865,Calc_Actuals!$F$2:$F$865,$A7,Calc_Actuals!$C$2:$C$865,"Actual",Calc_Actuals!$J$2:$J$865,Monthly_MIS!$B$5,Calc_Actuals!$K$2:$K$865,"&lt;="&amp;Monthly_MIS!$B$6))/G7)</f>
        <v>0.365295816353209</v>
      </c>
      <c r="K7" s="20" t="n">
        <f aca="false">IF(H7=0,"n/a",(SUMIFS(Calc_Actuals!$N$2:$N$865,Calc_Actuals!$F$2:$F$865,$A7,Calc_Actuals!$C$2:$C$865,"Actual",Calc_Actuals!$J$2:$J$865,(Monthly_MIS!$B$5-1),Calc_Actuals!$K$2:$K$865,"&lt;="&amp;Monthly_MIS!$B$6)-SUMIFS(Calc_Actuals!$O$2:$O$865,Calc_Actuals!$F$2:$F$865,$A7,Calc_Actuals!$C$2:$C$865,"Actual",Calc_Actuals!$J$2:$J$865,(Monthly_MIS!$B$5-1),Calc_Actuals!$K$2:$K$865,"&lt;="&amp;Monthly_MIS!$B$6))/H7)</f>
        <v>0.36990067717972</v>
      </c>
      <c r="L7" s="30" t="n">
        <f aca="false">IFERROR((J7-K7)*100,"n/a")</f>
        <v>-0.460486082651046</v>
      </c>
    </row>
    <row r="8" customFormat="false" ht="15" hidden="false" customHeight="false" outlineLevel="0" collapsed="false">
      <c r="A8" s="5" t="s">
        <v>101</v>
      </c>
      <c r="B8" s="19" t="n">
        <f aca="false">SUMIFS(Calc_Actuals!$N$2:$N$865,Calc_Actuals!$F$2:$F$865,$A8,Calc_Actuals!$C$2:$C$865,"Actual")</f>
        <v>8028818.42</v>
      </c>
      <c r="C8" s="19" t="n">
        <f aca="false">SUMIFS(Calc_Actuals!$O$2:$O$865,Calc_Actuals!$F$2:$F$865,$A8,Calc_Actuals!$C$2:$C$865,"Actual")</f>
        <v>5375053.96</v>
      </c>
      <c r="D8" s="19" t="n">
        <f aca="false">B8-C8</f>
        <v>2653764.46</v>
      </c>
      <c r="E8" s="20" t="n">
        <f aca="false">IF(B8=0,"n/a",D8/B8)</f>
        <v>0.330529888855053</v>
      </c>
      <c r="F8" s="20" t="n">
        <f aca="false">B8/B$10</f>
        <v>0.188500778318745</v>
      </c>
      <c r="G8" s="19" t="n">
        <f aca="false">SUMIFS(Calc_Actuals!$N$2:$N$865,Calc_Actuals!$F$2:$F$865,$A8,Calc_Actuals!$C$2:$C$865,"Actual",Calc_Actuals!$J$2:$J$865,Monthly_MIS!$B$5,Calc_Actuals!$K$2:$K$865,"&lt;="&amp;Monthly_MIS!$B$6)</f>
        <v>3394026.81</v>
      </c>
      <c r="H8" s="19" t="n">
        <f aca="false">SUMIFS(Calc_Actuals!$N$2:$N$865,Calc_Actuals!$F$2:$F$865,$A8,Calc_Actuals!$C$2:$C$865,"Actual",Calc_Actuals!$J$2:$J$865,(Monthly_MIS!$B$5-1),Calc_Actuals!$K$2:$K$865,"&lt;="&amp;Monthly_MIS!$B$6)</f>
        <v>3438531.23</v>
      </c>
      <c r="I8" s="29" t="n">
        <f aca="false">IF(H8=0,"n/a",G8/H8-1)</f>
        <v>-0.0129428575816657</v>
      </c>
      <c r="J8" s="20" t="n">
        <f aca="false">IF(G8=0,"n/a",(SUMIFS(Calc_Actuals!$N$2:$N$865,Calc_Actuals!$F$2:$F$865,$A8,Calc_Actuals!$C$2:$C$865,"Actual",Calc_Actuals!$J$2:$J$865,Monthly_MIS!$B$5,Calc_Actuals!$K$2:$K$865,"&lt;="&amp;Monthly_MIS!$B$6)-SUMIFS(Calc_Actuals!$O$2:$O$865,Calc_Actuals!$F$2:$F$865,$A8,Calc_Actuals!$C$2:$C$865,"Actual",Calc_Actuals!$J$2:$J$865,Monthly_MIS!$B$5,Calc_Actuals!$K$2:$K$865,"&lt;="&amp;Monthly_MIS!$B$6))/G8)</f>
        <v>0.335428243125752</v>
      </c>
      <c r="K8" s="20" t="n">
        <f aca="false">IF(H8=0,"n/a",(SUMIFS(Calc_Actuals!$N$2:$N$865,Calc_Actuals!$F$2:$F$865,$A8,Calc_Actuals!$C$2:$C$865,"Actual",Calc_Actuals!$J$2:$J$865,(Monthly_MIS!$B$5-1),Calc_Actuals!$K$2:$K$865,"&lt;="&amp;Monthly_MIS!$B$6)-SUMIFS(Calc_Actuals!$O$2:$O$865,Calc_Actuals!$F$2:$F$865,$A8,Calc_Actuals!$C$2:$C$865,"Actual",Calc_Actuals!$J$2:$J$865,(Monthly_MIS!$B$5-1),Calc_Actuals!$K$2:$K$865,"&lt;="&amp;Monthly_MIS!$B$6))/H8)</f>
        <v>0.326791125291016</v>
      </c>
      <c r="L8" s="30" t="n">
        <f aca="false">IFERROR((J8-K8)*100,"n/a")</f>
        <v>0.863711783473636</v>
      </c>
    </row>
    <row r="9" customFormat="false" ht="15" hidden="false" customHeight="false" outlineLevel="0" collapsed="false">
      <c r="A9" s="5" t="s">
        <v>102</v>
      </c>
      <c r="B9" s="19" t="n">
        <f aca="false">SUMIFS(Calc_Actuals!$N$2:$N$865,Calc_Actuals!$F$2:$F$865,$A9,Calc_Actuals!$C$2:$C$865,"Actual")</f>
        <v>12071510.22</v>
      </c>
      <c r="C9" s="19" t="n">
        <f aca="false">SUMIFS(Calc_Actuals!$O$2:$O$865,Calc_Actuals!$F$2:$F$865,$A9,Calc_Actuals!$C$2:$C$865,"Actual")</f>
        <v>7725774.94</v>
      </c>
      <c r="D9" s="19" t="n">
        <f aca="false">B9-C9</f>
        <v>4345735.28</v>
      </c>
      <c r="E9" s="20" t="n">
        <f aca="false">IF(B9=0,"n/a",D9/B9)</f>
        <v>0.35999930421299</v>
      </c>
      <c r="F9" s="20" t="n">
        <f aca="false">B9/B$10</f>
        <v>0.283415186758288</v>
      </c>
      <c r="G9" s="19" t="n">
        <f aca="false">SUMIFS(Calc_Actuals!$N$2:$N$865,Calc_Actuals!$F$2:$F$865,$A9,Calc_Actuals!$C$2:$C$865,"Actual",Calc_Actuals!$J$2:$J$865,Monthly_MIS!$B$5,Calc_Actuals!$K$2:$K$865,"&lt;="&amp;Monthly_MIS!$B$6)</f>
        <v>5291001.39</v>
      </c>
      <c r="H9" s="19" t="n">
        <f aca="false">SUMIFS(Calc_Actuals!$N$2:$N$865,Calc_Actuals!$F$2:$F$865,$A9,Calc_Actuals!$C$2:$C$865,"Actual",Calc_Actuals!$J$2:$J$865,(Monthly_MIS!$B$5-1),Calc_Actuals!$K$2:$K$865,"&lt;="&amp;Monthly_MIS!$B$6)</f>
        <v>5112783.78</v>
      </c>
      <c r="I9" s="29" t="n">
        <f aca="false">IF(H9=0,"n/a",G9/H9-1)</f>
        <v>0.0348572553952202</v>
      </c>
      <c r="J9" s="20" t="n">
        <f aca="false">IF(G9=0,"n/a",(SUMIFS(Calc_Actuals!$N$2:$N$865,Calc_Actuals!$F$2:$F$865,$A9,Calc_Actuals!$C$2:$C$865,"Actual",Calc_Actuals!$J$2:$J$865,Monthly_MIS!$B$5,Calc_Actuals!$K$2:$K$865,"&lt;="&amp;Monthly_MIS!$B$6)-SUMIFS(Calc_Actuals!$O$2:$O$865,Calc_Actuals!$F$2:$F$865,$A9,Calc_Actuals!$C$2:$C$865,"Actual",Calc_Actuals!$J$2:$J$865,Monthly_MIS!$B$5,Calc_Actuals!$K$2:$K$865,"&lt;="&amp;Monthly_MIS!$B$6))/G9)</f>
        <v>0.355308194315179</v>
      </c>
      <c r="K9" s="20" t="n">
        <f aca="false">IF(H9=0,"n/a",(SUMIFS(Calc_Actuals!$N$2:$N$865,Calc_Actuals!$F$2:$F$865,$A9,Calc_Actuals!$C$2:$C$865,"Actual",Calc_Actuals!$J$2:$J$865,(Monthly_MIS!$B$5-1),Calc_Actuals!$K$2:$K$865,"&lt;="&amp;Monthly_MIS!$B$6)-SUMIFS(Calc_Actuals!$O$2:$O$865,Calc_Actuals!$F$2:$F$865,$A9,Calc_Actuals!$C$2:$C$865,"Actual",Calc_Actuals!$J$2:$J$865,(Monthly_MIS!$B$5-1),Calc_Actuals!$K$2:$K$865,"&lt;="&amp;Monthly_MIS!$B$6))/H9)</f>
        <v>0.363206255125461</v>
      </c>
      <c r="L9" s="30" t="n">
        <f aca="false">IFERROR((J9-K9)*100,"n/a")</f>
        <v>-0.789806081028271</v>
      </c>
    </row>
    <row r="10" customFormat="false" ht="15" hidden="false" customHeight="false" outlineLevel="0" collapsed="false">
      <c r="A10" s="22" t="s">
        <v>103</v>
      </c>
      <c r="B10" s="25" t="n">
        <f aca="false">SUM(B6:B9)</f>
        <v>42593025.3</v>
      </c>
      <c r="C10" s="25" t="n">
        <f aca="false">SUM(C6:C9)</f>
        <v>27380595.19</v>
      </c>
      <c r="D10" s="25" t="n">
        <f aca="false">SUM(D6:D9)</f>
        <v>15212430.11</v>
      </c>
      <c r="E10" s="26" t="n">
        <f aca="false">D10/B10</f>
        <v>0.357157774139138</v>
      </c>
      <c r="F10" s="26" t="n">
        <f aca="false">SUM(F6:F9)</f>
        <v>1</v>
      </c>
      <c r="G10" s="25" t="n">
        <f aca="false">SUM(G6:G9)</f>
        <v>18093973.88</v>
      </c>
      <c r="H10" s="25" t="n">
        <f aca="false">SUM(H6:H9)</f>
        <v>18422630.5</v>
      </c>
      <c r="I10" s="27" t="n">
        <f aca="false">G10/H10-1</f>
        <v>-0.0178398312879369</v>
      </c>
      <c r="J10" s="26" t="n">
        <f aca="false">Monthly_MIS!H34</f>
        <v>0.357104041536286</v>
      </c>
      <c r="K10" s="26" t="n">
        <f aca="false">Monthly_MIS!H35</f>
        <v>0.358210176337196</v>
      </c>
      <c r="L10" s="28" t="n">
        <f aca="false">(J10-K10)*100</f>
        <v>-0.110613480090943</v>
      </c>
    </row>
    <row r="12" customFormat="false" ht="15" hidden="false" customHeight="false" outlineLevel="0" collapsed="false">
      <c r="A12" s="12" t="s">
        <v>104</v>
      </c>
    </row>
    <row r="13" customFormat="false" ht="31.5" hidden="false" customHeight="true" outlineLevel="0" collapsed="false">
      <c r="A13" s="4" t="s">
        <v>91</v>
      </c>
      <c r="B13" s="4" t="s">
        <v>63</v>
      </c>
      <c r="C13" s="4" t="s">
        <v>65</v>
      </c>
      <c r="D13" s="4" t="s">
        <v>66</v>
      </c>
      <c r="E13" s="4" t="s">
        <v>67</v>
      </c>
      <c r="F13" s="4" t="s">
        <v>68</v>
      </c>
      <c r="G13" s="4" t="s">
        <v>69</v>
      </c>
      <c r="H13" s="4" t="s">
        <v>70</v>
      </c>
      <c r="I13" s="4" t="s">
        <v>71</v>
      </c>
      <c r="J13" s="4" t="s">
        <v>72</v>
      </c>
      <c r="K13" s="4" t="s">
        <v>73</v>
      </c>
      <c r="L13" s="4" t="s">
        <v>74</v>
      </c>
      <c r="M13" s="4" t="s">
        <v>75</v>
      </c>
      <c r="N13" s="4" t="s">
        <v>76</v>
      </c>
      <c r="O13" s="4" t="s">
        <v>77</v>
      </c>
      <c r="P13" s="4" t="s">
        <v>78</v>
      </c>
      <c r="Q13" s="4" t="s">
        <v>79</v>
      </c>
      <c r="R13" s="4" t="s">
        <v>80</v>
      </c>
      <c r="S13" s="4" t="s">
        <v>81</v>
      </c>
      <c r="T13" s="4" t="s">
        <v>82</v>
      </c>
      <c r="U13" s="4" t="s">
        <v>83</v>
      </c>
      <c r="V13" s="4" t="s">
        <v>84</v>
      </c>
      <c r="W13" s="4" t="s">
        <v>103</v>
      </c>
    </row>
    <row r="14" customFormat="false" ht="15" hidden="false" customHeight="false" outlineLevel="0" collapsed="false">
      <c r="A14" s="5" t="s">
        <v>99</v>
      </c>
      <c r="B14" s="19" t="n">
        <f aca="false">SUMIFS(Calc_Actuals!$N$2:$N$865,Calc_Actuals!$F$2:$F$865,$A14,Calc_Actuals!$J$2:$J$865,VALUE(LEFT(B$13,4)),Calc_Actuals!$K$2:$K$865,VALUE(RIGHT(B$13,2)),Calc_Actuals!$C$2:$C$865,"Actual")</f>
        <v>426907.65</v>
      </c>
      <c r="C14" s="19" t="n">
        <f aca="false">SUMIFS(Calc_Actuals!$N$2:$N$865,Calc_Actuals!$F$2:$F$865,$A14,Calc_Actuals!$J$2:$J$865,VALUE(LEFT(C$13,4)),Calc_Actuals!$K$2:$K$865,VALUE(RIGHT(C$13,2)),Calc_Actuals!$C$2:$C$865,"Actual")</f>
        <v>535847.41</v>
      </c>
      <c r="D14" s="19" t="n">
        <f aca="false">SUMIFS(Calc_Actuals!$N$2:$N$865,Calc_Actuals!$F$2:$F$865,$A14,Calc_Actuals!$J$2:$J$865,VALUE(LEFT(D$13,4)),Calc_Actuals!$K$2:$K$865,VALUE(RIGHT(D$13,2)),Calc_Actuals!$C$2:$C$865,"Actual")</f>
        <v>406990.53</v>
      </c>
      <c r="E14" s="19" t="n">
        <f aca="false">SUMIFS(Calc_Actuals!$N$2:$N$865,Calc_Actuals!$F$2:$F$865,$A14,Calc_Actuals!$J$2:$J$865,VALUE(LEFT(E$13,4)),Calc_Actuals!$K$2:$K$865,VALUE(RIGHT(E$13,2)),Calc_Actuals!$C$2:$C$865,"Actual")</f>
        <v>454416.94</v>
      </c>
      <c r="F14" s="19" t="n">
        <f aca="false">SUMIFS(Calc_Actuals!$N$2:$N$865,Calc_Actuals!$F$2:$F$865,$A14,Calc_Actuals!$J$2:$J$865,VALUE(LEFT(F$13,4)),Calc_Actuals!$K$2:$K$865,VALUE(RIGHT(F$13,2)),Calc_Actuals!$C$2:$C$865,"Actual")</f>
        <v>327736.2</v>
      </c>
      <c r="G14" s="19" t="n">
        <f aca="false">SUMIFS(Calc_Actuals!$N$2:$N$865,Calc_Actuals!$F$2:$F$865,$A14,Calc_Actuals!$J$2:$J$865,VALUE(LEFT(G$13,4)),Calc_Actuals!$K$2:$K$865,VALUE(RIGHT(G$13,2)),Calc_Actuals!$C$2:$C$865,"Actual")</f>
        <v>582555.78</v>
      </c>
      <c r="H14" s="19" t="n">
        <f aca="false">SUMIFS(Calc_Actuals!$N$2:$N$865,Calc_Actuals!$F$2:$F$865,$A14,Calc_Actuals!$J$2:$J$865,VALUE(LEFT(H$13,4)),Calc_Actuals!$K$2:$K$865,VALUE(RIGHT(H$13,2)),Calc_Actuals!$C$2:$C$865,"Actual")</f>
        <v>517879.3</v>
      </c>
      <c r="I14" s="19" t="n">
        <f aca="false">SUMIFS(Calc_Actuals!$N$2:$N$865,Calc_Actuals!$F$2:$F$865,$A14,Calc_Actuals!$J$2:$J$865,VALUE(LEFT(I$13,4)),Calc_Actuals!$K$2:$K$865,VALUE(RIGHT(I$13,2)),Calc_Actuals!$C$2:$C$865,"Actual")</f>
        <v>404593.08</v>
      </c>
      <c r="J14" s="19" t="n">
        <f aca="false">SUMIFS(Calc_Actuals!$N$2:$N$865,Calc_Actuals!$F$2:$F$865,$A14,Calc_Actuals!$J$2:$J$865,VALUE(LEFT(J$13,4)),Calc_Actuals!$K$2:$K$865,VALUE(RIGHT(J$13,2)),Calc_Actuals!$C$2:$C$865,"Actual")</f>
        <v>432376.99</v>
      </c>
      <c r="K14" s="19" t="n">
        <f aca="false">SUMIFS(Calc_Actuals!$N$2:$N$865,Calc_Actuals!$F$2:$F$865,$A14,Calc_Actuals!$J$2:$J$865,VALUE(LEFT(K$13,4)),Calc_Actuals!$K$2:$K$865,VALUE(RIGHT(K$13,2)),Calc_Actuals!$C$2:$C$865,"Actual")</f>
        <v>417049.34</v>
      </c>
      <c r="L14" s="19" t="n">
        <f aca="false">SUMIFS(Calc_Actuals!$N$2:$N$865,Calc_Actuals!$F$2:$F$865,$A14,Calc_Actuals!$J$2:$J$865,VALUE(LEFT(L$13,4)),Calc_Actuals!$K$2:$K$865,VALUE(RIGHT(L$13,2)),Calc_Actuals!$C$2:$C$865,"Actual")</f>
        <v>468397.98</v>
      </c>
      <c r="M14" s="19" t="n">
        <f aca="false">SUMIFS(Calc_Actuals!$N$2:$N$865,Calc_Actuals!$F$2:$F$865,$A14,Calc_Actuals!$J$2:$J$865,VALUE(LEFT(M$13,4)),Calc_Actuals!$K$2:$K$865,VALUE(RIGHT(M$13,2)),Calc_Actuals!$C$2:$C$865,"Actual")</f>
        <v>611534.76</v>
      </c>
      <c r="N14" s="19" t="n">
        <f aca="false">SUMIFS(Calc_Actuals!$N$2:$N$865,Calc_Actuals!$F$2:$F$865,$A14,Calc_Actuals!$J$2:$J$865,VALUE(LEFT(N$13,4)),Calc_Actuals!$K$2:$K$865,VALUE(RIGHT(N$13,2)),Calc_Actuals!$C$2:$C$865,"Actual")</f>
        <v>458813.02</v>
      </c>
      <c r="O14" s="19" t="n">
        <f aca="false">SUMIFS(Calc_Actuals!$N$2:$N$865,Calc_Actuals!$F$2:$F$865,$A14,Calc_Actuals!$J$2:$J$865,VALUE(LEFT(O$13,4)),Calc_Actuals!$K$2:$K$865,VALUE(RIGHT(O$13,2)),Calc_Actuals!$C$2:$C$865,"Actual")</f>
        <v>504151.27</v>
      </c>
      <c r="P14" s="19" t="n">
        <f aca="false">SUMIFS(Calc_Actuals!$N$2:$N$865,Calc_Actuals!$F$2:$F$865,$A14,Calc_Actuals!$J$2:$J$865,VALUE(LEFT(P$13,4)),Calc_Actuals!$K$2:$K$865,VALUE(RIGHT(P$13,2)),Calc_Actuals!$C$2:$C$865,"Actual")</f>
        <v>495042.71</v>
      </c>
      <c r="Q14" s="19" t="n">
        <f aca="false">SUMIFS(Calc_Actuals!$N$2:$N$865,Calc_Actuals!$F$2:$F$865,$A14,Calc_Actuals!$J$2:$J$865,VALUE(LEFT(Q$13,4)),Calc_Actuals!$K$2:$K$865,VALUE(RIGHT(Q$13,2)),Calc_Actuals!$C$2:$C$865,"Actual")</f>
        <v>464253.27</v>
      </c>
      <c r="R14" s="19" t="n">
        <f aca="false">SUMIFS(Calc_Actuals!$N$2:$N$865,Calc_Actuals!$F$2:$F$865,$A14,Calc_Actuals!$J$2:$J$865,VALUE(LEFT(R$13,4)),Calc_Actuals!$K$2:$K$865,VALUE(RIGHT(R$13,2)),Calc_Actuals!$C$2:$C$865,"Actual")</f>
        <v>461023.9</v>
      </c>
      <c r="S14" s="19" t="n">
        <f aca="false">SUMIFS(Calc_Actuals!$N$2:$N$865,Calc_Actuals!$F$2:$F$865,$A14,Calc_Actuals!$J$2:$J$865,VALUE(LEFT(S$13,4)),Calc_Actuals!$K$2:$K$865,VALUE(RIGHT(S$13,2)),Calc_Actuals!$C$2:$C$865,"Actual")</f>
        <v>542383.67</v>
      </c>
      <c r="T14" s="19" t="n">
        <f aca="false">SUMIFS(Calc_Actuals!$N$2:$N$865,Calc_Actuals!$F$2:$F$865,$A14,Calc_Actuals!$J$2:$J$865,VALUE(LEFT(T$13,4)),Calc_Actuals!$K$2:$K$865,VALUE(RIGHT(T$13,2)),Calc_Actuals!$C$2:$C$865,"Actual")</f>
        <v>543181.97</v>
      </c>
      <c r="U14" s="19" t="n">
        <f aca="false">SUMIFS(Calc_Actuals!$N$2:$N$865,Calc_Actuals!$F$2:$F$865,$A14,Calc_Actuals!$J$2:$J$865,VALUE(LEFT(U$13,4)),Calc_Actuals!$K$2:$K$865,VALUE(RIGHT(U$13,2)),Calc_Actuals!$C$2:$C$865,"Actual")</f>
        <v>526332.16</v>
      </c>
      <c r="V14" s="19" t="n">
        <f aca="false">SUMIFS(Calc_Actuals!$N$2:$N$865,Calc_Actuals!$F$2:$F$865,$A14,Calc_Actuals!$J$2:$J$865,VALUE(LEFT(V$13,4)),Calc_Actuals!$K$2:$K$865,VALUE(RIGHT(V$13,2)),Calc_Actuals!$C$2:$C$865,"Actual")</f>
        <v>498877.72</v>
      </c>
      <c r="W14" s="31" t="n">
        <f aca="false">SUM(B14:V14)</f>
        <v>10080345.65</v>
      </c>
    </row>
    <row r="15" customFormat="false" ht="15" hidden="false" customHeight="false" outlineLevel="0" collapsed="false">
      <c r="A15" s="5" t="s">
        <v>100</v>
      </c>
      <c r="B15" s="19" t="n">
        <f aca="false">SUMIFS(Calc_Actuals!$N$2:$N$865,Calc_Actuals!$F$2:$F$865,$A15,Calc_Actuals!$J$2:$J$865,VALUE(LEFT(B$13,4)),Calc_Actuals!$K$2:$K$865,VALUE(RIGHT(B$13,2)),Calc_Actuals!$C$2:$C$865,"Actual")</f>
        <v>745665.04</v>
      </c>
      <c r="C15" s="19" t="n">
        <f aca="false">SUMIFS(Calc_Actuals!$N$2:$N$865,Calc_Actuals!$F$2:$F$865,$A15,Calc_Actuals!$J$2:$J$865,VALUE(LEFT(C$13,4)),Calc_Actuals!$K$2:$K$865,VALUE(RIGHT(C$13,2)),Calc_Actuals!$C$2:$C$865,"Actual")</f>
        <v>615537.71</v>
      </c>
      <c r="D15" s="19" t="n">
        <f aca="false">SUMIFS(Calc_Actuals!$N$2:$N$865,Calc_Actuals!$F$2:$F$865,$A15,Calc_Actuals!$J$2:$J$865,VALUE(LEFT(D$13,4)),Calc_Actuals!$K$2:$K$865,VALUE(RIGHT(D$13,2)),Calc_Actuals!$C$2:$C$865,"Actual")</f>
        <v>628432.07</v>
      </c>
      <c r="E15" s="19" t="n">
        <f aca="false">SUMIFS(Calc_Actuals!$N$2:$N$865,Calc_Actuals!$F$2:$F$865,$A15,Calc_Actuals!$J$2:$J$865,VALUE(LEFT(E$13,4)),Calc_Actuals!$K$2:$K$865,VALUE(RIGHT(E$13,2)),Calc_Actuals!$C$2:$C$865,"Actual")</f>
        <v>741614.98</v>
      </c>
      <c r="F15" s="19" t="n">
        <f aca="false">SUMIFS(Calc_Actuals!$N$2:$N$865,Calc_Actuals!$F$2:$F$865,$A15,Calc_Actuals!$J$2:$J$865,VALUE(LEFT(F$13,4)),Calc_Actuals!$K$2:$K$865,VALUE(RIGHT(F$13,2)),Calc_Actuals!$C$2:$C$865,"Actual")</f>
        <v>589779.17</v>
      </c>
      <c r="G15" s="19" t="n">
        <f aca="false">SUMIFS(Calc_Actuals!$N$2:$N$865,Calc_Actuals!$F$2:$F$865,$A15,Calc_Actuals!$J$2:$J$865,VALUE(LEFT(G$13,4)),Calc_Actuals!$K$2:$K$865,VALUE(RIGHT(G$13,2)),Calc_Actuals!$C$2:$C$865,"Actual")</f>
        <v>491732.37</v>
      </c>
      <c r="H15" s="19" t="n">
        <f aca="false">SUMIFS(Calc_Actuals!$N$2:$N$865,Calc_Actuals!$F$2:$F$865,$A15,Calc_Actuals!$J$2:$J$865,VALUE(LEFT(H$13,4)),Calc_Actuals!$K$2:$K$865,VALUE(RIGHT(H$13,2)),Calc_Actuals!$C$2:$C$865,"Actual")</f>
        <v>694054.4</v>
      </c>
      <c r="I15" s="19" t="n">
        <f aca="false">SUMIFS(Calc_Actuals!$N$2:$N$865,Calc_Actuals!$F$2:$F$865,$A15,Calc_Actuals!$J$2:$J$865,VALUE(LEFT(I$13,4)),Calc_Actuals!$K$2:$K$865,VALUE(RIGHT(I$13,2)),Calc_Actuals!$C$2:$C$865,"Actual")</f>
        <v>689586.75</v>
      </c>
      <c r="J15" s="19" t="n">
        <f aca="false">SUMIFS(Calc_Actuals!$N$2:$N$865,Calc_Actuals!$F$2:$F$865,$A15,Calc_Actuals!$J$2:$J$865,VALUE(LEFT(J$13,4)),Calc_Actuals!$K$2:$K$865,VALUE(RIGHT(J$13,2)),Calc_Actuals!$C$2:$C$865,"Actual")</f>
        <v>585609.12</v>
      </c>
      <c r="K15" s="19" t="n">
        <f aca="false">SUMIFS(Calc_Actuals!$N$2:$N$865,Calc_Actuals!$F$2:$F$865,$A15,Calc_Actuals!$J$2:$J$865,VALUE(LEFT(K$13,4)),Calc_Actuals!$K$2:$K$865,VALUE(RIGHT(K$13,2)),Calc_Actuals!$C$2:$C$865,"Actual")</f>
        <v>547634.53</v>
      </c>
      <c r="L15" s="19" t="n">
        <f aca="false">SUMIFS(Calc_Actuals!$N$2:$N$865,Calc_Actuals!$F$2:$F$865,$A15,Calc_Actuals!$J$2:$J$865,VALUE(LEFT(L$13,4)),Calc_Actuals!$K$2:$K$865,VALUE(RIGHT(L$13,2)),Calc_Actuals!$C$2:$C$865,"Actual")</f>
        <v>596990.98</v>
      </c>
      <c r="M15" s="19" t="n">
        <f aca="false">SUMIFS(Calc_Actuals!$N$2:$N$865,Calc_Actuals!$F$2:$F$865,$A15,Calc_Actuals!$J$2:$J$865,VALUE(LEFT(M$13,4)),Calc_Actuals!$K$2:$K$865,VALUE(RIGHT(M$13,2)),Calc_Actuals!$C$2:$C$865,"Actual")</f>
        <v>570827.9</v>
      </c>
      <c r="N15" s="19" t="n">
        <f aca="false">SUMIFS(Calc_Actuals!$N$2:$N$865,Calc_Actuals!$F$2:$F$865,$A15,Calc_Actuals!$J$2:$J$865,VALUE(LEFT(N$13,4)),Calc_Actuals!$K$2:$K$865,VALUE(RIGHT(N$13,2)),Calc_Actuals!$C$2:$C$865,"Actual")</f>
        <v>539838.79</v>
      </c>
      <c r="O15" s="19" t="n">
        <f aca="false">SUMIFS(Calc_Actuals!$N$2:$N$865,Calc_Actuals!$F$2:$F$865,$A15,Calc_Actuals!$J$2:$J$865,VALUE(LEFT(O$13,4)),Calc_Actuals!$K$2:$K$865,VALUE(RIGHT(O$13,2)),Calc_Actuals!$C$2:$C$865,"Actual")</f>
        <v>570379.35</v>
      </c>
      <c r="P15" s="19" t="n">
        <f aca="false">SUMIFS(Calc_Actuals!$N$2:$N$865,Calc_Actuals!$F$2:$F$865,$A15,Calc_Actuals!$J$2:$J$865,VALUE(LEFT(P$13,4)),Calc_Actuals!$K$2:$K$865,VALUE(RIGHT(P$13,2)),Calc_Actuals!$C$2:$C$865,"Actual")</f>
        <v>510096.77</v>
      </c>
      <c r="Q15" s="19" t="n">
        <f aca="false">SUMIFS(Calc_Actuals!$N$2:$N$865,Calc_Actuals!$F$2:$F$865,$A15,Calc_Actuals!$J$2:$J$865,VALUE(LEFT(Q$13,4)),Calc_Actuals!$K$2:$K$865,VALUE(RIGHT(Q$13,2)),Calc_Actuals!$C$2:$C$865,"Actual")</f>
        <v>535693.3</v>
      </c>
      <c r="R15" s="19" t="n">
        <f aca="false">SUMIFS(Calc_Actuals!$N$2:$N$865,Calc_Actuals!$F$2:$F$865,$A15,Calc_Actuals!$J$2:$J$865,VALUE(LEFT(R$13,4)),Calc_Actuals!$K$2:$K$865,VALUE(RIGHT(R$13,2)),Calc_Actuals!$C$2:$C$865,"Actual")</f>
        <v>631891.58</v>
      </c>
      <c r="S15" s="19" t="n">
        <f aca="false">SUMIFS(Calc_Actuals!$N$2:$N$865,Calc_Actuals!$F$2:$F$865,$A15,Calc_Actuals!$J$2:$J$865,VALUE(LEFT(S$13,4)),Calc_Actuals!$K$2:$K$865,VALUE(RIGHT(S$13,2)),Calc_Actuals!$C$2:$C$865,"Actual")</f>
        <v>465407.59</v>
      </c>
      <c r="T15" s="19" t="n">
        <f aca="false">SUMIFS(Calc_Actuals!$N$2:$N$865,Calc_Actuals!$F$2:$F$865,$A15,Calc_Actuals!$J$2:$J$865,VALUE(LEFT(T$13,4)),Calc_Actuals!$K$2:$K$865,VALUE(RIGHT(T$13,2)),Calc_Actuals!$C$2:$C$865,"Actual")</f>
        <v>671123.1</v>
      </c>
      <c r="U15" s="19" t="n">
        <f aca="false">SUMIFS(Calc_Actuals!$N$2:$N$865,Calc_Actuals!$F$2:$F$865,$A15,Calc_Actuals!$J$2:$J$865,VALUE(LEFT(U$13,4)),Calc_Actuals!$K$2:$K$865,VALUE(RIGHT(U$13,2)),Calc_Actuals!$C$2:$C$865,"Actual")</f>
        <v>463903.04</v>
      </c>
      <c r="V15" s="19" t="n">
        <f aca="false">SUMIFS(Calc_Actuals!$N$2:$N$865,Calc_Actuals!$F$2:$F$865,$A15,Calc_Actuals!$J$2:$J$865,VALUE(LEFT(V$13,4)),Calc_Actuals!$K$2:$K$865,VALUE(RIGHT(V$13,2)),Calc_Actuals!$C$2:$C$865,"Actual")</f>
        <v>526552.47</v>
      </c>
      <c r="W15" s="31" t="n">
        <f aca="false">SUM(B15:V15)</f>
        <v>12412351.01</v>
      </c>
    </row>
    <row r="16" customFormat="false" ht="15" hidden="false" customHeight="false" outlineLevel="0" collapsed="false">
      <c r="A16" s="5" t="s">
        <v>101</v>
      </c>
      <c r="B16" s="19" t="n">
        <f aca="false">SUMIFS(Calc_Actuals!$N$2:$N$865,Calc_Actuals!$F$2:$F$865,$A16,Calc_Actuals!$J$2:$J$865,VALUE(LEFT(B$13,4)),Calc_Actuals!$K$2:$K$865,VALUE(RIGHT(B$13,2)),Calc_Actuals!$C$2:$C$865,"Actual")</f>
        <v>489873.7</v>
      </c>
      <c r="C16" s="19" t="n">
        <f aca="false">SUMIFS(Calc_Actuals!$N$2:$N$865,Calc_Actuals!$F$2:$F$865,$A16,Calc_Actuals!$J$2:$J$865,VALUE(LEFT(C$13,4)),Calc_Actuals!$K$2:$K$865,VALUE(RIGHT(C$13,2)),Calc_Actuals!$C$2:$C$865,"Actual")</f>
        <v>339462.96</v>
      </c>
      <c r="D16" s="19" t="n">
        <f aca="false">SUMIFS(Calc_Actuals!$N$2:$N$865,Calc_Actuals!$F$2:$F$865,$A16,Calc_Actuals!$J$2:$J$865,VALUE(LEFT(D$13,4)),Calc_Actuals!$K$2:$K$865,VALUE(RIGHT(D$13,2)),Calc_Actuals!$C$2:$C$865,"Actual")</f>
        <v>394147.11</v>
      </c>
      <c r="E16" s="19" t="n">
        <f aca="false">SUMIFS(Calc_Actuals!$N$2:$N$865,Calc_Actuals!$F$2:$F$865,$A16,Calc_Actuals!$J$2:$J$865,VALUE(LEFT(E$13,4)),Calc_Actuals!$K$2:$K$865,VALUE(RIGHT(E$13,2)),Calc_Actuals!$C$2:$C$865,"Actual")</f>
        <v>278867.73</v>
      </c>
      <c r="F16" s="19" t="n">
        <f aca="false">SUMIFS(Calc_Actuals!$N$2:$N$865,Calc_Actuals!$F$2:$F$865,$A16,Calc_Actuals!$J$2:$J$865,VALUE(LEFT(F$13,4)),Calc_Actuals!$K$2:$K$865,VALUE(RIGHT(F$13,2)),Calc_Actuals!$C$2:$C$865,"Actual")</f>
        <v>372684.01</v>
      </c>
      <c r="G16" s="19" t="n">
        <f aca="false">SUMIFS(Calc_Actuals!$N$2:$N$865,Calc_Actuals!$F$2:$F$865,$A16,Calc_Actuals!$J$2:$J$865,VALUE(LEFT(G$13,4)),Calc_Actuals!$K$2:$K$865,VALUE(RIGHT(G$13,2)),Calc_Actuals!$C$2:$C$865,"Actual")</f>
        <v>358368.08</v>
      </c>
      <c r="H16" s="19" t="n">
        <f aca="false">SUMIFS(Calc_Actuals!$N$2:$N$865,Calc_Actuals!$F$2:$F$865,$A16,Calc_Actuals!$J$2:$J$865,VALUE(LEFT(H$13,4)),Calc_Actuals!$K$2:$K$865,VALUE(RIGHT(H$13,2)),Calc_Actuals!$C$2:$C$865,"Actual")</f>
        <v>400129.96</v>
      </c>
      <c r="I16" s="19" t="n">
        <f aca="false">SUMIFS(Calc_Actuals!$N$2:$N$865,Calc_Actuals!$F$2:$F$865,$A16,Calc_Actuals!$J$2:$J$865,VALUE(LEFT(I$13,4)),Calc_Actuals!$K$2:$K$865,VALUE(RIGHT(I$13,2)),Calc_Actuals!$C$2:$C$865,"Actual")</f>
        <v>406776</v>
      </c>
      <c r="J16" s="19" t="n">
        <f aca="false">SUMIFS(Calc_Actuals!$N$2:$N$865,Calc_Actuals!$F$2:$F$865,$A16,Calc_Actuals!$J$2:$J$865,VALUE(LEFT(J$13,4)),Calc_Actuals!$K$2:$K$865,VALUE(RIGHT(J$13,2)),Calc_Actuals!$C$2:$C$865,"Actual")</f>
        <v>398221.68</v>
      </c>
      <c r="K16" s="19" t="n">
        <f aca="false">SUMIFS(Calc_Actuals!$N$2:$N$865,Calc_Actuals!$F$2:$F$865,$A16,Calc_Actuals!$J$2:$J$865,VALUE(LEFT(K$13,4)),Calc_Actuals!$K$2:$K$865,VALUE(RIGHT(K$13,2)),Calc_Actuals!$C$2:$C$865,"Actual")</f>
        <v>378498.18</v>
      </c>
      <c r="L16" s="19" t="n">
        <f aca="false">SUMIFS(Calc_Actuals!$N$2:$N$865,Calc_Actuals!$F$2:$F$865,$A16,Calc_Actuals!$J$2:$J$865,VALUE(LEFT(L$13,4)),Calc_Actuals!$K$2:$K$865,VALUE(RIGHT(L$13,2)),Calc_Actuals!$C$2:$C$865,"Actual")</f>
        <v>326244.68</v>
      </c>
      <c r="M16" s="19" t="n">
        <f aca="false">SUMIFS(Calc_Actuals!$N$2:$N$865,Calc_Actuals!$F$2:$F$865,$A16,Calc_Actuals!$J$2:$J$865,VALUE(LEFT(M$13,4)),Calc_Actuals!$K$2:$K$865,VALUE(RIGHT(M$13,2)),Calc_Actuals!$C$2:$C$865,"Actual")</f>
        <v>491517.52</v>
      </c>
      <c r="N16" s="19" t="n">
        <f aca="false">SUMIFS(Calc_Actuals!$N$2:$N$865,Calc_Actuals!$F$2:$F$865,$A16,Calc_Actuals!$J$2:$J$865,VALUE(LEFT(N$13,4)),Calc_Actuals!$K$2:$K$865,VALUE(RIGHT(N$13,2)),Calc_Actuals!$C$2:$C$865,"Actual")</f>
        <v>317654.62</v>
      </c>
      <c r="O16" s="19" t="n">
        <f aca="false">SUMIFS(Calc_Actuals!$N$2:$N$865,Calc_Actuals!$F$2:$F$865,$A16,Calc_Actuals!$J$2:$J$865,VALUE(LEFT(O$13,4)),Calc_Actuals!$K$2:$K$865,VALUE(RIGHT(O$13,2)),Calc_Actuals!$C$2:$C$865,"Actual")</f>
        <v>263628.1</v>
      </c>
      <c r="P16" s="19" t="n">
        <f aca="false">SUMIFS(Calc_Actuals!$N$2:$N$865,Calc_Actuals!$F$2:$F$865,$A16,Calc_Actuals!$J$2:$J$865,VALUE(LEFT(P$13,4)),Calc_Actuals!$K$2:$K$865,VALUE(RIGHT(P$13,2)),Calc_Actuals!$C$2:$C$865,"Actual")</f>
        <v>330523.57</v>
      </c>
      <c r="Q16" s="19" t="n">
        <f aca="false">SUMIFS(Calc_Actuals!$N$2:$N$865,Calc_Actuals!$F$2:$F$865,$A16,Calc_Actuals!$J$2:$J$865,VALUE(LEFT(Q$13,4)),Calc_Actuals!$K$2:$K$865,VALUE(RIGHT(Q$13,2)),Calc_Actuals!$C$2:$C$865,"Actual")</f>
        <v>430569.72</v>
      </c>
      <c r="R16" s="19" t="n">
        <f aca="false">SUMIFS(Calc_Actuals!$N$2:$N$865,Calc_Actuals!$F$2:$F$865,$A16,Calc_Actuals!$J$2:$J$865,VALUE(LEFT(R$13,4)),Calc_Actuals!$K$2:$K$865,VALUE(RIGHT(R$13,2)),Calc_Actuals!$C$2:$C$865,"Actual")</f>
        <v>419623.51</v>
      </c>
      <c r="S16" s="19" t="n">
        <f aca="false">SUMIFS(Calc_Actuals!$N$2:$N$865,Calc_Actuals!$F$2:$F$865,$A16,Calc_Actuals!$J$2:$J$865,VALUE(LEFT(S$13,4)),Calc_Actuals!$K$2:$K$865,VALUE(RIGHT(S$13,2)),Calc_Actuals!$C$2:$C$865,"Actual")</f>
        <v>439418.52</v>
      </c>
      <c r="T16" s="19" t="n">
        <f aca="false">SUMIFS(Calc_Actuals!$N$2:$N$865,Calc_Actuals!$F$2:$F$865,$A16,Calc_Actuals!$J$2:$J$865,VALUE(LEFT(T$13,4)),Calc_Actuals!$K$2:$K$865,VALUE(RIGHT(T$13,2)),Calc_Actuals!$C$2:$C$865,"Actual")</f>
        <v>389123.75</v>
      </c>
      <c r="U16" s="19" t="n">
        <f aca="false">SUMIFS(Calc_Actuals!$N$2:$N$865,Calc_Actuals!$F$2:$F$865,$A16,Calc_Actuals!$J$2:$J$865,VALUE(LEFT(U$13,4)),Calc_Actuals!$K$2:$K$865,VALUE(RIGHT(U$13,2)),Calc_Actuals!$C$2:$C$865,"Actual")</f>
        <v>443137.61</v>
      </c>
      <c r="V16" s="19" t="n">
        <f aca="false">SUMIFS(Calc_Actuals!$N$2:$N$865,Calc_Actuals!$F$2:$F$865,$A16,Calc_Actuals!$J$2:$J$865,VALUE(LEFT(V$13,4)),Calc_Actuals!$K$2:$K$865,VALUE(RIGHT(V$13,2)),Calc_Actuals!$C$2:$C$865,"Actual")</f>
        <v>360347.41</v>
      </c>
      <c r="W16" s="31" t="n">
        <f aca="false">SUM(B16:V16)</f>
        <v>8028818.42</v>
      </c>
    </row>
    <row r="17" customFormat="false" ht="15" hidden="false" customHeight="false" outlineLevel="0" collapsed="false">
      <c r="A17" s="5" t="s">
        <v>102</v>
      </c>
      <c r="B17" s="19" t="n">
        <f aca="false">SUMIFS(Calc_Actuals!$N$2:$N$865,Calc_Actuals!$F$2:$F$865,$A17,Calc_Actuals!$J$2:$J$865,VALUE(LEFT(B$13,4)),Calc_Actuals!$K$2:$K$865,VALUE(RIGHT(B$13,2)),Calc_Actuals!$C$2:$C$865,"Actual")</f>
        <v>573524.26</v>
      </c>
      <c r="C17" s="19" t="n">
        <f aca="false">SUMIFS(Calc_Actuals!$N$2:$N$865,Calc_Actuals!$F$2:$F$865,$A17,Calc_Actuals!$J$2:$J$865,VALUE(LEFT(C$13,4)),Calc_Actuals!$K$2:$K$865,VALUE(RIGHT(C$13,2)),Calc_Actuals!$C$2:$C$865,"Actual")</f>
        <v>695286.49</v>
      </c>
      <c r="D17" s="19" t="n">
        <f aca="false">SUMIFS(Calc_Actuals!$N$2:$N$865,Calc_Actuals!$F$2:$F$865,$A17,Calc_Actuals!$J$2:$J$865,VALUE(LEFT(D$13,4)),Calc_Actuals!$K$2:$K$865,VALUE(RIGHT(D$13,2)),Calc_Actuals!$C$2:$C$865,"Actual")</f>
        <v>462886.6</v>
      </c>
      <c r="E17" s="19" t="n">
        <f aca="false">SUMIFS(Calc_Actuals!$N$2:$N$865,Calc_Actuals!$F$2:$F$865,$A17,Calc_Actuals!$J$2:$J$865,VALUE(LEFT(E$13,4)),Calc_Actuals!$K$2:$K$865,VALUE(RIGHT(E$13,2)),Calc_Actuals!$C$2:$C$865,"Actual")</f>
        <v>571467.85</v>
      </c>
      <c r="F17" s="19" t="n">
        <f aca="false">SUMIFS(Calc_Actuals!$N$2:$N$865,Calc_Actuals!$F$2:$F$865,$A17,Calc_Actuals!$J$2:$J$865,VALUE(LEFT(F$13,4)),Calc_Actuals!$K$2:$K$865,VALUE(RIGHT(F$13,2)),Calc_Actuals!$C$2:$C$865,"Actual")</f>
        <v>564569.62</v>
      </c>
      <c r="G17" s="19" t="n">
        <f aca="false">SUMIFS(Calc_Actuals!$N$2:$N$865,Calc_Actuals!$F$2:$F$865,$A17,Calc_Actuals!$J$2:$J$865,VALUE(LEFT(G$13,4)),Calc_Actuals!$K$2:$K$865,VALUE(RIGHT(G$13,2)),Calc_Actuals!$C$2:$C$865,"Actual")</f>
        <v>589652.25</v>
      </c>
      <c r="H17" s="19" t="n">
        <f aca="false">SUMIFS(Calc_Actuals!$N$2:$N$865,Calc_Actuals!$F$2:$F$865,$A17,Calc_Actuals!$J$2:$J$865,VALUE(LEFT(H$13,4)),Calc_Actuals!$K$2:$K$865,VALUE(RIGHT(H$13,2)),Calc_Actuals!$C$2:$C$865,"Actual")</f>
        <v>506931.27</v>
      </c>
      <c r="I17" s="19" t="n">
        <f aca="false">SUMIFS(Calc_Actuals!$N$2:$N$865,Calc_Actuals!$F$2:$F$865,$A17,Calc_Actuals!$J$2:$J$865,VALUE(LEFT(I$13,4)),Calc_Actuals!$K$2:$K$865,VALUE(RIGHT(I$13,2)),Calc_Actuals!$C$2:$C$865,"Actual")</f>
        <v>576934.89</v>
      </c>
      <c r="J17" s="19" t="n">
        <f aca="false">SUMIFS(Calc_Actuals!$N$2:$N$865,Calc_Actuals!$F$2:$F$865,$A17,Calc_Actuals!$J$2:$J$865,VALUE(LEFT(J$13,4)),Calc_Actuals!$K$2:$K$865,VALUE(RIGHT(J$13,2)),Calc_Actuals!$C$2:$C$865,"Actual")</f>
        <v>571530.55</v>
      </c>
      <c r="K17" s="19" t="n">
        <f aca="false">SUMIFS(Calc_Actuals!$N$2:$N$865,Calc_Actuals!$F$2:$F$865,$A17,Calc_Actuals!$J$2:$J$865,VALUE(LEFT(K$13,4)),Calc_Actuals!$K$2:$K$865,VALUE(RIGHT(K$13,2)),Calc_Actuals!$C$2:$C$865,"Actual")</f>
        <v>526066.12</v>
      </c>
      <c r="L17" s="19" t="n">
        <f aca="false">SUMIFS(Calc_Actuals!$N$2:$N$865,Calc_Actuals!$F$2:$F$865,$A17,Calc_Actuals!$J$2:$J$865,VALUE(LEFT(L$13,4)),Calc_Actuals!$K$2:$K$865,VALUE(RIGHT(L$13,2)),Calc_Actuals!$C$2:$C$865,"Actual")</f>
        <v>619729.28</v>
      </c>
      <c r="M17" s="19" t="n">
        <f aca="false">SUMIFS(Calc_Actuals!$N$2:$N$865,Calc_Actuals!$F$2:$F$865,$A17,Calc_Actuals!$J$2:$J$865,VALUE(LEFT(M$13,4)),Calc_Actuals!$K$2:$K$865,VALUE(RIGHT(M$13,2)),Calc_Actuals!$C$2:$C$865,"Actual")</f>
        <v>521929.65</v>
      </c>
      <c r="N17" s="19" t="n">
        <f aca="false">SUMIFS(Calc_Actuals!$N$2:$N$865,Calc_Actuals!$F$2:$F$865,$A17,Calc_Actuals!$J$2:$J$865,VALUE(LEFT(N$13,4)),Calc_Actuals!$K$2:$K$865,VALUE(RIGHT(N$13,2)),Calc_Actuals!$C$2:$C$865,"Actual")</f>
        <v>557156.52</v>
      </c>
      <c r="O17" s="19" t="n">
        <f aca="false">SUMIFS(Calc_Actuals!$N$2:$N$865,Calc_Actuals!$F$2:$F$865,$A17,Calc_Actuals!$J$2:$J$865,VALUE(LEFT(O$13,4)),Calc_Actuals!$K$2:$K$865,VALUE(RIGHT(O$13,2)),Calc_Actuals!$C$2:$C$865,"Actual")</f>
        <v>666573.3</v>
      </c>
      <c r="P17" s="19" t="n">
        <f aca="false">SUMIFS(Calc_Actuals!$N$2:$N$865,Calc_Actuals!$F$2:$F$865,$A17,Calc_Actuals!$J$2:$J$865,VALUE(LEFT(P$13,4)),Calc_Actuals!$K$2:$K$865,VALUE(RIGHT(P$13,2)),Calc_Actuals!$C$2:$C$865,"Actual")</f>
        <v>648552.71</v>
      </c>
      <c r="Q17" s="19" t="n">
        <f aca="false">SUMIFS(Calc_Actuals!$N$2:$N$865,Calc_Actuals!$F$2:$F$865,$A17,Calc_Actuals!$J$2:$J$865,VALUE(LEFT(Q$13,4)),Calc_Actuals!$K$2:$K$865,VALUE(RIGHT(Q$13,2)),Calc_Actuals!$C$2:$C$865,"Actual")</f>
        <v>508143.93</v>
      </c>
      <c r="R17" s="19" t="n">
        <f aca="false">SUMIFS(Calc_Actuals!$N$2:$N$865,Calc_Actuals!$F$2:$F$865,$A17,Calc_Actuals!$J$2:$J$865,VALUE(LEFT(R$13,4)),Calc_Actuals!$K$2:$K$865,VALUE(RIGHT(R$13,2)),Calc_Actuals!$C$2:$C$865,"Actual")</f>
        <v>678075.6</v>
      </c>
      <c r="S17" s="19" t="n">
        <f aca="false">SUMIFS(Calc_Actuals!$N$2:$N$865,Calc_Actuals!$F$2:$F$865,$A17,Calc_Actuals!$J$2:$J$865,VALUE(LEFT(S$13,4)),Calc_Actuals!$K$2:$K$865,VALUE(RIGHT(S$13,2)),Calc_Actuals!$C$2:$C$865,"Actual")</f>
        <v>502089.26</v>
      </c>
      <c r="T17" s="19" t="n">
        <f aca="false">SUMIFS(Calc_Actuals!$N$2:$N$865,Calc_Actuals!$F$2:$F$865,$A17,Calc_Actuals!$J$2:$J$865,VALUE(LEFT(T$13,4)),Calc_Actuals!$K$2:$K$865,VALUE(RIGHT(T$13,2)),Calc_Actuals!$C$2:$C$865,"Actual")</f>
        <v>656611.97</v>
      </c>
      <c r="U17" s="19" t="n">
        <f aca="false">SUMIFS(Calc_Actuals!$N$2:$N$865,Calc_Actuals!$F$2:$F$865,$A17,Calc_Actuals!$J$2:$J$865,VALUE(LEFT(U$13,4)),Calc_Actuals!$K$2:$K$865,VALUE(RIGHT(U$13,2)),Calc_Actuals!$C$2:$C$865,"Actual")</f>
        <v>621786.26</v>
      </c>
      <c r="V17" s="19" t="n">
        <f aca="false">SUMIFS(Calc_Actuals!$N$2:$N$865,Calc_Actuals!$F$2:$F$865,$A17,Calc_Actuals!$J$2:$J$865,VALUE(LEFT(V$13,4)),Calc_Actuals!$K$2:$K$865,VALUE(RIGHT(V$13,2)),Calc_Actuals!$C$2:$C$865,"Actual")</f>
        <v>452011.84</v>
      </c>
      <c r="W17" s="31" t="n">
        <f aca="false">SUM(B17:V17)</f>
        <v>12071510.22</v>
      </c>
    </row>
    <row r="18" customFormat="false" ht="15" hidden="false" customHeight="false" outlineLevel="0" collapsed="false">
      <c r="A18" s="22" t="s">
        <v>103</v>
      </c>
      <c r="B18" s="25" t="n">
        <f aca="false">SUM(B14:B17)</f>
        <v>2235970.65</v>
      </c>
      <c r="C18" s="25" t="n">
        <f aca="false">SUM(C14:C17)</f>
        <v>2186134.57</v>
      </c>
      <c r="D18" s="25" t="n">
        <f aca="false">SUM(D14:D17)</f>
        <v>1892456.31</v>
      </c>
      <c r="E18" s="25" t="n">
        <f aca="false">SUM(E14:E17)</f>
        <v>2046367.5</v>
      </c>
      <c r="F18" s="25" t="n">
        <f aca="false">SUM(F14:F17)</f>
        <v>1854769</v>
      </c>
      <c r="G18" s="25" t="n">
        <f aca="false">SUM(G14:G17)</f>
        <v>2022308.48</v>
      </c>
      <c r="H18" s="25" t="n">
        <f aca="false">SUM(H14:H17)</f>
        <v>2118994.93</v>
      </c>
      <c r="I18" s="25" t="n">
        <f aca="false">SUM(I14:I17)</f>
        <v>2077890.72</v>
      </c>
      <c r="J18" s="25" t="n">
        <f aca="false">SUM(J14:J17)</f>
        <v>1987738.34</v>
      </c>
      <c r="K18" s="25" t="n">
        <f aca="false">SUM(K14:K17)</f>
        <v>1869248.17</v>
      </c>
      <c r="L18" s="25" t="n">
        <f aca="false">SUM(L14:L17)</f>
        <v>2011362.92</v>
      </c>
      <c r="M18" s="25" t="n">
        <f aca="false">SUM(M14:M17)</f>
        <v>2195809.83</v>
      </c>
      <c r="N18" s="25" t="n">
        <f aca="false">SUM(N14:N17)</f>
        <v>1873462.95</v>
      </c>
      <c r="O18" s="25" t="n">
        <f aca="false">SUM(O14:O17)</f>
        <v>2004732.02</v>
      </c>
      <c r="P18" s="25" t="n">
        <f aca="false">SUM(P14:P17)</f>
        <v>1984215.76</v>
      </c>
      <c r="Q18" s="25" t="n">
        <f aca="false">SUM(Q14:Q17)</f>
        <v>1938660.22</v>
      </c>
      <c r="R18" s="25" t="n">
        <f aca="false">SUM(R14:R17)</f>
        <v>2190614.59</v>
      </c>
      <c r="S18" s="25" t="n">
        <f aca="false">SUM(S14:S17)</f>
        <v>1949299.04</v>
      </c>
      <c r="T18" s="25" t="n">
        <f aca="false">SUM(T14:T17)</f>
        <v>2260040.79</v>
      </c>
      <c r="U18" s="25" t="n">
        <f aca="false">SUM(U14:U17)</f>
        <v>2055159.07</v>
      </c>
      <c r="V18" s="25" t="n">
        <f aca="false">SUM(V14:V17)</f>
        <v>1837789.44</v>
      </c>
      <c r="W18" s="25" t="n">
        <f aca="false">SUM(W14:W17)</f>
        <v>42593025.3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W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13" min="2" style="0" width="16"/>
    <col collapsed="false" customWidth="true" hidden="false" outlineLevel="0" max="23" min="14" style="0" width="14"/>
  </cols>
  <sheetData>
    <row r="1" customFormat="false" ht="19.7" hidden="false" customHeight="false" outlineLevel="0" collapsed="false">
      <c r="A1" s="1" t="s">
        <v>105</v>
      </c>
    </row>
    <row r="2" customFormat="false" ht="15" hidden="false" customHeight="false" outlineLevel="0" collapsed="false">
      <c r="A2" s="2" t="s">
        <v>90</v>
      </c>
    </row>
    <row r="5" customFormat="false" ht="31.5" hidden="false" customHeight="true" outlineLevel="0" collapsed="false">
      <c r="A5" s="4" t="s">
        <v>106</v>
      </c>
      <c r="B5" s="4" t="s">
        <v>107</v>
      </c>
      <c r="C5" s="4" t="s">
        <v>54</v>
      </c>
      <c r="D5" s="4" t="s">
        <v>55</v>
      </c>
      <c r="E5" s="4" t="s">
        <v>56</v>
      </c>
      <c r="F5" s="4" t="s">
        <v>57</v>
      </c>
      <c r="G5" s="4" t="s">
        <v>92</v>
      </c>
      <c r="H5" s="4" t="s">
        <v>93</v>
      </c>
      <c r="I5" s="4" t="s">
        <v>94</v>
      </c>
      <c r="J5" s="4" t="s">
        <v>95</v>
      </c>
      <c r="K5" s="4" t="s">
        <v>96</v>
      </c>
      <c r="L5" s="4" t="s">
        <v>97</v>
      </c>
      <c r="M5" s="4" t="s">
        <v>98</v>
      </c>
      <c r="N5" s="4" t="s">
        <v>108</v>
      </c>
    </row>
    <row r="6" customFormat="false" ht="15" hidden="false" customHeight="false" outlineLevel="0" collapsed="false">
      <c r="A6" s="5" t="s">
        <v>109</v>
      </c>
      <c r="B6" s="17" t="s">
        <v>110</v>
      </c>
      <c r="C6" s="19" t="n">
        <f aca="false">SUMIFS(Calc_Actuals!$N$2:$N$865,Calc_Actuals!$I$2:$I$865,$A6,Calc_Actuals!$C$2:$C$865,"Actual")</f>
        <v>5329802.37</v>
      </c>
      <c r="D6" s="19" t="n">
        <f aca="false">SUMIFS(Calc_Actuals!$O$2:$O$865,Calc_Actuals!$I$2:$I$865,$A6,Calc_Actuals!$C$2:$C$865,"Actual")</f>
        <v>3592945.99</v>
      </c>
      <c r="E6" s="19" t="n">
        <f aca="false">C6-D6</f>
        <v>1736856.38</v>
      </c>
      <c r="F6" s="20" t="n">
        <f aca="false">IF(C6=0,"n/a",E6/C6)</f>
        <v>0.32587631950038</v>
      </c>
      <c r="G6" s="20" t="n">
        <f aca="false">C6/C$14</f>
        <v>0.125133219170511</v>
      </c>
      <c r="H6" s="19" t="n">
        <f aca="false">SUMIFS(Calc_Actuals!$N$2:$N$865,Calc_Actuals!$I$2:$I$865,$A6,Calc_Actuals!$C$2:$C$865,"Actual",Calc_Actuals!$J$2:$J$865,Monthly_MIS!$B$5,Calc_Actuals!$K$2:$K$865,"&lt;="&amp;Monthly_MIS!$B$6)</f>
        <v>2199515.34</v>
      </c>
      <c r="I6" s="19" t="n">
        <f aca="false">SUMIFS(Calc_Actuals!$N$2:$N$865,Calc_Actuals!$I$2:$I$865,$A6,Calc_Actuals!$C$2:$C$865,"Actual",Calc_Actuals!$J$2:$J$865,(Monthly_MIS!$B$5-1),Calc_Actuals!$K$2:$K$865,"&lt;="&amp;Monthly_MIS!$B$6)</f>
        <v>2271070.97</v>
      </c>
      <c r="J6" s="29" t="n">
        <f aca="false">IF(I6=0,"n/a",H6/I6-1)</f>
        <v>-0.0315074389771273</v>
      </c>
      <c r="K6" s="20" t="n">
        <f aca="false">IF(H6=0,"n/a",(SUMIFS(Calc_Actuals!$N$2:$N$865,Calc_Actuals!$I$2:$I$865,$A6,Calc_Actuals!$C$2:$C$865,"Actual",Calc_Actuals!$J$2:$J$865,Monthly_MIS!$B$5,Calc_Actuals!$K$2:$K$865,"&lt;="&amp;Monthly_MIS!$B$6)-SUMIFS(Calc_Actuals!$O$2:$O$865,Calc_Actuals!$I$2:$I$865,$A6,Calc_Actuals!$C$2:$C$865,"Actual",Calc_Actuals!$J$2:$J$865,Monthly_MIS!$B$5,Calc_Actuals!$K$2:$K$865,"&lt;="&amp;Monthly_MIS!$B$6))/H6)</f>
        <v>0.330895887273057</v>
      </c>
      <c r="L6" s="20" t="n">
        <f aca="false">IF(I6=0,"n/a",(SUMIFS(Calc_Actuals!$N$2:$N$865,Calc_Actuals!$I$2:$I$865,$A6,Calc_Actuals!$C$2:$C$865,"Actual",Calc_Actuals!$J$2:$J$865,(Monthly_MIS!$B$5-1),Calc_Actuals!$K$2:$K$865,"&lt;="&amp;Monthly_MIS!$B$6)-SUMIFS(Calc_Actuals!$O$2:$O$865,Calc_Actuals!$I$2:$I$865,$A6,Calc_Actuals!$C$2:$C$865,"Actual",Calc_Actuals!$J$2:$J$865,(Monthly_MIS!$B$5-1),Calc_Actuals!$K$2:$K$865,"&lt;="&amp;Monthly_MIS!$B$6))/I6)</f>
        <v>0.323113680590968</v>
      </c>
      <c r="M6" s="30" t="n">
        <f aca="false">IFERROR((K6-L6)*100,"n/a")</f>
        <v>0.778220668208907</v>
      </c>
      <c r="N6" s="32" t="n">
        <f aca="false">SUMPRODUCT(--(COUNTIFS(Calc_Actuals!$I$2:$I$865,$A6,Calc_Actuals!$F$2:$F$865,Region_Performance!$A$6:$A$9,Calc_Actuals!$C$2:$C$865,"Actual")&gt;0))</f>
        <v>1</v>
      </c>
    </row>
    <row r="7" customFormat="false" ht="15" hidden="false" customHeight="false" outlineLevel="0" collapsed="false">
      <c r="A7" s="5" t="s">
        <v>111</v>
      </c>
      <c r="B7" s="17" t="s">
        <v>110</v>
      </c>
      <c r="C7" s="19" t="n">
        <f aca="false">SUMIFS(Calc_Actuals!$N$2:$N$865,Calc_Actuals!$I$2:$I$865,$A7,Calc_Actuals!$C$2:$C$865,"Actual")</f>
        <v>3716909.9</v>
      </c>
      <c r="D7" s="19" t="n">
        <f aca="false">SUMIFS(Calc_Actuals!$O$2:$O$865,Calc_Actuals!$I$2:$I$865,$A7,Calc_Actuals!$C$2:$C$865,"Actual")</f>
        <v>2250619.44</v>
      </c>
      <c r="E7" s="19" t="n">
        <f aca="false">C7-D7</f>
        <v>1466290.46</v>
      </c>
      <c r="F7" s="20" t="n">
        <f aca="false">IF(C7=0,"n/a",E7/C7)</f>
        <v>0.39449179545622</v>
      </c>
      <c r="G7" s="20" t="n">
        <f aca="false">C7/C$14</f>
        <v>0.0872656937097164</v>
      </c>
      <c r="H7" s="19" t="n">
        <f aca="false">SUMIFS(Calc_Actuals!$N$2:$N$865,Calc_Actuals!$I$2:$I$865,$A7,Calc_Actuals!$C$2:$C$865,"Actual",Calc_Actuals!$J$2:$J$865,Monthly_MIS!$B$5,Calc_Actuals!$K$2:$K$865,"&lt;="&amp;Monthly_MIS!$B$6)</f>
        <v>1565993.08</v>
      </c>
      <c r="I7" s="19" t="n">
        <f aca="false">SUMIFS(Calc_Actuals!$N$2:$N$865,Calc_Actuals!$I$2:$I$865,$A7,Calc_Actuals!$C$2:$C$865,"Actual",Calc_Actuals!$J$2:$J$865,(Monthly_MIS!$B$5-1),Calc_Actuals!$K$2:$K$865,"&lt;="&amp;Monthly_MIS!$B$6)</f>
        <v>1598048.08</v>
      </c>
      <c r="J7" s="29" t="n">
        <f aca="false">IF(I7=0,"n/a",H7/I7-1)</f>
        <v>-0.0200588457889201</v>
      </c>
      <c r="K7" s="20" t="n">
        <f aca="false">IF(H7=0,"n/a",(SUMIFS(Calc_Actuals!$N$2:$N$865,Calc_Actuals!$I$2:$I$865,$A7,Calc_Actuals!$C$2:$C$865,"Actual",Calc_Actuals!$J$2:$J$865,Monthly_MIS!$B$5,Calc_Actuals!$K$2:$K$865,"&lt;="&amp;Monthly_MIS!$B$6)-SUMIFS(Calc_Actuals!$O$2:$O$865,Calc_Actuals!$I$2:$I$865,$A7,Calc_Actuals!$C$2:$C$865,"Actual",Calc_Actuals!$J$2:$J$865,Monthly_MIS!$B$5,Calc_Actuals!$K$2:$K$865,"&lt;="&amp;Monthly_MIS!$B$6))/H7)</f>
        <v>0.391729693977958</v>
      </c>
      <c r="L7" s="20" t="n">
        <f aca="false">IF(I7=0,"n/a",(SUMIFS(Calc_Actuals!$N$2:$N$865,Calc_Actuals!$I$2:$I$865,$A7,Calc_Actuals!$C$2:$C$865,"Actual",Calc_Actuals!$J$2:$J$865,(Monthly_MIS!$B$5-1),Calc_Actuals!$K$2:$K$865,"&lt;="&amp;Monthly_MIS!$B$6)-SUMIFS(Calc_Actuals!$O$2:$O$865,Calc_Actuals!$I$2:$I$865,$A7,Calc_Actuals!$C$2:$C$865,"Actual",Calc_Actuals!$J$2:$J$865,(Monthly_MIS!$B$5-1),Calc_Actuals!$K$2:$K$865,"&lt;="&amp;Monthly_MIS!$B$6))/I7)</f>
        <v>0.398863875234592</v>
      </c>
      <c r="M7" s="30" t="n">
        <f aca="false">IFERROR((K7-L7)*100,"n/a")</f>
        <v>-0.713418125663434</v>
      </c>
      <c r="N7" s="32" t="n">
        <f aca="false">SUMPRODUCT(--(COUNTIFS(Calc_Actuals!$I$2:$I$865,$A7,Calc_Actuals!$F$2:$F$865,Region_Performance!$A$6:$A$9,Calc_Actuals!$C$2:$C$865,"Actual")&gt;0))</f>
        <v>1</v>
      </c>
    </row>
    <row r="8" customFormat="false" ht="15" hidden="false" customHeight="false" outlineLevel="0" collapsed="false">
      <c r="A8" s="5" t="s">
        <v>112</v>
      </c>
      <c r="B8" s="17" t="s">
        <v>113</v>
      </c>
      <c r="C8" s="19" t="n">
        <f aca="false">SUMIFS(Calc_Actuals!$N$2:$N$865,Calc_Actuals!$I$2:$I$865,$A8,Calc_Actuals!$C$2:$C$865,"Actual")</f>
        <v>7438401.03</v>
      </c>
      <c r="D8" s="19" t="n">
        <f aca="false">SUMIFS(Calc_Actuals!$O$2:$O$865,Calc_Actuals!$I$2:$I$865,$A8,Calc_Actuals!$C$2:$C$865,"Actual")</f>
        <v>4831935.15</v>
      </c>
      <c r="E8" s="19" t="n">
        <f aca="false">C8-D8</f>
        <v>2606465.88</v>
      </c>
      <c r="F8" s="20" t="n">
        <f aca="false">IF(C8=0,"n/a",E8/C8)</f>
        <v>0.350406743262134</v>
      </c>
      <c r="G8" s="20" t="n">
        <f aca="false">C8/C$14</f>
        <v>0.174638945639769</v>
      </c>
      <c r="H8" s="19" t="n">
        <f aca="false">SUMIFS(Calc_Actuals!$N$2:$N$865,Calc_Actuals!$I$2:$I$865,$A8,Calc_Actuals!$C$2:$C$865,"Actual",Calc_Actuals!$J$2:$J$865,Monthly_MIS!$B$5,Calc_Actuals!$K$2:$K$865,"&lt;="&amp;Monthly_MIS!$B$6)</f>
        <v>3312413.23</v>
      </c>
      <c r="I8" s="19" t="n">
        <f aca="false">SUMIFS(Calc_Actuals!$N$2:$N$865,Calc_Actuals!$I$2:$I$865,$A8,Calc_Actuals!$C$2:$C$865,"Actual",Calc_Actuals!$J$2:$J$865,(Monthly_MIS!$B$5-1),Calc_Actuals!$K$2:$K$865,"&lt;="&amp;Monthly_MIS!$B$6)</f>
        <v>3035812.67</v>
      </c>
      <c r="J8" s="29" t="n">
        <f aca="false">IF(I8=0,"n/a",H8/I8-1)</f>
        <v>0.0911125257277485</v>
      </c>
      <c r="K8" s="20" t="n">
        <f aca="false">IF(H8=0,"n/a",(SUMIFS(Calc_Actuals!$N$2:$N$865,Calc_Actuals!$I$2:$I$865,$A8,Calc_Actuals!$C$2:$C$865,"Actual",Calc_Actuals!$J$2:$J$865,Monthly_MIS!$B$5,Calc_Actuals!$K$2:$K$865,"&lt;="&amp;Monthly_MIS!$B$6)-SUMIFS(Calc_Actuals!$O$2:$O$865,Calc_Actuals!$I$2:$I$865,$A8,Calc_Actuals!$C$2:$C$865,"Actual",Calc_Actuals!$J$2:$J$865,Monthly_MIS!$B$5,Calc_Actuals!$K$2:$K$865,"&lt;="&amp;Monthly_MIS!$B$6))/H8)</f>
        <v>0.344668913787668</v>
      </c>
      <c r="L8" s="20" t="n">
        <f aca="false">IF(I8=0,"n/a",(SUMIFS(Calc_Actuals!$N$2:$N$865,Calc_Actuals!$I$2:$I$865,$A8,Calc_Actuals!$C$2:$C$865,"Actual",Calc_Actuals!$J$2:$J$865,(Monthly_MIS!$B$5-1),Calc_Actuals!$K$2:$K$865,"&lt;="&amp;Monthly_MIS!$B$6)-SUMIFS(Calc_Actuals!$O$2:$O$865,Calc_Actuals!$I$2:$I$865,$A8,Calc_Actuals!$C$2:$C$865,"Actual",Calc_Actuals!$J$2:$J$865,(Monthly_MIS!$B$5-1),Calc_Actuals!$K$2:$K$865,"&lt;="&amp;Monthly_MIS!$B$6))/I8)</f>
        <v>0.35243398928169</v>
      </c>
      <c r="M8" s="30" t="n">
        <f aca="false">IFERROR((K8-L8)*100,"n/a")</f>
        <v>-0.776507549402261</v>
      </c>
      <c r="N8" s="32" t="n">
        <f aca="false">SUMPRODUCT(--(COUNTIFS(Calc_Actuals!$I$2:$I$865,$A8,Calc_Actuals!$F$2:$F$865,Region_Performance!$A$6:$A$9,Calc_Actuals!$C$2:$C$865,"Actual")&gt;0))</f>
        <v>1</v>
      </c>
    </row>
    <row r="9" customFormat="false" ht="15" hidden="false" customHeight="false" outlineLevel="0" collapsed="false">
      <c r="A9" s="5" t="s">
        <v>114</v>
      </c>
      <c r="B9" s="17" t="s">
        <v>113</v>
      </c>
      <c r="C9" s="19" t="n">
        <f aca="false">SUMIFS(Calc_Actuals!$N$2:$N$865,Calc_Actuals!$I$2:$I$865,$A9,Calc_Actuals!$C$2:$C$865,"Actual")</f>
        <v>4437357.46</v>
      </c>
      <c r="D9" s="19" t="n">
        <f aca="false">SUMIFS(Calc_Actuals!$O$2:$O$865,Calc_Actuals!$I$2:$I$865,$A9,Calc_Actuals!$C$2:$C$865,"Actual")</f>
        <v>2578870.01</v>
      </c>
      <c r="E9" s="19" t="n">
        <f aca="false">C9-D9</f>
        <v>1858487.45</v>
      </c>
      <c r="F9" s="20" t="n">
        <f aca="false">IF(C9=0,"n/a",E9/C9)</f>
        <v>0.418827526687471</v>
      </c>
      <c r="G9" s="20" t="n">
        <f aca="false">C9/C$14</f>
        <v>0.104180377626287</v>
      </c>
      <c r="H9" s="19" t="n">
        <f aca="false">SUMIFS(Calc_Actuals!$N$2:$N$865,Calc_Actuals!$I$2:$I$865,$A9,Calc_Actuals!$C$2:$C$865,"Actual",Calc_Actuals!$J$2:$J$865,Monthly_MIS!$B$5,Calc_Actuals!$K$2:$K$865,"&lt;="&amp;Monthly_MIS!$B$6)</f>
        <v>1972313.69</v>
      </c>
      <c r="I9" s="19" t="n">
        <f aca="false">SUMIFS(Calc_Actuals!$N$2:$N$865,Calc_Actuals!$I$2:$I$865,$A9,Calc_Actuals!$C$2:$C$865,"Actual",Calc_Actuals!$J$2:$J$865,(Monthly_MIS!$B$5-1),Calc_Actuals!$K$2:$K$865,"&lt;="&amp;Monthly_MIS!$B$6)</f>
        <v>1902277.79</v>
      </c>
      <c r="J9" s="29" t="n">
        <f aca="false">IF(I9=0,"n/a",H9/I9-1)</f>
        <v>0.036816862588718</v>
      </c>
      <c r="K9" s="20" t="n">
        <f aca="false">IF(H9=0,"n/a",(SUMIFS(Calc_Actuals!$N$2:$N$865,Calc_Actuals!$I$2:$I$865,$A9,Calc_Actuals!$C$2:$C$865,"Actual",Calc_Actuals!$J$2:$J$865,Monthly_MIS!$B$5,Calc_Actuals!$K$2:$K$865,"&lt;="&amp;Monthly_MIS!$B$6)-SUMIFS(Calc_Actuals!$O$2:$O$865,Calc_Actuals!$I$2:$I$865,$A9,Calc_Actuals!$C$2:$C$865,"Actual",Calc_Actuals!$J$2:$J$865,Monthly_MIS!$B$5,Calc_Actuals!$K$2:$K$865,"&lt;="&amp;Monthly_MIS!$B$6))/H9)</f>
        <v>0.411031370978315</v>
      </c>
      <c r="L9" s="20" t="n">
        <f aca="false">IF(I9=0,"n/a",(SUMIFS(Calc_Actuals!$N$2:$N$865,Calc_Actuals!$I$2:$I$865,$A9,Calc_Actuals!$C$2:$C$865,"Actual",Calc_Actuals!$J$2:$J$865,(Monthly_MIS!$B$5-1),Calc_Actuals!$K$2:$K$865,"&lt;="&amp;Monthly_MIS!$B$6)-SUMIFS(Calc_Actuals!$O$2:$O$865,Calc_Actuals!$I$2:$I$865,$A9,Calc_Actuals!$C$2:$C$865,"Actual",Calc_Actuals!$J$2:$J$865,(Monthly_MIS!$B$5-1),Calc_Actuals!$K$2:$K$865,"&lt;="&amp;Monthly_MIS!$B$6))/I9)</f>
        <v>0.426366897759974</v>
      </c>
      <c r="M9" s="30" t="n">
        <f aca="false">IFERROR((K9-L9)*100,"n/a")</f>
        <v>-1.5335526781659</v>
      </c>
      <c r="N9" s="32" t="n">
        <f aca="false">SUMPRODUCT(--(COUNTIFS(Calc_Actuals!$I$2:$I$865,$A9,Calc_Actuals!$F$2:$F$865,Region_Performance!$A$6:$A$9,Calc_Actuals!$C$2:$C$865,"Actual")&gt;0))</f>
        <v>1</v>
      </c>
    </row>
    <row r="10" customFormat="false" ht="15" hidden="false" customHeight="false" outlineLevel="0" collapsed="false">
      <c r="A10" s="5" t="s">
        <v>115</v>
      </c>
      <c r="B10" s="17" t="s">
        <v>116</v>
      </c>
      <c r="C10" s="19" t="n">
        <f aca="false">SUMIFS(Calc_Actuals!$N$2:$N$865,Calc_Actuals!$I$2:$I$865,$A10,Calc_Actuals!$C$2:$C$865,"Actual")</f>
        <v>2699016.05</v>
      </c>
      <c r="D10" s="19" t="n">
        <f aca="false">SUMIFS(Calc_Actuals!$O$2:$O$865,Calc_Actuals!$I$2:$I$865,$A10,Calc_Actuals!$C$2:$C$865,"Actual")</f>
        <v>1782107.97</v>
      </c>
      <c r="E10" s="19" t="n">
        <f aca="false">C10-D10</f>
        <v>916908.08</v>
      </c>
      <c r="F10" s="20" t="n">
        <f aca="false">IF(C10=0,"n/a",E10/C10)</f>
        <v>0.339719387737616</v>
      </c>
      <c r="G10" s="20" t="n">
        <f aca="false">C10/C$14</f>
        <v>0.0633675591482345</v>
      </c>
      <c r="H10" s="19" t="n">
        <f aca="false">SUMIFS(Calc_Actuals!$N$2:$N$865,Calc_Actuals!$I$2:$I$865,$A10,Calc_Actuals!$C$2:$C$865,"Actual",Calc_Actuals!$J$2:$J$865,Monthly_MIS!$B$5,Calc_Actuals!$K$2:$K$865,"&lt;="&amp;Monthly_MIS!$B$6)</f>
        <v>1194511.47</v>
      </c>
      <c r="I10" s="19" t="n">
        <f aca="false">SUMIFS(Calc_Actuals!$N$2:$N$865,Calc_Actuals!$I$2:$I$865,$A10,Calc_Actuals!$C$2:$C$865,"Actual",Calc_Actuals!$J$2:$J$865,(Monthly_MIS!$B$5-1),Calc_Actuals!$K$2:$K$865,"&lt;="&amp;Monthly_MIS!$B$6)</f>
        <v>1167460.26</v>
      </c>
      <c r="J10" s="29" t="n">
        <f aca="false">IF(I10=0,"n/a",H10/I10-1)</f>
        <v>0.0231709899915564</v>
      </c>
      <c r="K10" s="20" t="n">
        <f aca="false">IF(H10=0,"n/a",(SUMIFS(Calc_Actuals!$N$2:$N$865,Calc_Actuals!$I$2:$I$865,$A10,Calc_Actuals!$C$2:$C$865,"Actual",Calc_Actuals!$J$2:$J$865,Monthly_MIS!$B$5,Calc_Actuals!$K$2:$K$865,"&lt;="&amp;Monthly_MIS!$B$6)-SUMIFS(Calc_Actuals!$O$2:$O$865,Calc_Actuals!$I$2:$I$865,$A10,Calc_Actuals!$C$2:$C$865,"Actual",Calc_Actuals!$J$2:$J$865,Monthly_MIS!$B$5,Calc_Actuals!$K$2:$K$865,"&lt;="&amp;Monthly_MIS!$B$6))/H10)</f>
        <v>0.343773902815684</v>
      </c>
      <c r="L10" s="20" t="n">
        <f aca="false">IF(I10=0,"n/a",(SUMIFS(Calc_Actuals!$N$2:$N$865,Calc_Actuals!$I$2:$I$865,$A10,Calc_Actuals!$C$2:$C$865,"Actual",Calc_Actuals!$J$2:$J$865,(Monthly_MIS!$B$5-1),Calc_Actuals!$K$2:$K$865,"&lt;="&amp;Monthly_MIS!$B$6)-SUMIFS(Calc_Actuals!$O$2:$O$865,Calc_Actuals!$I$2:$I$865,$A10,Calc_Actuals!$C$2:$C$865,"Actual",Calc_Actuals!$J$2:$J$865,(Monthly_MIS!$B$5-1),Calc_Actuals!$K$2:$K$865,"&lt;="&amp;Monthly_MIS!$B$6))/I10)</f>
        <v>0.33394489162312</v>
      </c>
      <c r="M10" s="30" t="n">
        <f aca="false">IFERROR((K10-L10)*100,"n/a")</f>
        <v>0.982901119256369</v>
      </c>
      <c r="N10" s="32" t="n">
        <f aca="false">SUMPRODUCT(--(COUNTIFS(Calc_Actuals!$I$2:$I$865,$A10,Calc_Actuals!$F$2:$F$865,Region_Performance!$A$6:$A$9,Calc_Actuals!$C$2:$C$865,"Actual")&gt;0))</f>
        <v>1</v>
      </c>
    </row>
    <row r="11" customFormat="false" ht="15" hidden="false" customHeight="false" outlineLevel="0" collapsed="false">
      <c r="A11" s="5" t="s">
        <v>117</v>
      </c>
      <c r="B11" s="17" t="s">
        <v>116</v>
      </c>
      <c r="C11" s="19" t="n">
        <f aca="false">SUMIFS(Calc_Actuals!$N$2:$N$865,Calc_Actuals!$I$2:$I$865,$A11,Calc_Actuals!$C$2:$C$865,"Actual")</f>
        <v>6363435.75</v>
      </c>
      <c r="D11" s="19" t="n">
        <f aca="false">SUMIFS(Calc_Actuals!$O$2:$O$865,Calc_Actuals!$I$2:$I$865,$A11,Calc_Actuals!$C$2:$C$865,"Actual")</f>
        <v>4159983.23</v>
      </c>
      <c r="E11" s="19" t="n">
        <f aca="false">C11-D11</f>
        <v>2203452.52</v>
      </c>
      <c r="F11" s="20" t="n">
        <f aca="false">IF(C11=0,"n/a",E11/C11)</f>
        <v>0.346267740661953</v>
      </c>
      <c r="G11" s="20" t="n">
        <f aca="false">C11/C$14</f>
        <v>0.14940088676913</v>
      </c>
      <c r="H11" s="19" t="n">
        <f aca="false">SUMIFS(Calc_Actuals!$N$2:$N$865,Calc_Actuals!$I$2:$I$865,$A11,Calc_Actuals!$C$2:$C$865,"Actual",Calc_Actuals!$J$2:$J$865,Monthly_MIS!$B$5,Calc_Actuals!$K$2:$K$865,"&lt;="&amp;Monthly_MIS!$B$6)</f>
        <v>2928066.61</v>
      </c>
      <c r="I11" s="19" t="n">
        <f aca="false">SUMIFS(Calc_Actuals!$N$2:$N$865,Calc_Actuals!$I$2:$I$865,$A11,Calc_Actuals!$C$2:$C$865,"Actual",Calc_Actuals!$J$2:$J$865,(Monthly_MIS!$B$5-1),Calc_Actuals!$K$2:$K$865,"&lt;="&amp;Monthly_MIS!$B$6)</f>
        <v>2491255.8</v>
      </c>
      <c r="J11" s="29" t="n">
        <f aca="false">IF(I11=0,"n/a",H11/I11-1)</f>
        <v>0.175337598812615</v>
      </c>
      <c r="K11" s="20" t="n">
        <f aca="false">IF(H11=0,"n/a",(SUMIFS(Calc_Actuals!$N$2:$N$865,Calc_Actuals!$I$2:$I$865,$A11,Calc_Actuals!$C$2:$C$865,"Actual",Calc_Actuals!$J$2:$J$865,Monthly_MIS!$B$5,Calc_Actuals!$K$2:$K$865,"&lt;="&amp;Monthly_MIS!$B$6)-SUMIFS(Calc_Actuals!$O$2:$O$865,Calc_Actuals!$I$2:$I$865,$A11,Calc_Actuals!$C$2:$C$865,"Actual",Calc_Actuals!$J$2:$J$865,Monthly_MIS!$B$5,Calc_Actuals!$K$2:$K$865,"&lt;="&amp;Monthly_MIS!$B$6))/H11)</f>
        <v>0.353205530389215</v>
      </c>
      <c r="L11" s="20" t="n">
        <f aca="false">IF(I11=0,"n/a",(SUMIFS(Calc_Actuals!$N$2:$N$865,Calc_Actuals!$I$2:$I$865,$A11,Calc_Actuals!$C$2:$C$865,"Actual",Calc_Actuals!$J$2:$J$865,(Monthly_MIS!$B$5-1),Calc_Actuals!$K$2:$K$865,"&lt;="&amp;Monthly_MIS!$B$6)-SUMIFS(Calc_Actuals!$O$2:$O$865,Calc_Actuals!$I$2:$I$865,$A11,Calc_Actuals!$C$2:$C$865,"Actual",Calc_Actuals!$J$2:$J$865,(Monthly_MIS!$B$5-1),Calc_Actuals!$K$2:$K$865,"&lt;="&amp;Monthly_MIS!$B$6))/I11)</f>
        <v>0.338112015634846</v>
      </c>
      <c r="M11" s="30" t="n">
        <f aca="false">IFERROR((K11-L11)*100,"n/a")</f>
        <v>1.50935147543691</v>
      </c>
      <c r="N11" s="32" t="n">
        <f aca="false">SUMPRODUCT(--(COUNTIFS(Calc_Actuals!$I$2:$I$865,$A11,Calc_Actuals!$F$2:$F$865,Region_Performance!$A$6:$A$9,Calc_Actuals!$C$2:$C$865,"Actual")&gt;0))</f>
        <v>1</v>
      </c>
    </row>
    <row r="12" customFormat="false" ht="15" hidden="false" customHeight="false" outlineLevel="0" collapsed="false">
      <c r="A12" s="5" t="s">
        <v>118</v>
      </c>
      <c r="B12" s="17" t="s">
        <v>110</v>
      </c>
      <c r="C12" s="19" t="n">
        <f aca="false">SUMIFS(Calc_Actuals!$N$2:$N$865,Calc_Actuals!$I$2:$I$865,$A12,Calc_Actuals!$C$2:$C$865,"Actual")</f>
        <v>4633109.19</v>
      </c>
      <c r="D12" s="19" t="n">
        <f aca="false">SUMIFS(Calc_Actuals!$O$2:$O$865,Calc_Actuals!$I$2:$I$865,$A12,Calc_Actuals!$C$2:$C$865,"Actual")</f>
        <v>2893839.79</v>
      </c>
      <c r="E12" s="19" t="n">
        <f aca="false">C12-D12</f>
        <v>1739269.4</v>
      </c>
      <c r="F12" s="20" t="n">
        <f aca="false">IF(C12=0,"n/a",E12/C12)</f>
        <v>0.375400045341906</v>
      </c>
      <c r="G12" s="20" t="n">
        <f aca="false">C12/C$14</f>
        <v>0.108776241118519</v>
      </c>
      <c r="H12" s="19" t="n">
        <f aca="false">SUMIFS(Calc_Actuals!$N$2:$N$865,Calc_Actuals!$I$2:$I$865,$A12,Calc_Actuals!$C$2:$C$865,"Actual",Calc_Actuals!$J$2:$J$865,Monthly_MIS!$B$5,Calc_Actuals!$K$2:$K$865,"&lt;="&amp;Monthly_MIS!$B$6)</f>
        <v>1978588.16</v>
      </c>
      <c r="I12" s="19" t="n">
        <f aca="false">SUMIFS(Calc_Actuals!$N$2:$N$865,Calc_Actuals!$I$2:$I$865,$A12,Calc_Actuals!$C$2:$C$865,"Actual",Calc_Actuals!$J$2:$J$865,(Monthly_MIS!$B$5-1),Calc_Actuals!$K$2:$K$865,"&lt;="&amp;Monthly_MIS!$B$6)</f>
        <v>2076971.11</v>
      </c>
      <c r="J12" s="29" t="n">
        <f aca="false">IF(I12=0,"n/a",H12/I12-1)</f>
        <v>-0.0473684730260886</v>
      </c>
      <c r="K12" s="20" t="n">
        <f aca="false">IF(H12=0,"n/a",(SUMIFS(Calc_Actuals!$N$2:$N$865,Calc_Actuals!$I$2:$I$865,$A12,Calc_Actuals!$C$2:$C$865,"Actual",Calc_Actuals!$J$2:$J$865,Monthly_MIS!$B$5,Calc_Actuals!$K$2:$K$865,"&lt;="&amp;Monthly_MIS!$B$6)-SUMIFS(Calc_Actuals!$O$2:$O$865,Calc_Actuals!$I$2:$I$865,$A12,Calc_Actuals!$C$2:$C$865,"Actual",Calc_Actuals!$J$2:$J$865,Monthly_MIS!$B$5,Calc_Actuals!$K$2:$K$865,"&lt;="&amp;Monthly_MIS!$B$6))/H12)</f>
        <v>0.373119729979583</v>
      </c>
      <c r="L12" s="20" t="n">
        <f aca="false">IF(I12=0,"n/a",(SUMIFS(Calc_Actuals!$N$2:$N$865,Calc_Actuals!$I$2:$I$865,$A12,Calc_Actuals!$C$2:$C$865,"Actual",Calc_Actuals!$J$2:$J$865,(Monthly_MIS!$B$5-1),Calc_Actuals!$K$2:$K$865,"&lt;="&amp;Monthly_MIS!$B$6)-SUMIFS(Calc_Actuals!$O$2:$O$865,Calc_Actuals!$I$2:$I$865,$A12,Calc_Actuals!$C$2:$C$865,"Actual",Calc_Actuals!$J$2:$J$865,(Monthly_MIS!$B$5-1),Calc_Actuals!$K$2:$K$865,"&lt;="&amp;Monthly_MIS!$B$6))/I12)</f>
        <v>0.378951578195038</v>
      </c>
      <c r="M12" s="30" t="n">
        <f aca="false">IFERROR((K12-L12)*100,"n/a")</f>
        <v>-0.583184821545513</v>
      </c>
      <c r="N12" s="32" t="n">
        <f aca="false">SUMPRODUCT(--(COUNTIFS(Calc_Actuals!$I$2:$I$865,$A12,Calc_Actuals!$F$2:$F$865,Region_Performance!$A$6:$A$9,Calc_Actuals!$C$2:$C$865,"Actual")&gt;0))</f>
        <v>1</v>
      </c>
    </row>
    <row r="13" customFormat="false" ht="15" hidden="false" customHeight="false" outlineLevel="0" collapsed="false">
      <c r="A13" s="5" t="s">
        <v>119</v>
      </c>
      <c r="B13" s="17" t="s">
        <v>113</v>
      </c>
      <c r="C13" s="19" t="n">
        <f aca="false">SUMIFS(Calc_Actuals!$N$2:$N$865,Calc_Actuals!$I$2:$I$865,$A13,Calc_Actuals!$C$2:$C$865,"Actual")</f>
        <v>7974993.55</v>
      </c>
      <c r="D13" s="19" t="n">
        <f aca="false">SUMIFS(Calc_Actuals!$O$2:$O$865,Calc_Actuals!$I$2:$I$865,$A13,Calc_Actuals!$C$2:$C$865,"Actual")</f>
        <v>5290293.61</v>
      </c>
      <c r="E13" s="19" t="n">
        <f aca="false">C13-D13</f>
        <v>2684699.94</v>
      </c>
      <c r="F13" s="20" t="n">
        <f aca="false">IF(C13=0,"n/a",E13/C13)</f>
        <v>0.336639763175733</v>
      </c>
      <c r="G13" s="20" t="n">
        <f aca="false">C13/C$14</f>
        <v>0.187237076817833</v>
      </c>
      <c r="H13" s="19" t="n">
        <f aca="false">SUMIFS(Calc_Actuals!$N$2:$N$865,Calc_Actuals!$I$2:$I$865,$A13,Calc_Actuals!$C$2:$C$865,"Actual",Calc_Actuals!$J$2:$J$865,Monthly_MIS!$B$5,Calc_Actuals!$K$2:$K$865,"&lt;="&amp;Monthly_MIS!$B$6)</f>
        <v>2942572.3</v>
      </c>
      <c r="I13" s="19" t="n">
        <f aca="false">SUMIFS(Calc_Actuals!$N$2:$N$865,Calc_Actuals!$I$2:$I$865,$A13,Calc_Actuals!$C$2:$C$865,"Actual",Calc_Actuals!$J$2:$J$865,(Monthly_MIS!$B$5-1),Calc_Actuals!$K$2:$K$865,"&lt;="&amp;Monthly_MIS!$B$6)</f>
        <v>3879733.82</v>
      </c>
      <c r="J13" s="29" t="n">
        <f aca="false">IF(I13=0,"n/a",H13/I13-1)</f>
        <v>-0.241553045512798</v>
      </c>
      <c r="K13" s="20" t="n">
        <f aca="false">IF(H13=0,"n/a",(SUMIFS(Calc_Actuals!$N$2:$N$865,Calc_Actuals!$I$2:$I$865,$A13,Calc_Actuals!$C$2:$C$865,"Actual",Calc_Actuals!$J$2:$J$865,Monthly_MIS!$B$5,Calc_Actuals!$K$2:$K$865,"&lt;="&amp;Monthly_MIS!$B$6)-SUMIFS(Calc_Actuals!$O$2:$O$865,Calc_Actuals!$I$2:$I$865,$A13,Calc_Actuals!$C$2:$C$865,"Actual",Calc_Actuals!$J$2:$J$865,Monthly_MIS!$B$5,Calc_Actuals!$K$2:$K$865,"&lt;="&amp;Monthly_MIS!$B$6))/H13)</f>
        <v>0.33464071214155</v>
      </c>
      <c r="L13" s="20" t="n">
        <f aca="false">IF(I13=0,"n/a",(SUMIFS(Calc_Actuals!$N$2:$N$865,Calc_Actuals!$I$2:$I$865,$A13,Calc_Actuals!$C$2:$C$865,"Actual",Calc_Actuals!$J$2:$J$865,(Monthly_MIS!$B$5-1),Calc_Actuals!$K$2:$K$865,"&lt;="&amp;Monthly_MIS!$B$6)-SUMIFS(Calc_Actuals!$O$2:$O$865,Calc_Actuals!$I$2:$I$865,$A13,Calc_Actuals!$C$2:$C$865,"Actual",Calc_Actuals!$J$2:$J$865,(Monthly_MIS!$B$5-1),Calc_Actuals!$K$2:$K$865,"&lt;="&amp;Monthly_MIS!$B$6))/I13)</f>
        <v>0.342214644508782</v>
      </c>
      <c r="M13" s="30" t="n">
        <f aca="false">IFERROR((K13-L13)*100,"n/a")</f>
        <v>-0.757393236723192</v>
      </c>
      <c r="N13" s="32" t="n">
        <f aca="false">SUMPRODUCT(--(COUNTIFS(Calc_Actuals!$I$2:$I$865,$A13,Calc_Actuals!$F$2:$F$865,Region_Performance!$A$6:$A$9,Calc_Actuals!$C$2:$C$865,"Actual")&gt;0))</f>
        <v>1</v>
      </c>
    </row>
    <row r="14" customFormat="false" ht="15" hidden="false" customHeight="false" outlineLevel="0" collapsed="false">
      <c r="A14" s="22" t="s">
        <v>103</v>
      </c>
      <c r="B14" s="23"/>
      <c r="C14" s="25" t="n">
        <f aca="false">SUM(C6:C13)</f>
        <v>42593025.3</v>
      </c>
      <c r="D14" s="25" t="n">
        <f aca="false">SUM(D6:D13)</f>
        <v>27380595.19</v>
      </c>
      <c r="E14" s="25" t="n">
        <f aca="false">SUM(E6:E13)</f>
        <v>15212430.11</v>
      </c>
      <c r="F14" s="26" t="n">
        <f aca="false">E14/C14</f>
        <v>0.357157774139138</v>
      </c>
      <c r="G14" s="26" t="n">
        <f aca="false">SUM(G6:G13)</f>
        <v>1</v>
      </c>
      <c r="H14" s="25" t="n">
        <f aca="false">SUM(H6:H13)</f>
        <v>18093973.88</v>
      </c>
      <c r="I14" s="25" t="n">
        <f aca="false">SUM(I6:I13)</f>
        <v>18422630.5</v>
      </c>
      <c r="J14" s="27" t="n">
        <f aca="false">H14/I14-1</f>
        <v>-0.0178398312879369</v>
      </c>
      <c r="K14" s="26" t="n">
        <f aca="false">Monthly_MIS!H34</f>
        <v>0.357104041536286</v>
      </c>
      <c r="L14" s="26" t="n">
        <f aca="false">Monthly_MIS!H35</f>
        <v>0.358210176337196</v>
      </c>
      <c r="M14" s="28" t="n">
        <f aca="false">(K14-L14)*100</f>
        <v>-0.110613480090943</v>
      </c>
    </row>
    <row r="16" customFormat="false" ht="15" hidden="false" customHeight="false" outlineLevel="0" collapsed="false">
      <c r="A16" s="12" t="s">
        <v>120</v>
      </c>
    </row>
    <row r="17" customFormat="false" ht="31.5" hidden="false" customHeight="true" outlineLevel="0" collapsed="false">
      <c r="A17" s="4" t="s">
        <v>106</v>
      </c>
      <c r="B17" s="4" t="s">
        <v>63</v>
      </c>
      <c r="C17" s="4" t="s">
        <v>65</v>
      </c>
      <c r="D17" s="4" t="s">
        <v>66</v>
      </c>
      <c r="E17" s="4" t="s">
        <v>67</v>
      </c>
      <c r="F17" s="4" t="s">
        <v>68</v>
      </c>
      <c r="G17" s="4" t="s">
        <v>69</v>
      </c>
      <c r="H17" s="4" t="s">
        <v>70</v>
      </c>
      <c r="I17" s="4" t="s">
        <v>71</v>
      </c>
      <c r="J17" s="4" t="s">
        <v>72</v>
      </c>
      <c r="K17" s="4" t="s">
        <v>73</v>
      </c>
      <c r="L17" s="4" t="s">
        <v>74</v>
      </c>
      <c r="M17" s="4" t="s">
        <v>75</v>
      </c>
      <c r="N17" s="4" t="s">
        <v>76</v>
      </c>
      <c r="O17" s="4" t="s">
        <v>77</v>
      </c>
      <c r="P17" s="4" t="s">
        <v>78</v>
      </c>
      <c r="Q17" s="4" t="s">
        <v>79</v>
      </c>
      <c r="R17" s="4" t="s">
        <v>80</v>
      </c>
      <c r="S17" s="4" t="s">
        <v>81</v>
      </c>
      <c r="T17" s="4" t="s">
        <v>82</v>
      </c>
      <c r="U17" s="4" t="s">
        <v>83</v>
      </c>
      <c r="V17" s="4" t="s">
        <v>84</v>
      </c>
      <c r="W17" s="4" t="s">
        <v>103</v>
      </c>
    </row>
    <row r="18" customFormat="false" ht="15" hidden="false" customHeight="false" outlineLevel="0" collapsed="false">
      <c r="A18" s="5" t="s">
        <v>109</v>
      </c>
      <c r="B18" s="19" t="n">
        <f aca="false">SUMIFS(Calc_Actuals!$N$2:$N$865,Calc_Actuals!$I$2:$I$865,$A18,Calc_Actuals!$J$2:$J$865,VALUE(LEFT(B$17,4)),Calc_Actuals!$K$2:$K$865,VALUE(RIGHT(B$17,2)),Calc_Actuals!$C$2:$C$865,"Actual")</f>
        <v>334532.4</v>
      </c>
      <c r="C18" s="19" t="n">
        <f aca="false">SUMIFS(Calc_Actuals!$N$2:$N$865,Calc_Actuals!$I$2:$I$865,$A18,Calc_Actuals!$J$2:$J$865,VALUE(LEFT(C$17,4)),Calc_Actuals!$K$2:$K$865,VALUE(RIGHT(C$17,2)),Calc_Actuals!$C$2:$C$865,"Actual")</f>
        <v>258067.7</v>
      </c>
      <c r="D18" s="19" t="n">
        <f aca="false">SUMIFS(Calc_Actuals!$N$2:$N$865,Calc_Actuals!$I$2:$I$865,$A18,Calc_Actuals!$J$2:$J$865,VALUE(LEFT(D$17,4)),Calc_Actuals!$K$2:$K$865,VALUE(RIGHT(D$17,2)),Calc_Actuals!$C$2:$C$865,"Actual")</f>
        <v>241196.46</v>
      </c>
      <c r="E18" s="19" t="n">
        <f aca="false">SUMIFS(Calc_Actuals!$N$2:$N$865,Calc_Actuals!$I$2:$I$865,$A18,Calc_Actuals!$J$2:$J$865,VALUE(LEFT(E$17,4)),Calc_Actuals!$K$2:$K$865,VALUE(RIGHT(E$17,2)),Calc_Actuals!$C$2:$C$865,"Actual")</f>
        <v>192535.28</v>
      </c>
      <c r="F18" s="19" t="n">
        <f aca="false">SUMIFS(Calc_Actuals!$N$2:$N$865,Calc_Actuals!$I$2:$I$865,$A18,Calc_Actuals!$J$2:$J$865,VALUE(LEFT(F$17,4)),Calc_Actuals!$K$2:$K$865,VALUE(RIGHT(F$17,2)),Calc_Actuals!$C$2:$C$865,"Actual")</f>
        <v>229355.85</v>
      </c>
      <c r="G18" s="19" t="n">
        <f aca="false">SUMIFS(Calc_Actuals!$N$2:$N$865,Calc_Actuals!$I$2:$I$865,$A18,Calc_Actuals!$J$2:$J$865,VALUE(LEFT(G$17,4)),Calc_Actuals!$K$2:$K$865,VALUE(RIGHT(G$17,2)),Calc_Actuals!$C$2:$C$865,"Actual")</f>
        <v>210958.7</v>
      </c>
      <c r="H18" s="19" t="n">
        <f aca="false">SUMIFS(Calc_Actuals!$N$2:$N$865,Calc_Actuals!$I$2:$I$865,$A18,Calc_Actuals!$J$2:$J$865,VALUE(LEFT(H$17,4)),Calc_Actuals!$K$2:$K$865,VALUE(RIGHT(H$17,2)),Calc_Actuals!$C$2:$C$865,"Actual")</f>
        <v>299637.52</v>
      </c>
      <c r="I18" s="19" t="n">
        <f aca="false">SUMIFS(Calc_Actuals!$N$2:$N$865,Calc_Actuals!$I$2:$I$865,$A18,Calc_Actuals!$J$2:$J$865,VALUE(LEFT(I$17,4)),Calc_Actuals!$K$2:$K$865,VALUE(RIGHT(I$17,2)),Calc_Actuals!$C$2:$C$865,"Actual")</f>
        <v>215998.56</v>
      </c>
      <c r="J18" s="19" t="n">
        <f aca="false">SUMIFS(Calc_Actuals!$N$2:$N$865,Calc_Actuals!$I$2:$I$865,$A18,Calc_Actuals!$J$2:$J$865,VALUE(LEFT(J$17,4)),Calc_Actuals!$K$2:$K$865,VALUE(RIGHT(J$17,2)),Calc_Actuals!$C$2:$C$865,"Actual")</f>
        <v>288788.5</v>
      </c>
      <c r="K18" s="19" t="n">
        <f aca="false">SUMIFS(Calc_Actuals!$N$2:$N$865,Calc_Actuals!$I$2:$I$865,$A18,Calc_Actuals!$J$2:$J$865,VALUE(LEFT(K$17,4)),Calc_Actuals!$K$2:$K$865,VALUE(RIGHT(K$17,2)),Calc_Actuals!$C$2:$C$865,"Actual")</f>
        <v>306476.98</v>
      </c>
      <c r="L18" s="19" t="n">
        <f aca="false">SUMIFS(Calc_Actuals!$N$2:$N$865,Calc_Actuals!$I$2:$I$865,$A18,Calc_Actuals!$J$2:$J$865,VALUE(LEFT(L$17,4)),Calc_Actuals!$K$2:$K$865,VALUE(RIGHT(L$17,2)),Calc_Actuals!$C$2:$C$865,"Actual")</f>
        <v>204877.92</v>
      </c>
      <c r="M18" s="19" t="n">
        <f aca="false">SUMIFS(Calc_Actuals!$N$2:$N$865,Calc_Actuals!$I$2:$I$865,$A18,Calc_Actuals!$J$2:$J$865,VALUE(LEFT(M$17,4)),Calc_Actuals!$K$2:$K$865,VALUE(RIGHT(M$17,2)),Calc_Actuals!$C$2:$C$865,"Actual")</f>
        <v>347861.16</v>
      </c>
      <c r="N18" s="19" t="n">
        <f aca="false">SUMIFS(Calc_Actuals!$N$2:$N$865,Calc_Actuals!$I$2:$I$865,$A18,Calc_Actuals!$J$2:$J$865,VALUE(LEFT(N$17,4)),Calc_Actuals!$K$2:$K$865,VALUE(RIGHT(N$17,2)),Calc_Actuals!$C$2:$C$865,"Actual")</f>
        <v>167938.23</v>
      </c>
      <c r="O18" s="19" t="n">
        <f aca="false">SUMIFS(Calc_Actuals!$N$2:$N$865,Calc_Actuals!$I$2:$I$865,$A18,Calc_Actuals!$J$2:$J$865,VALUE(LEFT(O$17,4)),Calc_Actuals!$K$2:$K$865,VALUE(RIGHT(O$17,2)),Calc_Actuals!$C$2:$C$865,"Actual")</f>
        <v>140349.4</v>
      </c>
      <c r="P18" s="19" t="n">
        <f aca="false">SUMIFS(Calc_Actuals!$N$2:$N$865,Calc_Actuals!$I$2:$I$865,$A18,Calc_Actuals!$J$2:$J$865,VALUE(LEFT(P$17,4)),Calc_Actuals!$K$2:$K$865,VALUE(RIGHT(P$17,2)),Calc_Actuals!$C$2:$C$865,"Actual")</f>
        <v>228106.78</v>
      </c>
      <c r="Q18" s="19" t="n">
        <f aca="false">SUMIFS(Calc_Actuals!$N$2:$N$865,Calc_Actuals!$I$2:$I$865,$A18,Calc_Actuals!$J$2:$J$865,VALUE(LEFT(Q$17,4)),Calc_Actuals!$K$2:$K$865,VALUE(RIGHT(Q$17,2)),Calc_Actuals!$C$2:$C$865,"Actual")</f>
        <v>273265.27</v>
      </c>
      <c r="R18" s="19" t="n">
        <f aca="false">SUMIFS(Calc_Actuals!$N$2:$N$865,Calc_Actuals!$I$2:$I$865,$A18,Calc_Actuals!$J$2:$J$865,VALUE(LEFT(R$17,4)),Calc_Actuals!$K$2:$K$865,VALUE(RIGHT(R$17,2)),Calc_Actuals!$C$2:$C$865,"Actual")</f>
        <v>290529.14</v>
      </c>
      <c r="S18" s="19" t="n">
        <f aca="false">SUMIFS(Calc_Actuals!$N$2:$N$865,Calc_Actuals!$I$2:$I$865,$A18,Calc_Actuals!$J$2:$J$865,VALUE(LEFT(S$17,4)),Calc_Actuals!$K$2:$K$865,VALUE(RIGHT(S$17,2)),Calc_Actuals!$C$2:$C$865,"Actual")</f>
        <v>338596.54</v>
      </c>
      <c r="T18" s="19" t="n">
        <f aca="false">SUMIFS(Calc_Actuals!$N$2:$N$865,Calc_Actuals!$I$2:$I$865,$A18,Calc_Actuals!$J$2:$J$865,VALUE(LEFT(T$17,4)),Calc_Actuals!$K$2:$K$865,VALUE(RIGHT(T$17,2)),Calc_Actuals!$C$2:$C$865,"Actual")</f>
        <v>239093.63</v>
      </c>
      <c r="U18" s="19" t="n">
        <f aca="false">SUMIFS(Calc_Actuals!$N$2:$N$865,Calc_Actuals!$I$2:$I$865,$A18,Calc_Actuals!$J$2:$J$865,VALUE(LEFT(U$17,4)),Calc_Actuals!$K$2:$K$865,VALUE(RIGHT(U$17,2)),Calc_Actuals!$C$2:$C$865,"Actual")</f>
        <v>326058.04</v>
      </c>
      <c r="V18" s="19" t="n">
        <f aca="false">SUMIFS(Calc_Actuals!$N$2:$N$865,Calc_Actuals!$I$2:$I$865,$A18,Calc_Actuals!$J$2:$J$865,VALUE(LEFT(V$17,4)),Calc_Actuals!$K$2:$K$865,VALUE(RIGHT(V$17,2)),Calc_Actuals!$C$2:$C$865,"Actual")</f>
        <v>195578.31</v>
      </c>
      <c r="W18" s="31" t="n">
        <f aca="false">SUM(B18:V18)</f>
        <v>5329802.37</v>
      </c>
    </row>
    <row r="19" customFormat="false" ht="15" hidden="false" customHeight="false" outlineLevel="0" collapsed="false">
      <c r="A19" s="5" t="s">
        <v>111</v>
      </c>
      <c r="B19" s="19" t="n">
        <f aca="false">SUMIFS(Calc_Actuals!$N$2:$N$865,Calc_Actuals!$I$2:$I$865,$A19,Calc_Actuals!$J$2:$J$865,VALUE(LEFT(B$17,4)),Calc_Actuals!$K$2:$K$865,VALUE(RIGHT(B$17,2)),Calc_Actuals!$C$2:$C$865,"Actual")</f>
        <v>196945.92</v>
      </c>
      <c r="C19" s="19" t="n">
        <f aca="false">SUMIFS(Calc_Actuals!$N$2:$N$865,Calc_Actuals!$I$2:$I$865,$A19,Calc_Actuals!$J$2:$J$865,VALUE(LEFT(C$17,4)),Calc_Actuals!$K$2:$K$865,VALUE(RIGHT(C$17,2)),Calc_Actuals!$C$2:$C$865,"Actual")</f>
        <v>214023.76</v>
      </c>
      <c r="D19" s="19" t="n">
        <f aca="false">SUMIFS(Calc_Actuals!$N$2:$N$865,Calc_Actuals!$I$2:$I$865,$A19,Calc_Actuals!$J$2:$J$865,VALUE(LEFT(D$17,4)),Calc_Actuals!$K$2:$K$865,VALUE(RIGHT(D$17,2)),Calc_Actuals!$C$2:$C$865,"Actual")</f>
        <v>192219.8</v>
      </c>
      <c r="E19" s="19" t="n">
        <f aca="false">SUMIFS(Calc_Actuals!$N$2:$N$865,Calc_Actuals!$I$2:$I$865,$A19,Calc_Actuals!$J$2:$J$865,VALUE(LEFT(E$17,4)),Calc_Actuals!$K$2:$K$865,VALUE(RIGHT(E$17,2)),Calc_Actuals!$C$2:$C$865,"Actual")</f>
        <v>152922.98</v>
      </c>
      <c r="F19" s="19" t="n">
        <f aca="false">SUMIFS(Calc_Actuals!$N$2:$N$865,Calc_Actuals!$I$2:$I$865,$A19,Calc_Actuals!$J$2:$J$865,VALUE(LEFT(F$17,4)),Calc_Actuals!$K$2:$K$865,VALUE(RIGHT(F$17,2)),Calc_Actuals!$C$2:$C$865,"Actual")</f>
        <v>156641.66</v>
      </c>
      <c r="G19" s="19" t="n">
        <f aca="false">SUMIFS(Calc_Actuals!$N$2:$N$865,Calc_Actuals!$I$2:$I$865,$A19,Calc_Actuals!$J$2:$J$865,VALUE(LEFT(G$17,4)),Calc_Actuals!$K$2:$K$865,VALUE(RIGHT(G$17,2)),Calc_Actuals!$C$2:$C$865,"Actual")</f>
        <v>188587.97</v>
      </c>
      <c r="H19" s="19" t="n">
        <f aca="false">SUMIFS(Calc_Actuals!$N$2:$N$865,Calc_Actuals!$I$2:$I$865,$A19,Calc_Actuals!$J$2:$J$865,VALUE(LEFT(H$17,4)),Calc_Actuals!$K$2:$K$865,VALUE(RIGHT(H$17,2)),Calc_Actuals!$C$2:$C$865,"Actual")</f>
        <v>123535</v>
      </c>
      <c r="I19" s="19" t="n">
        <f aca="false">SUMIFS(Calc_Actuals!$N$2:$N$865,Calc_Actuals!$I$2:$I$865,$A19,Calc_Actuals!$J$2:$J$865,VALUE(LEFT(I$17,4)),Calc_Actuals!$K$2:$K$865,VALUE(RIGHT(I$17,2)),Calc_Actuals!$C$2:$C$865,"Actual")</f>
        <v>192148.97</v>
      </c>
      <c r="J19" s="19" t="n">
        <f aca="false">SUMIFS(Calc_Actuals!$N$2:$N$865,Calc_Actuals!$I$2:$I$865,$A19,Calc_Actuals!$J$2:$J$865,VALUE(LEFT(J$17,4)),Calc_Actuals!$K$2:$K$865,VALUE(RIGHT(J$17,2)),Calc_Actuals!$C$2:$C$865,"Actual")</f>
        <v>181022.02</v>
      </c>
      <c r="K19" s="19" t="n">
        <f aca="false">SUMIFS(Calc_Actuals!$N$2:$N$865,Calc_Actuals!$I$2:$I$865,$A19,Calc_Actuals!$J$2:$J$865,VALUE(LEFT(K$17,4)),Calc_Actuals!$K$2:$K$865,VALUE(RIGHT(K$17,2)),Calc_Actuals!$C$2:$C$865,"Actual")</f>
        <v>235720.57</v>
      </c>
      <c r="L19" s="19" t="n">
        <f aca="false">SUMIFS(Calc_Actuals!$N$2:$N$865,Calc_Actuals!$I$2:$I$865,$A19,Calc_Actuals!$J$2:$J$865,VALUE(LEFT(L$17,4)),Calc_Actuals!$K$2:$K$865,VALUE(RIGHT(L$17,2)),Calc_Actuals!$C$2:$C$865,"Actual")</f>
        <v>160732.94</v>
      </c>
      <c r="M19" s="19" t="n">
        <f aca="false">SUMIFS(Calc_Actuals!$N$2:$N$865,Calc_Actuals!$I$2:$I$865,$A19,Calc_Actuals!$J$2:$J$865,VALUE(LEFT(M$17,4)),Calc_Actuals!$K$2:$K$865,VALUE(RIGHT(M$17,2)),Calc_Actuals!$C$2:$C$865,"Actual")</f>
        <v>156415.23</v>
      </c>
      <c r="N19" s="19" t="n">
        <f aca="false">SUMIFS(Calc_Actuals!$N$2:$N$865,Calc_Actuals!$I$2:$I$865,$A19,Calc_Actuals!$J$2:$J$865,VALUE(LEFT(N$17,4)),Calc_Actuals!$K$2:$K$865,VALUE(RIGHT(N$17,2)),Calc_Actuals!$C$2:$C$865,"Actual")</f>
        <v>168157.92</v>
      </c>
      <c r="O19" s="19" t="n">
        <f aca="false">SUMIFS(Calc_Actuals!$N$2:$N$865,Calc_Actuals!$I$2:$I$865,$A19,Calc_Actuals!$J$2:$J$865,VALUE(LEFT(O$17,4)),Calc_Actuals!$K$2:$K$865,VALUE(RIGHT(O$17,2)),Calc_Actuals!$C$2:$C$865,"Actual")</f>
        <v>171126.87</v>
      </c>
      <c r="P19" s="19" t="n">
        <f aca="false">SUMIFS(Calc_Actuals!$N$2:$N$865,Calc_Actuals!$I$2:$I$865,$A19,Calc_Actuals!$J$2:$J$865,VALUE(LEFT(P$17,4)),Calc_Actuals!$K$2:$K$865,VALUE(RIGHT(P$17,2)),Calc_Actuals!$C$2:$C$865,"Actual")</f>
        <v>130226.7</v>
      </c>
      <c r="Q19" s="19" t="n">
        <f aca="false">SUMIFS(Calc_Actuals!$N$2:$N$865,Calc_Actuals!$I$2:$I$865,$A19,Calc_Actuals!$J$2:$J$865,VALUE(LEFT(Q$17,4)),Calc_Actuals!$K$2:$K$865,VALUE(RIGHT(Q$17,2)),Calc_Actuals!$C$2:$C$865,"Actual")</f>
        <v>128901.45</v>
      </c>
      <c r="R19" s="19" t="n">
        <f aca="false">SUMIFS(Calc_Actuals!$N$2:$N$865,Calc_Actuals!$I$2:$I$865,$A19,Calc_Actuals!$J$2:$J$865,VALUE(LEFT(R$17,4)),Calc_Actuals!$K$2:$K$865,VALUE(RIGHT(R$17,2)),Calc_Actuals!$C$2:$C$865,"Actual")</f>
        <v>120005.57</v>
      </c>
      <c r="S19" s="19" t="n">
        <f aca="false">SUMIFS(Calc_Actuals!$N$2:$N$865,Calc_Actuals!$I$2:$I$865,$A19,Calc_Actuals!$J$2:$J$865,VALUE(LEFT(S$17,4)),Calc_Actuals!$K$2:$K$865,VALUE(RIGHT(S$17,2)),Calc_Actuals!$C$2:$C$865,"Actual")</f>
        <v>222710.97</v>
      </c>
      <c r="T19" s="19" t="n">
        <f aca="false">SUMIFS(Calc_Actuals!$N$2:$N$865,Calc_Actuals!$I$2:$I$865,$A19,Calc_Actuals!$J$2:$J$865,VALUE(LEFT(T$17,4)),Calc_Actuals!$K$2:$K$865,VALUE(RIGHT(T$17,2)),Calc_Actuals!$C$2:$C$865,"Actual")</f>
        <v>225646.91</v>
      </c>
      <c r="U19" s="19" t="n">
        <f aca="false">SUMIFS(Calc_Actuals!$N$2:$N$865,Calc_Actuals!$I$2:$I$865,$A19,Calc_Actuals!$J$2:$J$865,VALUE(LEFT(U$17,4)),Calc_Actuals!$K$2:$K$865,VALUE(RIGHT(U$17,2)),Calc_Actuals!$C$2:$C$865,"Actual")</f>
        <v>185470.18</v>
      </c>
      <c r="V19" s="19" t="n">
        <f aca="false">SUMIFS(Calc_Actuals!$N$2:$N$865,Calc_Actuals!$I$2:$I$865,$A19,Calc_Actuals!$J$2:$J$865,VALUE(LEFT(V$17,4)),Calc_Actuals!$K$2:$K$865,VALUE(RIGHT(V$17,2)),Calc_Actuals!$C$2:$C$865,"Actual")</f>
        <v>213746.51</v>
      </c>
      <c r="W19" s="31" t="n">
        <f aca="false">SUM(B19:V19)</f>
        <v>3716909.9</v>
      </c>
    </row>
    <row r="20" customFormat="false" ht="15" hidden="false" customHeight="false" outlineLevel="0" collapsed="false">
      <c r="A20" s="5" t="s">
        <v>112</v>
      </c>
      <c r="B20" s="19" t="n">
        <f aca="false">SUMIFS(Calc_Actuals!$N$2:$N$865,Calc_Actuals!$I$2:$I$865,$A20,Calc_Actuals!$J$2:$J$865,VALUE(LEFT(B$17,4)),Calc_Actuals!$K$2:$K$865,VALUE(RIGHT(B$17,2)),Calc_Actuals!$C$2:$C$865,"Actual")</f>
        <v>326794.66</v>
      </c>
      <c r="C20" s="19" t="n">
        <f aca="false">SUMIFS(Calc_Actuals!$N$2:$N$865,Calc_Actuals!$I$2:$I$865,$A20,Calc_Actuals!$J$2:$J$865,VALUE(LEFT(C$17,4)),Calc_Actuals!$K$2:$K$865,VALUE(RIGHT(C$17,2)),Calc_Actuals!$C$2:$C$865,"Actual")</f>
        <v>360089.25</v>
      </c>
      <c r="D20" s="19" t="n">
        <f aca="false">SUMIFS(Calc_Actuals!$N$2:$N$865,Calc_Actuals!$I$2:$I$865,$A20,Calc_Actuals!$J$2:$J$865,VALUE(LEFT(D$17,4)),Calc_Actuals!$K$2:$K$865,VALUE(RIGHT(D$17,2)),Calc_Actuals!$C$2:$C$865,"Actual")</f>
        <v>257443.87</v>
      </c>
      <c r="E20" s="19" t="n">
        <f aca="false">SUMIFS(Calc_Actuals!$N$2:$N$865,Calc_Actuals!$I$2:$I$865,$A20,Calc_Actuals!$J$2:$J$865,VALUE(LEFT(E$17,4)),Calc_Actuals!$K$2:$K$865,VALUE(RIGHT(E$17,2)),Calc_Actuals!$C$2:$C$865,"Actual")</f>
        <v>417325.8</v>
      </c>
      <c r="F20" s="19" t="n">
        <f aca="false">SUMIFS(Calc_Actuals!$N$2:$N$865,Calc_Actuals!$I$2:$I$865,$A20,Calc_Actuals!$J$2:$J$865,VALUE(LEFT(F$17,4)),Calc_Actuals!$K$2:$K$865,VALUE(RIGHT(F$17,2)),Calc_Actuals!$C$2:$C$865,"Actual")</f>
        <v>354669.71</v>
      </c>
      <c r="G20" s="19" t="n">
        <f aca="false">SUMIFS(Calc_Actuals!$N$2:$N$865,Calc_Actuals!$I$2:$I$865,$A20,Calc_Actuals!$J$2:$J$865,VALUE(LEFT(G$17,4)),Calc_Actuals!$K$2:$K$865,VALUE(RIGHT(G$17,2)),Calc_Actuals!$C$2:$C$865,"Actual")</f>
        <v>346156.59</v>
      </c>
      <c r="H20" s="19" t="n">
        <f aca="false">SUMIFS(Calc_Actuals!$N$2:$N$865,Calc_Actuals!$I$2:$I$865,$A20,Calc_Actuals!$J$2:$J$865,VALUE(LEFT(H$17,4)),Calc_Actuals!$K$2:$K$865,VALUE(RIGHT(H$17,2)),Calc_Actuals!$C$2:$C$865,"Actual")</f>
        <v>269049.49</v>
      </c>
      <c r="I20" s="19" t="n">
        <f aca="false">SUMIFS(Calc_Actuals!$N$2:$N$865,Calc_Actuals!$I$2:$I$865,$A20,Calc_Actuals!$J$2:$J$865,VALUE(LEFT(I$17,4)),Calc_Actuals!$K$2:$K$865,VALUE(RIGHT(I$17,2)),Calc_Actuals!$C$2:$C$865,"Actual")</f>
        <v>336894.25</v>
      </c>
      <c r="J20" s="19" t="n">
        <f aca="false">SUMIFS(Calc_Actuals!$N$2:$N$865,Calc_Actuals!$I$2:$I$865,$A20,Calc_Actuals!$J$2:$J$865,VALUE(LEFT(J$17,4)),Calc_Actuals!$K$2:$K$865,VALUE(RIGHT(J$17,2)),Calc_Actuals!$C$2:$C$865,"Actual")</f>
        <v>367389.05</v>
      </c>
      <c r="K20" s="19" t="n">
        <f aca="false">SUMIFS(Calc_Actuals!$N$2:$N$865,Calc_Actuals!$I$2:$I$865,$A20,Calc_Actuals!$J$2:$J$865,VALUE(LEFT(K$17,4)),Calc_Actuals!$K$2:$K$865,VALUE(RIGHT(K$17,2)),Calc_Actuals!$C$2:$C$865,"Actual")</f>
        <v>321690.44</v>
      </c>
      <c r="L20" s="19" t="n">
        <f aca="false">SUMIFS(Calc_Actuals!$N$2:$N$865,Calc_Actuals!$I$2:$I$865,$A20,Calc_Actuals!$J$2:$J$865,VALUE(LEFT(L$17,4)),Calc_Actuals!$K$2:$K$865,VALUE(RIGHT(L$17,2)),Calc_Actuals!$C$2:$C$865,"Actual")</f>
        <v>435300.46</v>
      </c>
      <c r="M20" s="19" t="n">
        <f aca="false">SUMIFS(Calc_Actuals!$N$2:$N$865,Calc_Actuals!$I$2:$I$865,$A20,Calc_Actuals!$J$2:$J$865,VALUE(LEFT(M$17,4)),Calc_Actuals!$K$2:$K$865,VALUE(RIGHT(M$17,2)),Calc_Actuals!$C$2:$C$865,"Actual")</f>
        <v>333184.23</v>
      </c>
      <c r="N20" s="19" t="n">
        <f aca="false">SUMIFS(Calc_Actuals!$N$2:$N$865,Calc_Actuals!$I$2:$I$865,$A20,Calc_Actuals!$J$2:$J$865,VALUE(LEFT(N$17,4)),Calc_Actuals!$K$2:$K$865,VALUE(RIGHT(N$17,2)),Calc_Actuals!$C$2:$C$865,"Actual")</f>
        <v>314004.97</v>
      </c>
      <c r="O20" s="19" t="n">
        <f aca="false">SUMIFS(Calc_Actuals!$N$2:$N$865,Calc_Actuals!$I$2:$I$865,$A20,Calc_Actuals!$J$2:$J$865,VALUE(LEFT(O$17,4)),Calc_Actuals!$K$2:$K$865,VALUE(RIGHT(O$17,2)),Calc_Actuals!$C$2:$C$865,"Actual")</f>
        <v>474709.57</v>
      </c>
      <c r="P20" s="19" t="n">
        <f aca="false">SUMIFS(Calc_Actuals!$N$2:$N$865,Calc_Actuals!$I$2:$I$865,$A20,Calc_Actuals!$J$2:$J$865,VALUE(LEFT(P$17,4)),Calc_Actuals!$K$2:$K$865,VALUE(RIGHT(P$17,2)),Calc_Actuals!$C$2:$C$865,"Actual")</f>
        <v>383808.43</v>
      </c>
      <c r="Q20" s="19" t="n">
        <f aca="false">SUMIFS(Calc_Actuals!$N$2:$N$865,Calc_Actuals!$I$2:$I$865,$A20,Calc_Actuals!$J$2:$J$865,VALUE(LEFT(Q$17,4)),Calc_Actuals!$K$2:$K$865,VALUE(RIGHT(Q$17,2)),Calc_Actuals!$C$2:$C$865,"Actual")</f>
        <v>259955.79</v>
      </c>
      <c r="R20" s="19" t="n">
        <f aca="false">SUMIFS(Calc_Actuals!$N$2:$N$865,Calc_Actuals!$I$2:$I$865,$A20,Calc_Actuals!$J$2:$J$865,VALUE(LEFT(R$17,4)),Calc_Actuals!$K$2:$K$865,VALUE(RIGHT(R$17,2)),Calc_Actuals!$C$2:$C$865,"Actual")</f>
        <v>434135.45</v>
      </c>
      <c r="S20" s="19" t="n">
        <f aca="false">SUMIFS(Calc_Actuals!$N$2:$N$865,Calc_Actuals!$I$2:$I$865,$A20,Calc_Actuals!$J$2:$J$865,VALUE(LEFT(S$17,4)),Calc_Actuals!$K$2:$K$865,VALUE(RIGHT(S$17,2)),Calc_Actuals!$C$2:$C$865,"Actual")</f>
        <v>283762.52</v>
      </c>
      <c r="T20" s="19" t="n">
        <f aca="false">SUMIFS(Calc_Actuals!$N$2:$N$865,Calc_Actuals!$I$2:$I$865,$A20,Calc_Actuals!$J$2:$J$865,VALUE(LEFT(T$17,4)),Calc_Actuals!$K$2:$K$865,VALUE(RIGHT(T$17,2)),Calc_Actuals!$C$2:$C$865,"Actual")</f>
        <v>435030.23</v>
      </c>
      <c r="U20" s="19" t="n">
        <f aca="false">SUMIFS(Calc_Actuals!$N$2:$N$865,Calc_Actuals!$I$2:$I$865,$A20,Calc_Actuals!$J$2:$J$865,VALUE(LEFT(U$17,4)),Calc_Actuals!$K$2:$K$865,VALUE(RIGHT(U$17,2)),Calc_Actuals!$C$2:$C$865,"Actual")</f>
        <v>422806.31</v>
      </c>
      <c r="V20" s="19" t="n">
        <f aca="false">SUMIFS(Calc_Actuals!$N$2:$N$865,Calc_Actuals!$I$2:$I$865,$A20,Calc_Actuals!$J$2:$J$865,VALUE(LEFT(V$17,4)),Calc_Actuals!$K$2:$K$865,VALUE(RIGHT(V$17,2)),Calc_Actuals!$C$2:$C$865,"Actual")</f>
        <v>304199.96</v>
      </c>
      <c r="W20" s="31" t="n">
        <f aca="false">SUM(B20:V20)</f>
        <v>7438401.03</v>
      </c>
    </row>
    <row r="21" customFormat="false" ht="15" hidden="false" customHeight="false" outlineLevel="0" collapsed="false">
      <c r="A21" s="5" t="s">
        <v>114</v>
      </c>
      <c r="B21" s="19" t="n">
        <f aca="false">SUMIFS(Calc_Actuals!$N$2:$N$865,Calc_Actuals!$I$2:$I$865,$A21,Calc_Actuals!$J$2:$J$865,VALUE(LEFT(B$17,4)),Calc_Actuals!$K$2:$K$865,VALUE(RIGHT(B$17,2)),Calc_Actuals!$C$2:$C$865,"Actual")</f>
        <v>209099.23</v>
      </c>
      <c r="C21" s="19" t="n">
        <f aca="false">SUMIFS(Calc_Actuals!$N$2:$N$865,Calc_Actuals!$I$2:$I$865,$A21,Calc_Actuals!$J$2:$J$865,VALUE(LEFT(C$17,4)),Calc_Actuals!$K$2:$K$865,VALUE(RIGHT(C$17,2)),Calc_Actuals!$C$2:$C$865,"Actual")</f>
        <v>142643.91</v>
      </c>
      <c r="D21" s="19" t="n">
        <f aca="false">SUMIFS(Calc_Actuals!$N$2:$N$865,Calc_Actuals!$I$2:$I$865,$A21,Calc_Actuals!$J$2:$J$865,VALUE(LEFT(D$17,4)),Calc_Actuals!$K$2:$K$865,VALUE(RIGHT(D$17,2)),Calc_Actuals!$C$2:$C$865,"Actual")</f>
        <v>166006.42</v>
      </c>
      <c r="E21" s="19" t="n">
        <f aca="false">SUMIFS(Calc_Actuals!$N$2:$N$865,Calc_Actuals!$I$2:$I$865,$A21,Calc_Actuals!$J$2:$J$865,VALUE(LEFT(E$17,4)),Calc_Actuals!$K$2:$K$865,VALUE(RIGHT(E$17,2)),Calc_Actuals!$C$2:$C$865,"Actual")</f>
        <v>287938.18</v>
      </c>
      <c r="F21" s="19" t="n">
        <f aca="false">SUMIFS(Calc_Actuals!$N$2:$N$865,Calc_Actuals!$I$2:$I$865,$A21,Calc_Actuals!$J$2:$J$865,VALUE(LEFT(F$17,4)),Calc_Actuals!$K$2:$K$865,VALUE(RIGHT(F$17,2)),Calc_Actuals!$C$2:$C$865,"Actual")</f>
        <v>291380.01</v>
      </c>
      <c r="G21" s="19" t="n">
        <f aca="false">SUMIFS(Calc_Actuals!$N$2:$N$865,Calc_Actuals!$I$2:$I$865,$A21,Calc_Actuals!$J$2:$J$865,VALUE(LEFT(G$17,4)),Calc_Actuals!$K$2:$K$865,VALUE(RIGHT(G$17,2)),Calc_Actuals!$C$2:$C$865,"Actual")</f>
        <v>165539.88</v>
      </c>
      <c r="H21" s="19" t="n">
        <f aca="false">SUMIFS(Calc_Actuals!$N$2:$N$865,Calc_Actuals!$I$2:$I$865,$A21,Calc_Actuals!$J$2:$J$865,VALUE(LEFT(H$17,4)),Calc_Actuals!$K$2:$K$865,VALUE(RIGHT(H$17,2)),Calc_Actuals!$C$2:$C$865,"Actual")</f>
        <v>244889.72</v>
      </c>
      <c r="I21" s="19" t="n">
        <f aca="false">SUMIFS(Calc_Actuals!$N$2:$N$865,Calc_Actuals!$I$2:$I$865,$A21,Calc_Actuals!$J$2:$J$865,VALUE(LEFT(I$17,4)),Calc_Actuals!$K$2:$K$865,VALUE(RIGHT(I$17,2)),Calc_Actuals!$C$2:$C$865,"Actual")</f>
        <v>172393.08</v>
      </c>
      <c r="J21" s="19" t="n">
        <f aca="false">SUMIFS(Calc_Actuals!$N$2:$N$865,Calc_Actuals!$I$2:$I$865,$A21,Calc_Actuals!$J$2:$J$865,VALUE(LEFT(J$17,4)),Calc_Actuals!$K$2:$K$865,VALUE(RIGHT(J$17,2)),Calc_Actuals!$C$2:$C$865,"Actual")</f>
        <v>222387.36</v>
      </c>
      <c r="K21" s="19" t="n">
        <f aca="false">SUMIFS(Calc_Actuals!$N$2:$N$865,Calc_Actuals!$I$2:$I$865,$A21,Calc_Actuals!$J$2:$J$865,VALUE(LEFT(K$17,4)),Calc_Actuals!$K$2:$K$865,VALUE(RIGHT(K$17,2)),Calc_Actuals!$C$2:$C$865,"Actual")</f>
        <v>192903.76</v>
      </c>
      <c r="L21" s="19" t="n">
        <f aca="false">SUMIFS(Calc_Actuals!$N$2:$N$865,Calc_Actuals!$I$2:$I$865,$A21,Calc_Actuals!$J$2:$J$865,VALUE(LEFT(L$17,4)),Calc_Actuals!$K$2:$K$865,VALUE(RIGHT(L$17,2)),Calc_Actuals!$C$2:$C$865,"Actual")</f>
        <v>183694.23</v>
      </c>
      <c r="M21" s="19" t="n">
        <f aca="false">SUMIFS(Calc_Actuals!$N$2:$N$865,Calc_Actuals!$I$2:$I$865,$A21,Calc_Actuals!$J$2:$J$865,VALUE(LEFT(M$17,4)),Calc_Actuals!$K$2:$K$865,VALUE(RIGHT(M$17,2)),Calc_Actuals!$C$2:$C$865,"Actual")</f>
        <v>186167.99</v>
      </c>
      <c r="N21" s="19" t="n">
        <f aca="false">SUMIFS(Calc_Actuals!$N$2:$N$865,Calc_Actuals!$I$2:$I$865,$A21,Calc_Actuals!$J$2:$J$865,VALUE(LEFT(N$17,4)),Calc_Actuals!$K$2:$K$865,VALUE(RIGHT(N$17,2)),Calc_Actuals!$C$2:$C$865,"Actual")</f>
        <v>227015.45</v>
      </c>
      <c r="O21" s="19" t="n">
        <f aca="false">SUMIFS(Calc_Actuals!$N$2:$N$865,Calc_Actuals!$I$2:$I$865,$A21,Calc_Actuals!$J$2:$J$865,VALUE(LEFT(O$17,4)),Calc_Actuals!$K$2:$K$865,VALUE(RIGHT(O$17,2)),Calc_Actuals!$C$2:$C$865,"Actual")</f>
        <v>210220.71</v>
      </c>
      <c r="P21" s="19" t="n">
        <f aca="false">SUMIFS(Calc_Actuals!$N$2:$N$865,Calc_Actuals!$I$2:$I$865,$A21,Calc_Actuals!$J$2:$J$865,VALUE(LEFT(P$17,4)),Calc_Actuals!$K$2:$K$865,VALUE(RIGHT(P$17,2)),Calc_Actuals!$C$2:$C$865,"Actual")</f>
        <v>218497.8</v>
      </c>
      <c r="Q21" s="19" t="n">
        <f aca="false">SUMIFS(Calc_Actuals!$N$2:$N$865,Calc_Actuals!$I$2:$I$865,$A21,Calc_Actuals!$J$2:$J$865,VALUE(LEFT(Q$17,4)),Calc_Actuals!$K$2:$K$865,VALUE(RIGHT(Q$17,2)),Calc_Actuals!$C$2:$C$865,"Actual")</f>
        <v>217410.9</v>
      </c>
      <c r="R21" s="19" t="n">
        <f aca="false">SUMIFS(Calc_Actuals!$N$2:$N$865,Calc_Actuals!$I$2:$I$865,$A21,Calc_Actuals!$J$2:$J$865,VALUE(LEFT(R$17,4)),Calc_Actuals!$K$2:$K$865,VALUE(RIGHT(R$17,2)),Calc_Actuals!$C$2:$C$865,"Actual")</f>
        <v>202778.32</v>
      </c>
      <c r="S21" s="19" t="n">
        <f aca="false">SUMIFS(Calc_Actuals!$N$2:$N$865,Calc_Actuals!$I$2:$I$865,$A21,Calc_Actuals!$J$2:$J$865,VALUE(LEFT(S$17,4)),Calc_Actuals!$K$2:$K$865,VALUE(RIGHT(S$17,2)),Calc_Actuals!$C$2:$C$865,"Actual")</f>
        <v>202539.46</v>
      </c>
      <c r="T21" s="19" t="n">
        <f aca="false">SUMIFS(Calc_Actuals!$N$2:$N$865,Calc_Actuals!$I$2:$I$865,$A21,Calc_Actuals!$J$2:$J$865,VALUE(LEFT(T$17,4)),Calc_Actuals!$K$2:$K$865,VALUE(RIGHT(T$17,2)),Calc_Actuals!$C$2:$C$865,"Actual")</f>
        <v>240432.18</v>
      </c>
      <c r="U21" s="19" t="n">
        <f aca="false">SUMIFS(Calc_Actuals!$N$2:$N$865,Calc_Actuals!$I$2:$I$865,$A21,Calc_Actuals!$J$2:$J$865,VALUE(LEFT(U$17,4)),Calc_Actuals!$K$2:$K$865,VALUE(RIGHT(U$17,2)),Calc_Actuals!$C$2:$C$865,"Actual")</f>
        <v>205757.66</v>
      </c>
      <c r="V21" s="19" t="n">
        <f aca="false">SUMIFS(Calc_Actuals!$N$2:$N$865,Calc_Actuals!$I$2:$I$865,$A21,Calc_Actuals!$J$2:$J$865,VALUE(LEFT(V$17,4)),Calc_Actuals!$K$2:$K$865,VALUE(RIGHT(V$17,2)),Calc_Actuals!$C$2:$C$865,"Actual")</f>
        <v>247661.21</v>
      </c>
      <c r="W21" s="31" t="n">
        <f aca="false">SUM(B21:V21)</f>
        <v>4437357.46</v>
      </c>
    </row>
    <row r="22" customFormat="false" ht="15" hidden="false" customHeight="false" outlineLevel="0" collapsed="false">
      <c r="A22" s="5" t="s">
        <v>115</v>
      </c>
      <c r="B22" s="19" t="n">
        <f aca="false">SUMIFS(Calc_Actuals!$N$2:$N$865,Calc_Actuals!$I$2:$I$865,$A22,Calc_Actuals!$J$2:$J$865,VALUE(LEFT(B$17,4)),Calc_Actuals!$K$2:$K$865,VALUE(RIGHT(B$17,2)),Calc_Actuals!$C$2:$C$865,"Actual")</f>
        <v>155341.3</v>
      </c>
      <c r="C22" s="19" t="n">
        <f aca="false">SUMIFS(Calc_Actuals!$N$2:$N$865,Calc_Actuals!$I$2:$I$865,$A22,Calc_Actuals!$J$2:$J$865,VALUE(LEFT(C$17,4)),Calc_Actuals!$K$2:$K$865,VALUE(RIGHT(C$17,2)),Calc_Actuals!$C$2:$C$865,"Actual")</f>
        <v>81395.26</v>
      </c>
      <c r="D22" s="19" t="n">
        <f aca="false">SUMIFS(Calc_Actuals!$N$2:$N$865,Calc_Actuals!$I$2:$I$865,$A22,Calc_Actuals!$J$2:$J$865,VALUE(LEFT(D$17,4)),Calc_Actuals!$K$2:$K$865,VALUE(RIGHT(D$17,2)),Calc_Actuals!$C$2:$C$865,"Actual")</f>
        <v>152950.65</v>
      </c>
      <c r="E22" s="19" t="n">
        <f aca="false">SUMIFS(Calc_Actuals!$N$2:$N$865,Calc_Actuals!$I$2:$I$865,$A22,Calc_Actuals!$J$2:$J$865,VALUE(LEFT(E$17,4)),Calc_Actuals!$K$2:$K$865,VALUE(RIGHT(E$17,2)),Calc_Actuals!$C$2:$C$865,"Actual")</f>
        <v>86332.45</v>
      </c>
      <c r="F22" s="19" t="n">
        <f aca="false">SUMIFS(Calc_Actuals!$N$2:$N$865,Calc_Actuals!$I$2:$I$865,$A22,Calc_Actuals!$J$2:$J$865,VALUE(LEFT(F$17,4)),Calc_Actuals!$K$2:$K$865,VALUE(RIGHT(F$17,2)),Calc_Actuals!$C$2:$C$865,"Actual")</f>
        <v>143328.16</v>
      </c>
      <c r="G22" s="19" t="n">
        <f aca="false">SUMIFS(Calc_Actuals!$N$2:$N$865,Calc_Actuals!$I$2:$I$865,$A22,Calc_Actuals!$J$2:$J$865,VALUE(LEFT(G$17,4)),Calc_Actuals!$K$2:$K$865,VALUE(RIGHT(G$17,2)),Calc_Actuals!$C$2:$C$865,"Actual")</f>
        <v>147409.38</v>
      </c>
      <c r="H22" s="19" t="n">
        <f aca="false">SUMIFS(Calc_Actuals!$N$2:$N$865,Calc_Actuals!$I$2:$I$865,$A22,Calc_Actuals!$J$2:$J$865,VALUE(LEFT(H$17,4)),Calc_Actuals!$K$2:$K$865,VALUE(RIGHT(H$17,2)),Calc_Actuals!$C$2:$C$865,"Actual")</f>
        <v>100492.44</v>
      </c>
      <c r="I22" s="19" t="n">
        <f aca="false">SUMIFS(Calc_Actuals!$N$2:$N$865,Calc_Actuals!$I$2:$I$865,$A22,Calc_Actuals!$J$2:$J$865,VALUE(LEFT(I$17,4)),Calc_Actuals!$K$2:$K$865,VALUE(RIGHT(I$17,2)),Calc_Actuals!$C$2:$C$865,"Actual")</f>
        <v>190777.44</v>
      </c>
      <c r="J22" s="19" t="n">
        <f aca="false">SUMIFS(Calc_Actuals!$N$2:$N$865,Calc_Actuals!$I$2:$I$865,$A22,Calc_Actuals!$J$2:$J$865,VALUE(LEFT(J$17,4)),Calc_Actuals!$K$2:$K$865,VALUE(RIGHT(J$17,2)),Calc_Actuals!$C$2:$C$865,"Actual")</f>
        <v>109433.18</v>
      </c>
      <c r="K22" s="19" t="n">
        <f aca="false">SUMIFS(Calc_Actuals!$N$2:$N$865,Calc_Actuals!$I$2:$I$865,$A22,Calc_Actuals!$J$2:$J$865,VALUE(LEFT(K$17,4)),Calc_Actuals!$K$2:$K$865,VALUE(RIGHT(K$17,2)),Calc_Actuals!$C$2:$C$865,"Actual")</f>
        <v>72021.2</v>
      </c>
      <c r="L22" s="19" t="n">
        <f aca="false">SUMIFS(Calc_Actuals!$N$2:$N$865,Calc_Actuals!$I$2:$I$865,$A22,Calc_Actuals!$J$2:$J$865,VALUE(LEFT(L$17,4)),Calc_Actuals!$K$2:$K$865,VALUE(RIGHT(L$17,2)),Calc_Actuals!$C$2:$C$865,"Actual")</f>
        <v>121366.76</v>
      </c>
      <c r="M22" s="19" t="n">
        <f aca="false">SUMIFS(Calc_Actuals!$N$2:$N$865,Calc_Actuals!$I$2:$I$865,$A22,Calc_Actuals!$J$2:$J$865,VALUE(LEFT(M$17,4)),Calc_Actuals!$K$2:$K$865,VALUE(RIGHT(M$17,2)),Calc_Actuals!$C$2:$C$865,"Actual")</f>
        <v>143656.36</v>
      </c>
      <c r="N22" s="19" t="n">
        <f aca="false">SUMIFS(Calc_Actuals!$N$2:$N$865,Calc_Actuals!$I$2:$I$865,$A22,Calc_Actuals!$J$2:$J$865,VALUE(LEFT(N$17,4)),Calc_Actuals!$K$2:$K$865,VALUE(RIGHT(N$17,2)),Calc_Actuals!$C$2:$C$865,"Actual")</f>
        <v>149716.39</v>
      </c>
      <c r="O22" s="19" t="n">
        <f aca="false">SUMIFS(Calc_Actuals!$N$2:$N$865,Calc_Actuals!$I$2:$I$865,$A22,Calc_Actuals!$J$2:$J$865,VALUE(LEFT(O$17,4)),Calc_Actuals!$K$2:$K$865,VALUE(RIGHT(O$17,2)),Calc_Actuals!$C$2:$C$865,"Actual")</f>
        <v>123278.7</v>
      </c>
      <c r="P22" s="19" t="n">
        <f aca="false">SUMIFS(Calc_Actuals!$N$2:$N$865,Calc_Actuals!$I$2:$I$865,$A22,Calc_Actuals!$J$2:$J$865,VALUE(LEFT(P$17,4)),Calc_Actuals!$K$2:$K$865,VALUE(RIGHT(P$17,2)),Calc_Actuals!$C$2:$C$865,"Actual")</f>
        <v>102416.79</v>
      </c>
      <c r="Q22" s="19" t="n">
        <f aca="false">SUMIFS(Calc_Actuals!$N$2:$N$865,Calc_Actuals!$I$2:$I$865,$A22,Calc_Actuals!$J$2:$J$865,VALUE(LEFT(Q$17,4)),Calc_Actuals!$K$2:$K$865,VALUE(RIGHT(Q$17,2)),Calc_Actuals!$C$2:$C$865,"Actual")</f>
        <v>157304.45</v>
      </c>
      <c r="R22" s="19" t="n">
        <f aca="false">SUMIFS(Calc_Actuals!$N$2:$N$865,Calc_Actuals!$I$2:$I$865,$A22,Calc_Actuals!$J$2:$J$865,VALUE(LEFT(R$17,4)),Calc_Actuals!$K$2:$K$865,VALUE(RIGHT(R$17,2)),Calc_Actuals!$C$2:$C$865,"Actual")</f>
        <v>129094.37</v>
      </c>
      <c r="S22" s="19" t="n">
        <f aca="false">SUMIFS(Calc_Actuals!$N$2:$N$865,Calc_Actuals!$I$2:$I$865,$A22,Calc_Actuals!$J$2:$J$865,VALUE(LEFT(S$17,4)),Calc_Actuals!$K$2:$K$865,VALUE(RIGHT(S$17,2)),Calc_Actuals!$C$2:$C$865,"Actual")</f>
        <v>100821.98</v>
      </c>
      <c r="T22" s="19" t="n">
        <f aca="false">SUMIFS(Calc_Actuals!$N$2:$N$865,Calc_Actuals!$I$2:$I$865,$A22,Calc_Actuals!$J$2:$J$865,VALUE(LEFT(T$17,4)),Calc_Actuals!$K$2:$K$865,VALUE(RIGHT(T$17,2)),Calc_Actuals!$C$2:$C$865,"Actual")</f>
        <v>150030.12</v>
      </c>
      <c r="U22" s="19" t="n">
        <f aca="false">SUMIFS(Calc_Actuals!$N$2:$N$865,Calc_Actuals!$I$2:$I$865,$A22,Calc_Actuals!$J$2:$J$865,VALUE(LEFT(U$17,4)),Calc_Actuals!$K$2:$K$865,VALUE(RIGHT(U$17,2)),Calc_Actuals!$C$2:$C$865,"Actual")</f>
        <v>117079.57</v>
      </c>
      <c r="V22" s="19" t="n">
        <f aca="false">SUMIFS(Calc_Actuals!$N$2:$N$865,Calc_Actuals!$I$2:$I$865,$A22,Calc_Actuals!$J$2:$J$865,VALUE(LEFT(V$17,4)),Calc_Actuals!$K$2:$K$865,VALUE(RIGHT(V$17,2)),Calc_Actuals!$C$2:$C$865,"Actual")</f>
        <v>164769.1</v>
      </c>
      <c r="W22" s="31" t="n">
        <f aca="false">SUM(B22:V22)</f>
        <v>2699016.05</v>
      </c>
    </row>
    <row r="23" customFormat="false" ht="15" hidden="false" customHeight="false" outlineLevel="0" collapsed="false">
      <c r="A23" s="5" t="s">
        <v>117</v>
      </c>
      <c r="B23" s="19" t="n">
        <f aca="false">SUMIFS(Calc_Actuals!$N$2:$N$865,Calc_Actuals!$I$2:$I$865,$A23,Calc_Actuals!$J$2:$J$865,VALUE(LEFT(B$17,4)),Calc_Actuals!$K$2:$K$865,VALUE(RIGHT(B$17,2)),Calc_Actuals!$C$2:$C$865,"Actual")</f>
        <v>229961.73</v>
      </c>
      <c r="C23" s="19" t="n">
        <f aca="false">SUMIFS(Calc_Actuals!$N$2:$N$865,Calc_Actuals!$I$2:$I$865,$A23,Calc_Actuals!$J$2:$J$865,VALUE(LEFT(C$17,4)),Calc_Actuals!$K$2:$K$865,VALUE(RIGHT(C$17,2)),Calc_Actuals!$C$2:$C$865,"Actual")</f>
        <v>321823.65</v>
      </c>
      <c r="D23" s="19" t="n">
        <f aca="false">SUMIFS(Calc_Actuals!$N$2:$N$865,Calc_Actuals!$I$2:$I$865,$A23,Calc_Actuals!$J$2:$J$865,VALUE(LEFT(D$17,4)),Calc_Actuals!$K$2:$K$865,VALUE(RIGHT(D$17,2)),Calc_Actuals!$C$2:$C$865,"Actual")</f>
        <v>214770.73</v>
      </c>
      <c r="E23" s="19" t="n">
        <f aca="false">SUMIFS(Calc_Actuals!$N$2:$N$865,Calc_Actuals!$I$2:$I$865,$A23,Calc_Actuals!$J$2:$J$865,VALUE(LEFT(E$17,4)),Calc_Actuals!$K$2:$K$865,VALUE(RIGHT(E$17,2)),Calc_Actuals!$C$2:$C$865,"Actual")</f>
        <v>301493.96</v>
      </c>
      <c r="F23" s="19" t="n">
        <f aca="false">SUMIFS(Calc_Actuals!$N$2:$N$865,Calc_Actuals!$I$2:$I$865,$A23,Calc_Actuals!$J$2:$J$865,VALUE(LEFT(F$17,4)),Calc_Actuals!$K$2:$K$865,VALUE(RIGHT(F$17,2)),Calc_Actuals!$C$2:$C$865,"Actual")</f>
        <v>171094.54</v>
      </c>
      <c r="G23" s="19" t="n">
        <f aca="false">SUMIFS(Calc_Actuals!$N$2:$N$865,Calc_Actuals!$I$2:$I$865,$A23,Calc_Actuals!$J$2:$J$865,VALUE(LEFT(G$17,4)),Calc_Actuals!$K$2:$K$865,VALUE(RIGHT(G$17,2)),Calc_Actuals!$C$2:$C$865,"Actual")</f>
        <v>393967.81</v>
      </c>
      <c r="H23" s="19" t="n">
        <f aca="false">SUMIFS(Calc_Actuals!$N$2:$N$865,Calc_Actuals!$I$2:$I$865,$A23,Calc_Actuals!$J$2:$J$865,VALUE(LEFT(H$17,4)),Calc_Actuals!$K$2:$K$865,VALUE(RIGHT(H$17,2)),Calc_Actuals!$C$2:$C$865,"Actual")</f>
        <v>394344.3</v>
      </c>
      <c r="I23" s="19" t="n">
        <f aca="false">SUMIFS(Calc_Actuals!$N$2:$N$865,Calc_Actuals!$I$2:$I$865,$A23,Calc_Actuals!$J$2:$J$865,VALUE(LEFT(I$17,4)),Calc_Actuals!$K$2:$K$865,VALUE(RIGHT(I$17,2)),Calc_Actuals!$C$2:$C$865,"Actual")</f>
        <v>212444.11</v>
      </c>
      <c r="J23" s="19" t="n">
        <f aca="false">SUMIFS(Calc_Actuals!$N$2:$N$865,Calc_Actuals!$I$2:$I$865,$A23,Calc_Actuals!$J$2:$J$865,VALUE(LEFT(J$17,4)),Calc_Actuals!$K$2:$K$865,VALUE(RIGHT(J$17,2)),Calc_Actuals!$C$2:$C$865,"Actual")</f>
        <v>251354.97</v>
      </c>
      <c r="K23" s="19" t="n">
        <f aca="false">SUMIFS(Calc_Actuals!$N$2:$N$865,Calc_Actuals!$I$2:$I$865,$A23,Calc_Actuals!$J$2:$J$865,VALUE(LEFT(K$17,4)),Calc_Actuals!$K$2:$K$865,VALUE(RIGHT(K$17,2)),Calc_Actuals!$C$2:$C$865,"Actual")</f>
        <v>181328.77</v>
      </c>
      <c r="L23" s="19" t="n">
        <f aca="false">SUMIFS(Calc_Actuals!$N$2:$N$865,Calc_Actuals!$I$2:$I$865,$A23,Calc_Actuals!$J$2:$J$865,VALUE(LEFT(L$17,4)),Calc_Actuals!$K$2:$K$865,VALUE(RIGHT(L$17,2)),Calc_Actuals!$C$2:$C$865,"Actual")</f>
        <v>307665.04</v>
      </c>
      <c r="M23" s="19" t="n">
        <f aca="false">SUMIFS(Calc_Actuals!$N$2:$N$865,Calc_Actuals!$I$2:$I$865,$A23,Calc_Actuals!$J$2:$J$865,VALUE(LEFT(M$17,4)),Calc_Actuals!$K$2:$K$865,VALUE(RIGHT(M$17,2)),Calc_Actuals!$C$2:$C$865,"Actual")</f>
        <v>455119.53</v>
      </c>
      <c r="N23" s="19" t="n">
        <f aca="false">SUMIFS(Calc_Actuals!$N$2:$N$865,Calc_Actuals!$I$2:$I$865,$A23,Calc_Actuals!$J$2:$J$865,VALUE(LEFT(N$17,4)),Calc_Actuals!$K$2:$K$865,VALUE(RIGHT(N$17,2)),Calc_Actuals!$C$2:$C$865,"Actual")</f>
        <v>290655.1</v>
      </c>
      <c r="O23" s="19" t="n">
        <f aca="false">SUMIFS(Calc_Actuals!$N$2:$N$865,Calc_Actuals!$I$2:$I$865,$A23,Calc_Actuals!$J$2:$J$865,VALUE(LEFT(O$17,4)),Calc_Actuals!$K$2:$K$865,VALUE(RIGHT(O$17,2)),Calc_Actuals!$C$2:$C$865,"Actual")</f>
        <v>333024.4</v>
      </c>
      <c r="P23" s="19" t="n">
        <f aca="false">SUMIFS(Calc_Actuals!$N$2:$N$865,Calc_Actuals!$I$2:$I$865,$A23,Calc_Actuals!$J$2:$J$865,VALUE(LEFT(P$17,4)),Calc_Actuals!$K$2:$K$865,VALUE(RIGHT(P$17,2)),Calc_Actuals!$C$2:$C$865,"Actual")</f>
        <v>364816.01</v>
      </c>
      <c r="Q23" s="19" t="n">
        <f aca="false">SUMIFS(Calc_Actuals!$N$2:$N$865,Calc_Actuals!$I$2:$I$865,$A23,Calc_Actuals!$J$2:$J$865,VALUE(LEFT(Q$17,4)),Calc_Actuals!$K$2:$K$865,VALUE(RIGHT(Q$17,2)),Calc_Actuals!$C$2:$C$865,"Actual")</f>
        <v>335351.82</v>
      </c>
      <c r="R23" s="19" t="n">
        <f aca="false">SUMIFS(Calc_Actuals!$N$2:$N$865,Calc_Actuals!$I$2:$I$865,$A23,Calc_Actuals!$J$2:$J$865,VALUE(LEFT(R$17,4)),Calc_Actuals!$K$2:$K$865,VALUE(RIGHT(R$17,2)),Calc_Actuals!$C$2:$C$865,"Actual")</f>
        <v>341018.33</v>
      </c>
      <c r="S23" s="19" t="n">
        <f aca="false">SUMIFS(Calc_Actuals!$N$2:$N$865,Calc_Actuals!$I$2:$I$865,$A23,Calc_Actuals!$J$2:$J$865,VALUE(LEFT(S$17,4)),Calc_Actuals!$K$2:$K$865,VALUE(RIGHT(S$17,2)),Calc_Actuals!$C$2:$C$865,"Actual")</f>
        <v>319672.7</v>
      </c>
      <c r="T23" s="19" t="n">
        <f aca="false">SUMIFS(Calc_Actuals!$N$2:$N$865,Calc_Actuals!$I$2:$I$865,$A23,Calc_Actuals!$J$2:$J$865,VALUE(LEFT(T$17,4)),Calc_Actuals!$K$2:$K$865,VALUE(RIGHT(T$17,2)),Calc_Actuals!$C$2:$C$865,"Actual")</f>
        <v>317535.06</v>
      </c>
      <c r="U23" s="19" t="n">
        <f aca="false">SUMIFS(Calc_Actuals!$N$2:$N$865,Calc_Actuals!$I$2:$I$865,$A23,Calc_Actuals!$J$2:$J$865,VALUE(LEFT(U$17,4)),Calc_Actuals!$K$2:$K$865,VALUE(RIGHT(U$17,2)),Calc_Actuals!$C$2:$C$865,"Actual")</f>
        <v>340861.98</v>
      </c>
      <c r="V23" s="19" t="n">
        <f aca="false">SUMIFS(Calc_Actuals!$N$2:$N$865,Calc_Actuals!$I$2:$I$865,$A23,Calc_Actuals!$J$2:$J$865,VALUE(LEFT(V$17,4)),Calc_Actuals!$K$2:$K$865,VALUE(RIGHT(V$17,2)),Calc_Actuals!$C$2:$C$865,"Actual")</f>
        <v>285131.21</v>
      </c>
      <c r="W23" s="31" t="n">
        <f aca="false">SUM(B23:V23)</f>
        <v>6363435.75</v>
      </c>
    </row>
    <row r="24" customFormat="false" ht="15" hidden="false" customHeight="false" outlineLevel="0" collapsed="false">
      <c r="A24" s="5" t="s">
        <v>118</v>
      </c>
      <c r="B24" s="19" t="n">
        <f aca="false">SUMIFS(Calc_Actuals!$N$2:$N$865,Calc_Actuals!$I$2:$I$865,$A24,Calc_Actuals!$J$2:$J$865,VALUE(LEFT(B$17,4)),Calc_Actuals!$K$2:$K$865,VALUE(RIGHT(B$17,2)),Calc_Actuals!$C$2:$C$865,"Actual")</f>
        <v>246729.6</v>
      </c>
      <c r="C24" s="19" t="n">
        <f aca="false">SUMIFS(Calc_Actuals!$N$2:$N$865,Calc_Actuals!$I$2:$I$865,$A24,Calc_Actuals!$J$2:$J$865,VALUE(LEFT(C$17,4)),Calc_Actuals!$K$2:$K$865,VALUE(RIGHT(C$17,2)),Calc_Actuals!$C$2:$C$865,"Actual")</f>
        <v>335197.24</v>
      </c>
      <c r="D24" s="19" t="n">
        <f aca="false">SUMIFS(Calc_Actuals!$N$2:$N$865,Calc_Actuals!$I$2:$I$865,$A24,Calc_Actuals!$J$2:$J$865,VALUE(LEFT(D$17,4)),Calc_Actuals!$K$2:$K$865,VALUE(RIGHT(D$17,2)),Calc_Actuals!$C$2:$C$865,"Actual")</f>
        <v>205442.73</v>
      </c>
      <c r="E24" s="19" t="n">
        <f aca="false">SUMIFS(Calc_Actuals!$N$2:$N$865,Calc_Actuals!$I$2:$I$865,$A24,Calc_Actuals!$J$2:$J$865,VALUE(LEFT(E$17,4)),Calc_Actuals!$K$2:$K$865,VALUE(RIGHT(E$17,2)),Calc_Actuals!$C$2:$C$865,"Actual")</f>
        <v>154142.05</v>
      </c>
      <c r="F24" s="19" t="n">
        <f aca="false">SUMIFS(Calc_Actuals!$N$2:$N$865,Calc_Actuals!$I$2:$I$865,$A24,Calc_Actuals!$J$2:$J$865,VALUE(LEFT(F$17,4)),Calc_Actuals!$K$2:$K$865,VALUE(RIGHT(F$17,2)),Calc_Actuals!$C$2:$C$865,"Actual")</f>
        <v>209899.91</v>
      </c>
      <c r="G24" s="19" t="n">
        <f aca="false">SUMIFS(Calc_Actuals!$N$2:$N$865,Calc_Actuals!$I$2:$I$865,$A24,Calc_Actuals!$J$2:$J$865,VALUE(LEFT(G$17,4)),Calc_Actuals!$K$2:$K$865,VALUE(RIGHT(G$17,2)),Calc_Actuals!$C$2:$C$865,"Actual")</f>
        <v>243495.66</v>
      </c>
      <c r="H24" s="19" t="n">
        <f aca="false">SUMIFS(Calc_Actuals!$N$2:$N$865,Calc_Actuals!$I$2:$I$865,$A24,Calc_Actuals!$J$2:$J$865,VALUE(LEFT(H$17,4)),Calc_Actuals!$K$2:$K$865,VALUE(RIGHT(H$17,2)),Calc_Actuals!$C$2:$C$865,"Actual")</f>
        <v>237881.78</v>
      </c>
      <c r="I24" s="19" t="n">
        <f aca="false">SUMIFS(Calc_Actuals!$N$2:$N$865,Calc_Actuals!$I$2:$I$865,$A24,Calc_Actuals!$J$2:$J$865,VALUE(LEFT(I$17,4)),Calc_Actuals!$K$2:$K$865,VALUE(RIGHT(I$17,2)),Calc_Actuals!$C$2:$C$865,"Actual")</f>
        <v>240040.64</v>
      </c>
      <c r="J24" s="19" t="n">
        <f aca="false">SUMIFS(Calc_Actuals!$N$2:$N$865,Calc_Actuals!$I$2:$I$865,$A24,Calc_Actuals!$J$2:$J$865,VALUE(LEFT(J$17,4)),Calc_Actuals!$K$2:$K$865,VALUE(RIGHT(J$17,2)),Calc_Actuals!$C$2:$C$865,"Actual")</f>
        <v>204141.5</v>
      </c>
      <c r="K24" s="19" t="n">
        <f aca="false">SUMIFS(Calc_Actuals!$N$2:$N$865,Calc_Actuals!$I$2:$I$865,$A24,Calc_Actuals!$J$2:$J$865,VALUE(LEFT(K$17,4)),Calc_Actuals!$K$2:$K$865,VALUE(RIGHT(K$17,2)),Calc_Actuals!$C$2:$C$865,"Actual")</f>
        <v>204375.68</v>
      </c>
      <c r="L24" s="19" t="n">
        <f aca="false">SUMIFS(Calc_Actuals!$N$2:$N$865,Calc_Actuals!$I$2:$I$865,$A24,Calc_Actuals!$J$2:$J$865,VALUE(LEFT(L$17,4)),Calc_Actuals!$K$2:$K$865,VALUE(RIGHT(L$17,2)),Calc_Actuals!$C$2:$C$865,"Actual")</f>
        <v>184428.82</v>
      </c>
      <c r="M24" s="19" t="n">
        <f aca="false">SUMIFS(Calc_Actuals!$N$2:$N$865,Calc_Actuals!$I$2:$I$865,$A24,Calc_Actuals!$J$2:$J$865,VALUE(LEFT(M$17,4)),Calc_Actuals!$K$2:$K$865,VALUE(RIGHT(M$17,2)),Calc_Actuals!$C$2:$C$865,"Actual")</f>
        <v>188745.42</v>
      </c>
      <c r="N24" s="19" t="n">
        <f aca="false">SUMIFS(Calc_Actuals!$N$2:$N$865,Calc_Actuals!$I$2:$I$865,$A24,Calc_Actuals!$J$2:$J$865,VALUE(LEFT(N$17,4)),Calc_Actuals!$K$2:$K$865,VALUE(RIGHT(N$17,2)),Calc_Actuals!$C$2:$C$865,"Actual")</f>
        <v>243151.55</v>
      </c>
      <c r="O24" s="19" t="n">
        <f aca="false">SUMIFS(Calc_Actuals!$N$2:$N$865,Calc_Actuals!$I$2:$I$865,$A24,Calc_Actuals!$J$2:$J$865,VALUE(LEFT(O$17,4)),Calc_Actuals!$K$2:$K$865,VALUE(RIGHT(O$17,2)),Calc_Actuals!$C$2:$C$865,"Actual")</f>
        <v>191863.73</v>
      </c>
      <c r="P24" s="19" t="n">
        <f aca="false">SUMIFS(Calc_Actuals!$N$2:$N$865,Calc_Actuals!$I$2:$I$865,$A24,Calc_Actuals!$J$2:$J$865,VALUE(LEFT(P$17,4)),Calc_Actuals!$K$2:$K$865,VALUE(RIGHT(P$17,2)),Calc_Actuals!$C$2:$C$865,"Actual")</f>
        <v>264744.28</v>
      </c>
      <c r="Q24" s="19" t="n">
        <f aca="false">SUMIFS(Calc_Actuals!$N$2:$N$865,Calc_Actuals!$I$2:$I$865,$A24,Calc_Actuals!$J$2:$J$865,VALUE(LEFT(Q$17,4)),Calc_Actuals!$K$2:$K$865,VALUE(RIGHT(Q$17,2)),Calc_Actuals!$C$2:$C$865,"Actual")</f>
        <v>248188.14</v>
      </c>
      <c r="R24" s="19" t="n">
        <f aca="false">SUMIFS(Calc_Actuals!$N$2:$N$865,Calc_Actuals!$I$2:$I$865,$A24,Calc_Actuals!$J$2:$J$865,VALUE(LEFT(R$17,4)),Calc_Actuals!$K$2:$K$865,VALUE(RIGHT(R$17,2)),Calc_Actuals!$C$2:$C$865,"Actual")</f>
        <v>243940.15</v>
      </c>
      <c r="S24" s="19" t="n">
        <f aca="false">SUMIFS(Calc_Actuals!$N$2:$N$865,Calc_Actuals!$I$2:$I$865,$A24,Calc_Actuals!$J$2:$J$865,VALUE(LEFT(S$17,4)),Calc_Actuals!$K$2:$K$865,VALUE(RIGHT(S$17,2)),Calc_Actuals!$C$2:$C$865,"Actual")</f>
        <v>218326.74</v>
      </c>
      <c r="T24" s="19" t="n">
        <f aca="false">SUMIFS(Calc_Actuals!$N$2:$N$865,Calc_Actuals!$I$2:$I$865,$A24,Calc_Actuals!$J$2:$J$865,VALUE(LEFT(T$17,4)),Calc_Actuals!$K$2:$K$865,VALUE(RIGHT(T$17,2)),Calc_Actuals!$C$2:$C$865,"Actual")</f>
        <v>221581.74</v>
      </c>
      <c r="U24" s="19" t="n">
        <f aca="false">SUMIFS(Calc_Actuals!$N$2:$N$865,Calc_Actuals!$I$2:$I$865,$A24,Calc_Actuals!$J$2:$J$865,VALUE(LEFT(U$17,4)),Calc_Actuals!$K$2:$K$865,VALUE(RIGHT(U$17,2)),Calc_Actuals!$C$2:$C$865,"Actual")</f>
        <v>198979.95</v>
      </c>
      <c r="V24" s="19" t="n">
        <f aca="false">SUMIFS(Calc_Actuals!$N$2:$N$865,Calc_Actuals!$I$2:$I$865,$A24,Calc_Actuals!$J$2:$J$865,VALUE(LEFT(V$17,4)),Calc_Actuals!$K$2:$K$865,VALUE(RIGHT(V$17,2)),Calc_Actuals!$C$2:$C$865,"Actual")</f>
        <v>147811.88</v>
      </c>
      <c r="W24" s="31" t="n">
        <f aca="false">SUM(B24:V24)</f>
        <v>4633109.19</v>
      </c>
    </row>
    <row r="25" customFormat="false" ht="15" hidden="false" customHeight="false" outlineLevel="0" collapsed="false">
      <c r="A25" s="5" t="s">
        <v>119</v>
      </c>
      <c r="B25" s="19" t="n">
        <f aca="false">SUMIFS(Calc_Actuals!$N$2:$N$865,Calc_Actuals!$I$2:$I$865,$A25,Calc_Actuals!$J$2:$J$865,VALUE(LEFT(B$17,4)),Calc_Actuals!$K$2:$K$865,VALUE(RIGHT(B$17,2)),Calc_Actuals!$C$2:$C$865,"Actual")</f>
        <v>536565.81</v>
      </c>
      <c r="C25" s="19" t="n">
        <f aca="false">SUMIFS(Calc_Actuals!$N$2:$N$865,Calc_Actuals!$I$2:$I$865,$A25,Calc_Actuals!$J$2:$J$865,VALUE(LEFT(C$17,4)),Calc_Actuals!$K$2:$K$865,VALUE(RIGHT(C$17,2)),Calc_Actuals!$C$2:$C$865,"Actual")</f>
        <v>472893.8</v>
      </c>
      <c r="D25" s="19" t="n">
        <f aca="false">SUMIFS(Calc_Actuals!$N$2:$N$865,Calc_Actuals!$I$2:$I$865,$A25,Calc_Actuals!$J$2:$J$865,VALUE(LEFT(D$17,4)),Calc_Actuals!$K$2:$K$865,VALUE(RIGHT(D$17,2)),Calc_Actuals!$C$2:$C$865,"Actual")</f>
        <v>462425.65</v>
      </c>
      <c r="E25" s="19" t="n">
        <f aca="false">SUMIFS(Calc_Actuals!$N$2:$N$865,Calc_Actuals!$I$2:$I$865,$A25,Calc_Actuals!$J$2:$J$865,VALUE(LEFT(E$17,4)),Calc_Actuals!$K$2:$K$865,VALUE(RIGHT(E$17,2)),Calc_Actuals!$C$2:$C$865,"Actual")</f>
        <v>453676.8</v>
      </c>
      <c r="F25" s="19" t="n">
        <f aca="false">SUMIFS(Calc_Actuals!$N$2:$N$865,Calc_Actuals!$I$2:$I$865,$A25,Calc_Actuals!$J$2:$J$865,VALUE(LEFT(F$17,4)),Calc_Actuals!$K$2:$K$865,VALUE(RIGHT(F$17,2)),Calc_Actuals!$C$2:$C$865,"Actual")</f>
        <v>298399.16</v>
      </c>
      <c r="G25" s="19" t="n">
        <f aca="false">SUMIFS(Calc_Actuals!$N$2:$N$865,Calc_Actuals!$I$2:$I$865,$A25,Calc_Actuals!$J$2:$J$865,VALUE(LEFT(G$17,4)),Calc_Actuals!$K$2:$K$865,VALUE(RIGHT(G$17,2)),Calc_Actuals!$C$2:$C$865,"Actual")</f>
        <v>326192.49</v>
      </c>
      <c r="H25" s="19" t="n">
        <f aca="false">SUMIFS(Calc_Actuals!$N$2:$N$865,Calc_Actuals!$I$2:$I$865,$A25,Calc_Actuals!$J$2:$J$865,VALUE(LEFT(H$17,4)),Calc_Actuals!$K$2:$K$865,VALUE(RIGHT(H$17,2)),Calc_Actuals!$C$2:$C$865,"Actual")</f>
        <v>449164.68</v>
      </c>
      <c r="I25" s="19" t="n">
        <f aca="false">SUMIFS(Calc_Actuals!$N$2:$N$865,Calc_Actuals!$I$2:$I$865,$A25,Calc_Actuals!$J$2:$J$865,VALUE(LEFT(I$17,4)),Calc_Actuals!$K$2:$K$865,VALUE(RIGHT(I$17,2)),Calc_Actuals!$C$2:$C$865,"Actual")</f>
        <v>517193.67</v>
      </c>
      <c r="J25" s="19" t="n">
        <f aca="false">SUMIFS(Calc_Actuals!$N$2:$N$865,Calc_Actuals!$I$2:$I$865,$A25,Calc_Actuals!$J$2:$J$865,VALUE(LEFT(J$17,4)),Calc_Actuals!$K$2:$K$865,VALUE(RIGHT(J$17,2)),Calc_Actuals!$C$2:$C$865,"Actual")</f>
        <v>363221.76</v>
      </c>
      <c r="K25" s="19" t="n">
        <f aca="false">SUMIFS(Calc_Actuals!$N$2:$N$865,Calc_Actuals!$I$2:$I$865,$A25,Calc_Actuals!$J$2:$J$865,VALUE(LEFT(K$17,4)),Calc_Actuals!$K$2:$K$865,VALUE(RIGHT(K$17,2)),Calc_Actuals!$C$2:$C$865,"Actual")</f>
        <v>354730.77</v>
      </c>
      <c r="L25" s="19" t="n">
        <f aca="false">SUMIFS(Calc_Actuals!$N$2:$N$865,Calc_Actuals!$I$2:$I$865,$A25,Calc_Actuals!$J$2:$J$865,VALUE(LEFT(L$17,4)),Calc_Actuals!$K$2:$K$865,VALUE(RIGHT(L$17,2)),Calc_Actuals!$C$2:$C$865,"Actual")</f>
        <v>413296.75</v>
      </c>
      <c r="M25" s="19" t="n">
        <f aca="false">SUMIFS(Calc_Actuals!$N$2:$N$865,Calc_Actuals!$I$2:$I$865,$A25,Calc_Actuals!$J$2:$J$865,VALUE(LEFT(M$17,4)),Calc_Actuals!$K$2:$K$865,VALUE(RIGHT(M$17,2)),Calc_Actuals!$C$2:$C$865,"Actual")</f>
        <v>384659.91</v>
      </c>
      <c r="N25" s="19" t="n">
        <f aca="false">SUMIFS(Calc_Actuals!$N$2:$N$865,Calc_Actuals!$I$2:$I$865,$A25,Calc_Actuals!$J$2:$J$865,VALUE(LEFT(N$17,4)),Calc_Actuals!$K$2:$K$865,VALUE(RIGHT(N$17,2)),Calc_Actuals!$C$2:$C$865,"Actual")</f>
        <v>312823.34</v>
      </c>
      <c r="O25" s="19" t="n">
        <f aca="false">SUMIFS(Calc_Actuals!$N$2:$N$865,Calc_Actuals!$I$2:$I$865,$A25,Calc_Actuals!$J$2:$J$865,VALUE(LEFT(O$17,4)),Calc_Actuals!$K$2:$K$865,VALUE(RIGHT(O$17,2)),Calc_Actuals!$C$2:$C$865,"Actual")</f>
        <v>360158.64</v>
      </c>
      <c r="P25" s="19" t="n">
        <f aca="false">SUMIFS(Calc_Actuals!$N$2:$N$865,Calc_Actuals!$I$2:$I$865,$A25,Calc_Actuals!$J$2:$J$865,VALUE(LEFT(P$17,4)),Calc_Actuals!$K$2:$K$865,VALUE(RIGHT(P$17,2)),Calc_Actuals!$C$2:$C$865,"Actual")</f>
        <v>291598.97</v>
      </c>
      <c r="Q25" s="19" t="n">
        <f aca="false">SUMIFS(Calc_Actuals!$N$2:$N$865,Calc_Actuals!$I$2:$I$865,$A25,Calc_Actuals!$J$2:$J$865,VALUE(LEFT(Q$17,4)),Calc_Actuals!$K$2:$K$865,VALUE(RIGHT(Q$17,2)),Calc_Actuals!$C$2:$C$865,"Actual")</f>
        <v>318282.4</v>
      </c>
      <c r="R25" s="19" t="n">
        <f aca="false">SUMIFS(Calc_Actuals!$N$2:$N$865,Calc_Actuals!$I$2:$I$865,$A25,Calc_Actuals!$J$2:$J$865,VALUE(LEFT(R$17,4)),Calc_Actuals!$K$2:$K$865,VALUE(RIGHT(R$17,2)),Calc_Actuals!$C$2:$C$865,"Actual")</f>
        <v>429113.26</v>
      </c>
      <c r="S25" s="19" t="n">
        <f aca="false">SUMIFS(Calc_Actuals!$N$2:$N$865,Calc_Actuals!$I$2:$I$865,$A25,Calc_Actuals!$J$2:$J$865,VALUE(LEFT(S$17,4)),Calc_Actuals!$K$2:$K$865,VALUE(RIGHT(S$17,2)),Calc_Actuals!$C$2:$C$865,"Actual")</f>
        <v>262868.13</v>
      </c>
      <c r="T25" s="19" t="n">
        <f aca="false">SUMIFS(Calc_Actuals!$N$2:$N$865,Calc_Actuals!$I$2:$I$865,$A25,Calc_Actuals!$J$2:$J$865,VALUE(LEFT(T$17,4)),Calc_Actuals!$K$2:$K$865,VALUE(RIGHT(T$17,2)),Calc_Actuals!$C$2:$C$865,"Actual")</f>
        <v>430690.92</v>
      </c>
      <c r="U25" s="19" t="n">
        <f aca="false">SUMIFS(Calc_Actuals!$N$2:$N$865,Calc_Actuals!$I$2:$I$865,$A25,Calc_Actuals!$J$2:$J$865,VALUE(LEFT(U$17,4)),Calc_Actuals!$K$2:$K$865,VALUE(RIGHT(U$17,2)),Calc_Actuals!$C$2:$C$865,"Actual")</f>
        <v>258145.38</v>
      </c>
      <c r="V25" s="19" t="n">
        <f aca="false">SUMIFS(Calc_Actuals!$N$2:$N$865,Calc_Actuals!$I$2:$I$865,$A25,Calc_Actuals!$J$2:$J$865,VALUE(LEFT(V$17,4)),Calc_Actuals!$K$2:$K$865,VALUE(RIGHT(V$17,2)),Calc_Actuals!$C$2:$C$865,"Actual")</f>
        <v>278891.26</v>
      </c>
      <c r="W25" s="31" t="n">
        <f aca="false">SUM(B25:V25)</f>
        <v>7974993.55</v>
      </c>
    </row>
    <row r="26" customFormat="false" ht="15" hidden="false" customHeight="false" outlineLevel="0" collapsed="false">
      <c r="A26" s="22" t="s">
        <v>103</v>
      </c>
      <c r="B26" s="25" t="n">
        <f aca="false">SUM(B18:B25)</f>
        <v>2235970.65</v>
      </c>
      <c r="C26" s="25" t="n">
        <f aca="false">SUM(C18:C25)</f>
        <v>2186134.57</v>
      </c>
      <c r="D26" s="25" t="n">
        <f aca="false">SUM(D18:D25)</f>
        <v>1892456.31</v>
      </c>
      <c r="E26" s="25" t="n">
        <f aca="false">SUM(E18:E25)</f>
        <v>2046367.5</v>
      </c>
      <c r="F26" s="25" t="n">
        <f aca="false">SUM(F18:F25)</f>
        <v>1854769</v>
      </c>
      <c r="G26" s="25" t="n">
        <f aca="false">SUM(G18:G25)</f>
        <v>2022308.48</v>
      </c>
      <c r="H26" s="25" t="n">
        <f aca="false">SUM(H18:H25)</f>
        <v>2118994.93</v>
      </c>
      <c r="I26" s="25" t="n">
        <f aca="false">SUM(I18:I25)</f>
        <v>2077890.72</v>
      </c>
      <c r="J26" s="25" t="n">
        <f aca="false">SUM(J18:J25)</f>
        <v>1987738.34</v>
      </c>
      <c r="K26" s="25" t="n">
        <f aca="false">SUM(K18:K25)</f>
        <v>1869248.17</v>
      </c>
      <c r="L26" s="25" t="n">
        <f aca="false">SUM(L18:L25)</f>
        <v>2011362.92</v>
      </c>
      <c r="M26" s="25" t="n">
        <f aca="false">SUM(M18:M25)</f>
        <v>2195809.83</v>
      </c>
      <c r="N26" s="25" t="n">
        <f aca="false">SUM(N18:N25)</f>
        <v>1873462.95</v>
      </c>
      <c r="O26" s="25" t="n">
        <f aca="false">SUM(O18:O25)</f>
        <v>2004732.02</v>
      </c>
      <c r="P26" s="25" t="n">
        <f aca="false">SUM(P18:P25)</f>
        <v>1984215.76</v>
      </c>
      <c r="Q26" s="25" t="n">
        <f aca="false">SUM(Q18:Q25)</f>
        <v>1938660.22</v>
      </c>
      <c r="R26" s="25" t="n">
        <f aca="false">SUM(R18:R25)</f>
        <v>2190614.59</v>
      </c>
      <c r="S26" s="25" t="n">
        <f aca="false">SUM(S18:S25)</f>
        <v>1949299.04</v>
      </c>
      <c r="T26" s="25" t="n">
        <f aca="false">SUM(T18:T25)</f>
        <v>2260040.79</v>
      </c>
      <c r="U26" s="25" t="n">
        <f aca="false">SUM(U18:U25)</f>
        <v>2055159.07</v>
      </c>
      <c r="V26" s="25" t="n">
        <f aca="false">SUM(V18:V25)</f>
        <v>1837789.44</v>
      </c>
      <c r="W26" s="25" t="n">
        <f aca="false">SUM(W18:W25)</f>
        <v>42593025.3</v>
      </c>
    </row>
    <row r="49" customFormat="false" ht="15" hidden="false" customHeight="false" outlineLevel="0" collapsed="false">
      <c r="A49" s="12" t="s">
        <v>121</v>
      </c>
    </row>
    <row r="50" customFormat="false" ht="31.5" hidden="false" customHeight="true" outlineLevel="0" collapsed="false">
      <c r="A50" s="4" t="s">
        <v>107</v>
      </c>
      <c r="B50" s="4"/>
      <c r="C50" s="4" t="s">
        <v>54</v>
      </c>
      <c r="D50" s="4" t="s">
        <v>55</v>
      </c>
      <c r="E50" s="4" t="s">
        <v>56</v>
      </c>
      <c r="F50" s="4" t="s">
        <v>57</v>
      </c>
      <c r="G50" s="4" t="s">
        <v>92</v>
      </c>
    </row>
    <row r="51" customFormat="false" ht="15" hidden="false" customHeight="false" outlineLevel="0" collapsed="false">
      <c r="A51" s="5" t="s">
        <v>116</v>
      </c>
      <c r="B51" s="17"/>
      <c r="C51" s="19" t="n">
        <f aca="false">SUMIFS(Calc_Actuals!$N$2:$N$865,Calc_Actuals!$H$2:$H$865,$A51,Calc_Actuals!$C$2:$C$865,"Actual")</f>
        <v>9062451.8</v>
      </c>
      <c r="D51" s="19" t="n">
        <f aca="false">SUMIFS(Calc_Actuals!$O$2:$O$865,Calc_Actuals!$H$2:$H$865,$A51,Calc_Actuals!$C$2:$C$865,"Actual")</f>
        <v>5942091.2</v>
      </c>
      <c r="E51" s="19" t="n">
        <f aca="false">C51-D51</f>
        <v>3120360.6</v>
      </c>
      <c r="F51" s="20" t="n">
        <f aca="false">IF(C51=0,"n/a",E51/C51)</f>
        <v>0.344317483707886</v>
      </c>
      <c r="G51" s="20" t="n">
        <f aca="false">C51/C$54</f>
        <v>0.212768445917365</v>
      </c>
    </row>
    <row r="52" customFormat="false" ht="15" hidden="false" customHeight="false" outlineLevel="0" collapsed="false">
      <c r="A52" s="5" t="s">
        <v>110</v>
      </c>
      <c r="B52" s="17"/>
      <c r="C52" s="19" t="n">
        <f aca="false">SUMIFS(Calc_Actuals!$N$2:$N$865,Calc_Actuals!$H$2:$H$865,$A52,Calc_Actuals!$C$2:$C$865,"Actual")</f>
        <v>13679821.46</v>
      </c>
      <c r="D52" s="19" t="n">
        <f aca="false">SUMIFS(Calc_Actuals!$O$2:$O$865,Calc_Actuals!$H$2:$H$865,$A52,Calc_Actuals!$C$2:$C$865,"Actual")</f>
        <v>8737405.22</v>
      </c>
      <c r="E52" s="19" t="n">
        <f aca="false">C52-D52</f>
        <v>4942416.24</v>
      </c>
      <c r="F52" s="20" t="n">
        <f aca="false">IF(C52=0,"n/a",E52/C52)</f>
        <v>0.36129245213117</v>
      </c>
      <c r="G52" s="20" t="n">
        <f aca="false">C52/C$54</f>
        <v>0.321175153998746</v>
      </c>
    </row>
    <row r="53" customFormat="false" ht="15" hidden="false" customHeight="false" outlineLevel="0" collapsed="false">
      <c r="A53" s="5" t="s">
        <v>113</v>
      </c>
      <c r="B53" s="17"/>
      <c r="C53" s="19" t="n">
        <f aca="false">SUMIFS(Calc_Actuals!$N$2:$N$865,Calc_Actuals!$H$2:$H$865,$A53,Calc_Actuals!$C$2:$C$865,"Actual")</f>
        <v>19850752.04</v>
      </c>
      <c r="D53" s="19" t="n">
        <f aca="false">SUMIFS(Calc_Actuals!$O$2:$O$865,Calc_Actuals!$H$2:$H$865,$A53,Calc_Actuals!$C$2:$C$865,"Actual")</f>
        <v>12701098.77</v>
      </c>
      <c r="E53" s="19" t="n">
        <f aca="false">C53-D53</f>
        <v>7149653.27</v>
      </c>
      <c r="F53" s="20" t="n">
        <f aca="false">IF(C53=0,"n/a",E53/C53)</f>
        <v>0.360170398360384</v>
      </c>
      <c r="G53" s="20" t="n">
        <f aca="false">C53/C$54</f>
        <v>0.466056400083889</v>
      </c>
    </row>
    <row r="54" customFormat="false" ht="15" hidden="false" customHeight="false" outlineLevel="0" collapsed="false">
      <c r="A54" s="22" t="s">
        <v>103</v>
      </c>
      <c r="B54" s="23"/>
      <c r="C54" s="25" t="n">
        <f aca="false">SUM(C51:C53)</f>
        <v>42593025.3</v>
      </c>
      <c r="D54" s="25" t="n">
        <f aca="false">SUM(D51:D53)</f>
        <v>27380595.19</v>
      </c>
      <c r="E54" s="25" t="n">
        <f aca="false">SUM(E51:E53)</f>
        <v>15212430.11</v>
      </c>
      <c r="F54" s="26" t="n">
        <f aca="false">E54/C54</f>
        <v>0.357157774139138</v>
      </c>
      <c r="G54" s="26" t="n">
        <f aca="false">SUM(G51:G53)</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I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0"/>
    <col collapsed="false" customWidth="true" hidden="false" outlineLevel="0" max="3" min="3" style="0" width="18"/>
    <col collapsed="false" customWidth="true" hidden="false" outlineLevel="0" max="4" min="4" style="0" width="22"/>
    <col collapsed="false" customWidth="true" hidden="false" outlineLevel="0" max="5" min="5" style="0" width="20"/>
    <col collapsed="false" customWidth="true" hidden="false" outlineLevel="0" max="6" min="6" style="0" width="18"/>
    <col collapsed="false" customWidth="true" hidden="false" outlineLevel="0" max="7" min="7" style="0" width="14"/>
    <col collapsed="false" customWidth="true" hidden="false" outlineLevel="0" max="8" min="8" style="0" width="54"/>
    <col collapsed="false" customWidth="true" hidden="false" outlineLevel="0" max="9" min="9" style="0" width="26"/>
  </cols>
  <sheetData>
    <row r="1" customFormat="false" ht="15" hidden="false" customHeight="false" outlineLevel="0" collapsed="false">
      <c r="A1" s="33" t="s">
        <v>122</v>
      </c>
    </row>
    <row r="2" customFormat="false" ht="15" hidden="false" customHeight="false" outlineLevel="0" collapsed="false">
      <c r="A2" s="2" t="s">
        <v>123</v>
      </c>
    </row>
    <row r="4" customFormat="false" ht="31.5" hidden="false" customHeight="true" outlineLevel="0" collapsed="false">
      <c r="A4" s="4" t="s">
        <v>50</v>
      </c>
      <c r="B4" s="4" t="s">
        <v>124</v>
      </c>
      <c r="C4" s="4" t="s">
        <v>125</v>
      </c>
      <c r="D4" s="4" t="s">
        <v>126</v>
      </c>
      <c r="E4" s="4" t="s">
        <v>127</v>
      </c>
      <c r="F4" s="4" t="s">
        <v>128</v>
      </c>
      <c r="G4" s="4" t="s">
        <v>129</v>
      </c>
      <c r="H4" s="4" t="s">
        <v>130</v>
      </c>
      <c r="I4" s="4" t="s">
        <v>131</v>
      </c>
    </row>
    <row r="5" customFormat="false" ht="15" hidden="false" customHeight="false" outlineLevel="0" collapsed="false">
      <c r="A5" s="17" t="s">
        <v>63</v>
      </c>
      <c r="B5" s="19" t="n">
        <f aca="false">SUMIFS(Budget_v2_Synthetic!$J$13:$J$300,Budget_v2_Synthetic!$G$13:$G$300,VALUE(LEFT($A5,4)),Budget_v2_Synthetic!$O$13:$O$300,VALUE(RIGHT($A5,2)),Budget_v2_Synthetic!$H$13:$H$300,1)</f>
        <v>2041587.61833333</v>
      </c>
      <c r="C5" s="19" t="n">
        <f aca="false">SUMIFS(Budget_v2_Synthetic!$M$13:$M$300,Budget_v2_Synthetic!$G$13:$G$300,VALUE(LEFT($A5,4)),Budget_v2_Synthetic!$O$13:$O$300,VALUE(RIGHT($A5,2)),Budget_v2_Synthetic!$H$13:$H$300,1)</f>
        <v>2235970.65</v>
      </c>
      <c r="D5" s="34" t="n">
        <f aca="false">C5-B5</f>
        <v>194383.031666667</v>
      </c>
      <c r="E5" s="29" t="n">
        <f aca="false">IF(B5=0,"n/a",D5/B5)</f>
        <v>0.0952117018741293</v>
      </c>
      <c r="F5" s="19" t="n">
        <f aca="false">SUMIFS(Budget_v2_Synthetic!$L$13:$L$300,Budget_v2_Synthetic!$G$13:$G$300,VALUE(LEFT($A5,4)),Budget_v2_Synthetic!$O$13:$O$300,VALUE(RIGHT($A5,2)),Budget_v2_Synthetic!$H$13:$H$300,1)</f>
        <v>775803.294966667</v>
      </c>
      <c r="G5" s="19" t="n">
        <f aca="false">SUMIFS(Budget_v2_Synthetic!$N$13:$N$300,Budget_v2_Synthetic!$G$13:$G$300,VALUE(LEFT($A5,4)),Budget_v2_Synthetic!$O$13:$O$300,VALUE(RIGHT($A5,2)),Budget_v2_Synthetic!$H$13:$H$300,1)</f>
        <v>785381.64</v>
      </c>
      <c r="H5" s="34" t="n">
        <f aca="false">G5-F5</f>
        <v>9578.34503333329</v>
      </c>
      <c r="I5" s="17" t="str">
        <f aca="false">IF(VALUE(LEFT(A5,4))=Budget_v2_Synthetic!$B$4,"Calibration year (circular)","Out-of-sample")</f>
        <v>Calibration year (circular)</v>
      </c>
    </row>
    <row r="6" customFormat="false" ht="15" hidden="false" customHeight="false" outlineLevel="0" collapsed="false">
      <c r="A6" s="17" t="s">
        <v>65</v>
      </c>
      <c r="B6" s="19" t="n">
        <f aca="false">SUMIFS(Budget_v2_Synthetic!$J$13:$J$300,Budget_v2_Synthetic!$G$13:$G$300,VALUE(LEFT($A6,4)),Budget_v2_Synthetic!$O$13:$O$300,VALUE(RIGHT($A6,2)),Budget_v2_Synthetic!$H$13:$H$300,1)</f>
        <v>2041587.61833333</v>
      </c>
      <c r="C6" s="19" t="n">
        <f aca="false">SUMIFS(Budget_v2_Synthetic!$M$13:$M$300,Budget_v2_Synthetic!$G$13:$G$300,VALUE(LEFT($A6,4)),Budget_v2_Synthetic!$O$13:$O$300,VALUE(RIGHT($A6,2)),Budget_v2_Synthetic!$H$13:$H$300,1)</f>
        <v>2186134.57</v>
      </c>
      <c r="D6" s="34" t="n">
        <f aca="false">C6-B6</f>
        <v>144546.951666666</v>
      </c>
      <c r="E6" s="29" t="n">
        <f aca="false">IF(B6=0,"n/a",D6/B6)</f>
        <v>0.0708012481897145</v>
      </c>
      <c r="F6" s="19" t="n">
        <f aca="false">SUMIFS(Budget_v2_Synthetic!$L$13:$L$300,Budget_v2_Synthetic!$G$13:$G$300,VALUE(LEFT($A6,4)),Budget_v2_Synthetic!$O$13:$O$300,VALUE(RIGHT($A6,2)),Budget_v2_Synthetic!$H$13:$H$300,1)</f>
        <v>775803.294966667</v>
      </c>
      <c r="G6" s="19" t="n">
        <f aca="false">SUMIFS(Budget_v2_Synthetic!$N$13:$N$300,Budget_v2_Synthetic!$G$13:$G$300,VALUE(LEFT($A6,4)),Budget_v2_Synthetic!$O$13:$O$300,VALUE(RIGHT($A6,2)),Budget_v2_Synthetic!$H$13:$H$300,1)</f>
        <v>787006.33</v>
      </c>
      <c r="H6" s="34" t="n">
        <f aca="false">G6-F6</f>
        <v>11203.0350333332</v>
      </c>
      <c r="I6" s="17" t="str">
        <f aca="false">IF(VALUE(LEFT(A6,4))=Budget_v2_Synthetic!$B$4,"Calibration year (circular)","Out-of-sample")</f>
        <v>Calibration year (circular)</v>
      </c>
    </row>
    <row r="7" customFormat="false" ht="15" hidden="false" customHeight="false" outlineLevel="0" collapsed="false">
      <c r="A7" s="17" t="s">
        <v>66</v>
      </c>
      <c r="B7" s="19" t="n">
        <f aca="false">SUMIFS(Budget_v2_Synthetic!$J$13:$J$300,Budget_v2_Synthetic!$G$13:$G$300,VALUE(LEFT($A7,4)),Budget_v2_Synthetic!$O$13:$O$300,VALUE(RIGHT($A7,2)),Budget_v2_Synthetic!$H$13:$H$300,1)</f>
        <v>2041587.61833333</v>
      </c>
      <c r="C7" s="19" t="n">
        <f aca="false">SUMIFS(Budget_v2_Synthetic!$M$13:$M$300,Budget_v2_Synthetic!$G$13:$G$300,VALUE(LEFT($A7,4)),Budget_v2_Synthetic!$O$13:$O$300,VALUE(RIGHT($A7,2)),Budget_v2_Synthetic!$H$13:$H$300,1)</f>
        <v>1892456.31</v>
      </c>
      <c r="D7" s="34" t="n">
        <f aca="false">C7-B7</f>
        <v>-149131.308333333</v>
      </c>
      <c r="E7" s="29" t="n">
        <f aca="false">IF(B7=0,"n/a",D7/B7)</f>
        <v>-0.0730467343131116</v>
      </c>
      <c r="F7" s="19" t="n">
        <f aca="false">SUMIFS(Budget_v2_Synthetic!$L$13:$L$300,Budget_v2_Synthetic!$G$13:$G$300,VALUE(LEFT($A7,4)),Budget_v2_Synthetic!$O$13:$O$300,VALUE(RIGHT($A7,2)),Budget_v2_Synthetic!$H$13:$H$300,1)</f>
        <v>775803.294966667</v>
      </c>
      <c r="G7" s="19" t="n">
        <f aca="false">SUMIFS(Budget_v2_Synthetic!$N$13:$N$300,Budget_v2_Synthetic!$G$13:$G$300,VALUE(LEFT($A7,4)),Budget_v2_Synthetic!$O$13:$O$300,VALUE(RIGHT($A7,2)),Budget_v2_Synthetic!$H$13:$H$300,1)</f>
        <v>658531.2</v>
      </c>
      <c r="H7" s="34" t="n">
        <f aca="false">G7-F7</f>
        <v>-117272.094966667</v>
      </c>
      <c r="I7" s="17" t="str">
        <f aca="false">IF(VALUE(LEFT(A7,4))=Budget_v2_Synthetic!$B$4,"Calibration year (circular)","Out-of-sample")</f>
        <v>Calibration year (circular)</v>
      </c>
    </row>
    <row r="8" customFormat="false" ht="15" hidden="false" customHeight="false" outlineLevel="0" collapsed="false">
      <c r="A8" s="17" t="s">
        <v>67</v>
      </c>
      <c r="B8" s="19" t="n">
        <f aca="false">SUMIFS(Budget_v2_Synthetic!$J$13:$J$300,Budget_v2_Synthetic!$G$13:$G$300,VALUE(LEFT($A8,4)),Budget_v2_Synthetic!$O$13:$O$300,VALUE(RIGHT($A8,2)),Budget_v2_Synthetic!$H$13:$H$300,1)</f>
        <v>2041587.61833333</v>
      </c>
      <c r="C8" s="19" t="n">
        <f aca="false">SUMIFS(Budget_v2_Synthetic!$M$13:$M$300,Budget_v2_Synthetic!$G$13:$G$300,VALUE(LEFT($A8,4)),Budget_v2_Synthetic!$O$13:$O$300,VALUE(RIGHT($A8,2)),Budget_v2_Synthetic!$H$13:$H$300,1)</f>
        <v>2046367.5</v>
      </c>
      <c r="D8" s="34" t="n">
        <f aca="false">C8-B8</f>
        <v>4779.8816666666</v>
      </c>
      <c r="E8" s="29" t="n">
        <f aca="false">IF(B8=0,"n/a",D8/B8)</f>
        <v>0.00234125717835647</v>
      </c>
      <c r="F8" s="19" t="n">
        <f aca="false">SUMIFS(Budget_v2_Synthetic!$L$13:$L$300,Budget_v2_Synthetic!$G$13:$G$300,VALUE(LEFT($A8,4)),Budget_v2_Synthetic!$O$13:$O$300,VALUE(RIGHT($A8,2)),Budget_v2_Synthetic!$H$13:$H$300,1)</f>
        <v>775803.294966667</v>
      </c>
      <c r="G8" s="19" t="n">
        <f aca="false">SUMIFS(Budget_v2_Synthetic!$N$13:$N$300,Budget_v2_Synthetic!$G$13:$G$300,VALUE(LEFT($A8,4)),Budget_v2_Synthetic!$O$13:$O$300,VALUE(RIGHT($A8,2)),Budget_v2_Synthetic!$H$13:$H$300,1)</f>
        <v>741588.7</v>
      </c>
      <c r="H8" s="34" t="n">
        <f aca="false">G8-F8</f>
        <v>-34214.5949666668</v>
      </c>
      <c r="I8" s="17" t="str">
        <f aca="false">IF(VALUE(LEFT(A8,4))=Budget_v2_Synthetic!$B$4,"Calibration year (circular)","Out-of-sample")</f>
        <v>Calibration year (circular)</v>
      </c>
    </row>
    <row r="9" customFormat="false" ht="15" hidden="false" customHeight="false" outlineLevel="0" collapsed="false">
      <c r="A9" s="17" t="s">
        <v>68</v>
      </c>
      <c r="B9" s="19" t="n">
        <f aca="false">SUMIFS(Budget_v2_Synthetic!$J$13:$J$300,Budget_v2_Synthetic!$G$13:$G$300,VALUE(LEFT($A9,4)),Budget_v2_Synthetic!$O$13:$O$300,VALUE(RIGHT($A9,2)),Budget_v2_Synthetic!$H$13:$H$300,1)</f>
        <v>2041587.61833333</v>
      </c>
      <c r="C9" s="19" t="n">
        <f aca="false">SUMIFS(Budget_v2_Synthetic!$M$13:$M$300,Budget_v2_Synthetic!$G$13:$G$300,VALUE(LEFT($A9,4)),Budget_v2_Synthetic!$O$13:$O$300,VALUE(RIGHT($A9,2)),Budget_v2_Synthetic!$H$13:$H$300,1)</f>
        <v>1854769</v>
      </c>
      <c r="D9" s="34" t="n">
        <f aca="false">C9-B9</f>
        <v>-186818.618333333</v>
      </c>
      <c r="E9" s="29" t="n">
        <f aca="false">IF(B9=0,"n/a",D9/B9)</f>
        <v>-0.0915065396438113</v>
      </c>
      <c r="F9" s="19" t="n">
        <f aca="false">SUMIFS(Budget_v2_Synthetic!$L$13:$L$300,Budget_v2_Synthetic!$G$13:$G$300,VALUE(LEFT($A9,4)),Budget_v2_Synthetic!$O$13:$O$300,VALUE(RIGHT($A9,2)),Budget_v2_Synthetic!$H$13:$H$300,1)</f>
        <v>775803.294966667</v>
      </c>
      <c r="G9" s="19" t="n">
        <f aca="false">SUMIFS(Budget_v2_Synthetic!$N$13:$N$300,Budget_v2_Synthetic!$G$13:$G$300,VALUE(LEFT($A9,4)),Budget_v2_Synthetic!$O$13:$O$300,VALUE(RIGHT($A9,2)),Budget_v2_Synthetic!$H$13:$H$300,1)</f>
        <v>678309.89</v>
      </c>
      <c r="H9" s="34" t="n">
        <f aca="false">G9-F9</f>
        <v>-97493.4049666667</v>
      </c>
      <c r="I9" s="17" t="str">
        <f aca="false">IF(VALUE(LEFT(A9,4))=Budget_v2_Synthetic!$B$4,"Calibration year (circular)","Out-of-sample")</f>
        <v>Calibration year (circular)</v>
      </c>
    </row>
    <row r="10" customFormat="false" ht="15" hidden="false" customHeight="false" outlineLevel="0" collapsed="false">
      <c r="A10" s="17" t="s">
        <v>69</v>
      </c>
      <c r="B10" s="19" t="n">
        <f aca="false">SUMIFS(Budget_v2_Synthetic!$J$13:$J$300,Budget_v2_Synthetic!$G$13:$G$300,VALUE(LEFT($A10,4)),Budget_v2_Synthetic!$O$13:$O$300,VALUE(RIGHT($A10,2)),Budget_v2_Synthetic!$H$13:$H$300,1)</f>
        <v>2041587.61833333</v>
      </c>
      <c r="C10" s="19" t="n">
        <f aca="false">SUMIFS(Budget_v2_Synthetic!$M$13:$M$300,Budget_v2_Synthetic!$G$13:$G$300,VALUE(LEFT($A10,4)),Budget_v2_Synthetic!$O$13:$O$300,VALUE(RIGHT($A10,2)),Budget_v2_Synthetic!$H$13:$H$300,1)</f>
        <v>2022308.48</v>
      </c>
      <c r="D10" s="34" t="n">
        <f aca="false">C10-B10</f>
        <v>-19279.1383333334</v>
      </c>
      <c r="E10" s="29" t="n">
        <f aca="false">IF(B10=0,"n/a",D10/B10)</f>
        <v>-0.0094432088832279</v>
      </c>
      <c r="F10" s="19" t="n">
        <f aca="false">SUMIFS(Budget_v2_Synthetic!$L$13:$L$300,Budget_v2_Synthetic!$G$13:$G$300,VALUE(LEFT($A10,4)),Budget_v2_Synthetic!$O$13:$O$300,VALUE(RIGHT($A10,2)),Budget_v2_Synthetic!$H$13:$H$300,1)</f>
        <v>775803.294966667</v>
      </c>
      <c r="G10" s="19" t="n">
        <f aca="false">SUMIFS(Budget_v2_Synthetic!$N$13:$N$300,Budget_v2_Synthetic!$G$13:$G$300,VALUE(LEFT($A10,4)),Budget_v2_Synthetic!$O$13:$O$300,VALUE(RIGHT($A10,2)),Budget_v2_Synthetic!$H$13:$H$300,1)</f>
        <v>714708.53</v>
      </c>
      <c r="H10" s="34" t="n">
        <f aca="false">G10-F10</f>
        <v>-61094.7649666667</v>
      </c>
      <c r="I10" s="17" t="str">
        <f aca="false">IF(VALUE(LEFT(A10,4))=Budget_v2_Synthetic!$B$4,"Calibration year (circular)","Out-of-sample")</f>
        <v>Calibration year (circular)</v>
      </c>
    </row>
    <row r="11" customFormat="false" ht="15" hidden="false" customHeight="false" outlineLevel="0" collapsed="false">
      <c r="A11" s="17" t="s">
        <v>70</v>
      </c>
      <c r="B11" s="19" t="n">
        <f aca="false">SUMIFS(Budget_v2_Synthetic!$J$13:$J$300,Budget_v2_Synthetic!$G$13:$G$300,VALUE(LEFT($A11,4)),Budget_v2_Synthetic!$O$13:$O$300,VALUE(RIGHT($A11,2)),Budget_v2_Synthetic!$H$13:$H$300,1)</f>
        <v>2041587.61833333</v>
      </c>
      <c r="C11" s="19" t="n">
        <f aca="false">SUMIFS(Budget_v2_Synthetic!$M$13:$M$300,Budget_v2_Synthetic!$G$13:$G$300,VALUE(LEFT($A11,4)),Budget_v2_Synthetic!$O$13:$O$300,VALUE(RIGHT($A11,2)),Budget_v2_Synthetic!$H$13:$H$300,1)</f>
        <v>2118994.93</v>
      </c>
      <c r="D11" s="34" t="n">
        <f aca="false">C11-B11</f>
        <v>77407.3116666668</v>
      </c>
      <c r="E11" s="29" t="n">
        <f aca="false">IF(B11=0,"n/a",D11/B11)</f>
        <v>0.0379152532918763</v>
      </c>
      <c r="F11" s="19" t="n">
        <f aca="false">SUMIFS(Budget_v2_Synthetic!$L$13:$L$300,Budget_v2_Synthetic!$G$13:$G$300,VALUE(LEFT($A11,4)),Budget_v2_Synthetic!$O$13:$O$300,VALUE(RIGHT($A11,2)),Budget_v2_Synthetic!$H$13:$H$300,1)</f>
        <v>775803.294966667</v>
      </c>
      <c r="G11" s="19" t="n">
        <f aca="false">SUMIFS(Budget_v2_Synthetic!$N$13:$N$300,Budget_v2_Synthetic!$G$13:$G$300,VALUE(LEFT($A11,4)),Budget_v2_Synthetic!$O$13:$O$300,VALUE(RIGHT($A11,2)),Budget_v2_Synthetic!$H$13:$H$300,1)</f>
        <v>759360.9</v>
      </c>
      <c r="H11" s="34" t="n">
        <f aca="false">G11-F11</f>
        <v>-16442.3949666667</v>
      </c>
      <c r="I11" s="17" t="str">
        <f aca="false">IF(VALUE(LEFT(A11,4))=Budget_v2_Synthetic!$B$4,"Calibration year (circular)","Out-of-sample")</f>
        <v>Calibration year (circular)</v>
      </c>
    </row>
    <row r="12" customFormat="false" ht="15" hidden="false" customHeight="false" outlineLevel="0" collapsed="false">
      <c r="A12" s="17" t="s">
        <v>71</v>
      </c>
      <c r="B12" s="19" t="n">
        <f aca="false">SUMIFS(Budget_v2_Synthetic!$J$13:$J$300,Budget_v2_Synthetic!$G$13:$G$300,VALUE(LEFT($A12,4)),Budget_v2_Synthetic!$O$13:$O$300,VALUE(RIGHT($A12,2)),Budget_v2_Synthetic!$H$13:$H$300,1)</f>
        <v>2041587.61833333</v>
      </c>
      <c r="C12" s="19" t="n">
        <f aca="false">SUMIFS(Budget_v2_Synthetic!$M$13:$M$300,Budget_v2_Synthetic!$G$13:$G$300,VALUE(LEFT($A12,4)),Budget_v2_Synthetic!$O$13:$O$300,VALUE(RIGHT($A12,2)),Budget_v2_Synthetic!$H$13:$H$300,1)</f>
        <v>2077890.72</v>
      </c>
      <c r="D12" s="34" t="n">
        <f aca="false">C12-B12</f>
        <v>36303.1016666666</v>
      </c>
      <c r="E12" s="29" t="n">
        <f aca="false">IF(B12=0,"n/a",D12/B12)</f>
        <v>0.017781799488137</v>
      </c>
      <c r="F12" s="19" t="n">
        <f aca="false">SUMIFS(Budget_v2_Synthetic!$L$13:$L$300,Budget_v2_Synthetic!$G$13:$G$300,VALUE(LEFT($A12,4)),Budget_v2_Synthetic!$O$13:$O$300,VALUE(RIGHT($A12,2)),Budget_v2_Synthetic!$H$13:$H$300,1)</f>
        <v>775803.294966667</v>
      </c>
      <c r="G12" s="19" t="n">
        <f aca="false">SUMIFS(Budget_v2_Synthetic!$N$13:$N$300,Budget_v2_Synthetic!$G$13:$G$300,VALUE(LEFT($A12,4)),Budget_v2_Synthetic!$O$13:$O$300,VALUE(RIGHT($A12,2)),Budget_v2_Synthetic!$H$13:$H$300,1)</f>
        <v>747687.24</v>
      </c>
      <c r="H12" s="34" t="n">
        <f aca="false">G12-F12</f>
        <v>-28116.0549666667</v>
      </c>
      <c r="I12" s="17" t="str">
        <f aca="false">IF(VALUE(LEFT(A12,4))=Budget_v2_Synthetic!$B$4,"Calibration year (circular)","Out-of-sample")</f>
        <v>Calibration year (circular)</v>
      </c>
    </row>
    <row r="13" customFormat="false" ht="15" hidden="false" customHeight="false" outlineLevel="0" collapsed="false">
      <c r="A13" s="17" t="s">
        <v>72</v>
      </c>
      <c r="B13" s="19" t="n">
        <f aca="false">SUMIFS(Budget_v2_Synthetic!$J$13:$J$300,Budget_v2_Synthetic!$G$13:$G$300,VALUE(LEFT($A13,4)),Budget_v2_Synthetic!$O$13:$O$300,VALUE(RIGHT($A13,2)),Budget_v2_Synthetic!$H$13:$H$300,1)</f>
        <v>2041587.61833333</v>
      </c>
      <c r="C13" s="19" t="n">
        <f aca="false">SUMIFS(Budget_v2_Synthetic!$M$13:$M$300,Budget_v2_Synthetic!$G$13:$G$300,VALUE(LEFT($A13,4)),Budget_v2_Synthetic!$O$13:$O$300,VALUE(RIGHT($A13,2)),Budget_v2_Synthetic!$H$13:$H$300,1)</f>
        <v>1987738.34</v>
      </c>
      <c r="D13" s="34" t="n">
        <f aca="false">C13-B13</f>
        <v>-53849.2783333333</v>
      </c>
      <c r="E13" s="29" t="n">
        <f aca="false">IF(B13=0,"n/a",D13/B13)</f>
        <v>-0.0263761779557096</v>
      </c>
      <c r="F13" s="19" t="n">
        <f aca="false">SUMIFS(Budget_v2_Synthetic!$L$13:$L$300,Budget_v2_Synthetic!$G$13:$G$300,VALUE(LEFT($A13,4)),Budget_v2_Synthetic!$O$13:$O$300,VALUE(RIGHT($A13,2)),Budget_v2_Synthetic!$H$13:$H$300,1)</f>
        <v>775803.294966667</v>
      </c>
      <c r="G13" s="19" t="n">
        <f aca="false">SUMIFS(Budget_v2_Synthetic!$N$13:$N$300,Budget_v2_Synthetic!$G$13:$G$300,VALUE(LEFT($A13,4)),Budget_v2_Synthetic!$O$13:$O$300,VALUE(RIGHT($A13,2)),Budget_v2_Synthetic!$H$13:$H$300,1)</f>
        <v>726599.29</v>
      </c>
      <c r="H13" s="34" t="n">
        <f aca="false">G13-F13</f>
        <v>-49204.0049666667</v>
      </c>
      <c r="I13" s="17" t="str">
        <f aca="false">IF(VALUE(LEFT(A13,4))=Budget_v2_Synthetic!$B$4,"Calibration year (circular)","Out-of-sample")</f>
        <v>Calibration year (circular)</v>
      </c>
    </row>
    <row r="14" customFormat="false" ht="15" hidden="false" customHeight="false" outlineLevel="0" collapsed="false">
      <c r="A14" s="17" t="s">
        <v>73</v>
      </c>
      <c r="B14" s="19" t="n">
        <f aca="false">SUMIFS(Budget_v2_Synthetic!$J$13:$J$300,Budget_v2_Synthetic!$G$13:$G$300,VALUE(LEFT($A14,4)),Budget_v2_Synthetic!$O$13:$O$300,VALUE(RIGHT($A14,2)),Budget_v2_Synthetic!$H$13:$H$300,1)</f>
        <v>2041587.61833333</v>
      </c>
      <c r="C14" s="19" t="n">
        <f aca="false">SUMIFS(Budget_v2_Synthetic!$M$13:$M$300,Budget_v2_Synthetic!$G$13:$G$300,VALUE(LEFT($A14,4)),Budget_v2_Synthetic!$O$13:$O$300,VALUE(RIGHT($A14,2)),Budget_v2_Synthetic!$H$13:$H$300,1)</f>
        <v>1869248.17</v>
      </c>
      <c r="D14" s="34" t="n">
        <f aca="false">C14-B14</f>
        <v>-172339.448333333</v>
      </c>
      <c r="E14" s="29" t="n">
        <f aca="false">IF(B14=0,"n/a",D14/B14)</f>
        <v>-0.0844144266872191</v>
      </c>
      <c r="F14" s="19" t="n">
        <f aca="false">SUMIFS(Budget_v2_Synthetic!$L$13:$L$300,Budget_v2_Synthetic!$G$13:$G$300,VALUE(LEFT($A14,4)),Budget_v2_Synthetic!$O$13:$O$300,VALUE(RIGHT($A14,2)),Budget_v2_Synthetic!$H$13:$H$300,1)</f>
        <v>775803.294966667</v>
      </c>
      <c r="G14" s="19" t="n">
        <f aca="false">SUMIFS(Budget_v2_Synthetic!$N$13:$N$300,Budget_v2_Synthetic!$G$13:$G$300,VALUE(LEFT($A14,4)),Budget_v2_Synthetic!$O$13:$O$300,VALUE(RIGHT($A14,2)),Budget_v2_Synthetic!$H$13:$H$300,1)</f>
        <v>663285.56</v>
      </c>
      <c r="H14" s="34" t="n">
        <f aca="false">G14-F14</f>
        <v>-112517.734966667</v>
      </c>
      <c r="I14" s="17" t="str">
        <f aca="false">IF(VALUE(LEFT(A14,4))=Budget_v2_Synthetic!$B$4,"Calibration year (circular)","Out-of-sample")</f>
        <v>Calibration year (circular)</v>
      </c>
    </row>
    <row r="15" customFormat="false" ht="15" hidden="false" customHeight="false" outlineLevel="0" collapsed="false">
      <c r="A15" s="17" t="s">
        <v>74</v>
      </c>
      <c r="B15" s="19" t="n">
        <f aca="false">SUMIFS(Budget_v2_Synthetic!$J$13:$J$300,Budget_v2_Synthetic!$G$13:$G$300,VALUE(LEFT($A15,4)),Budget_v2_Synthetic!$O$13:$O$300,VALUE(RIGHT($A15,2)),Budget_v2_Synthetic!$H$13:$H$300,1)</f>
        <v>2041587.61833333</v>
      </c>
      <c r="C15" s="19" t="n">
        <f aca="false">SUMIFS(Budget_v2_Synthetic!$M$13:$M$300,Budget_v2_Synthetic!$G$13:$G$300,VALUE(LEFT($A15,4)),Budget_v2_Synthetic!$O$13:$O$300,VALUE(RIGHT($A15,2)),Budget_v2_Synthetic!$H$13:$H$300,1)</f>
        <v>2011362.92</v>
      </c>
      <c r="D15" s="34" t="n">
        <f aca="false">C15-B15</f>
        <v>-30224.6983333335</v>
      </c>
      <c r="E15" s="29" t="n">
        <f aca="false">IF(B15=0,"n/a",D15/B15)</f>
        <v>-0.014804507071809</v>
      </c>
      <c r="F15" s="19" t="n">
        <f aca="false">SUMIFS(Budget_v2_Synthetic!$L$13:$L$300,Budget_v2_Synthetic!$G$13:$G$300,VALUE(LEFT($A15,4)),Budget_v2_Synthetic!$O$13:$O$300,VALUE(RIGHT($A15,2)),Budget_v2_Synthetic!$H$13:$H$300,1)</f>
        <v>775803.294966667</v>
      </c>
      <c r="G15" s="19" t="n">
        <f aca="false">SUMIFS(Budget_v2_Synthetic!$N$13:$N$300,Budget_v2_Synthetic!$G$13:$G$300,VALUE(LEFT($A15,4)),Budget_v2_Synthetic!$O$13:$O$300,VALUE(RIGHT($A15,2)),Budget_v2_Synthetic!$H$13:$H$300,1)</f>
        <v>699317.88</v>
      </c>
      <c r="H15" s="34" t="n">
        <f aca="false">G15-F15</f>
        <v>-76485.4149666667</v>
      </c>
      <c r="I15" s="17" t="str">
        <f aca="false">IF(VALUE(LEFT(A15,4))=Budget_v2_Synthetic!$B$4,"Calibration year (circular)","Out-of-sample")</f>
        <v>Calibration year (circular)</v>
      </c>
    </row>
    <row r="16" customFormat="false" ht="15" hidden="false" customHeight="false" outlineLevel="0" collapsed="false">
      <c r="A16" s="17" t="s">
        <v>75</v>
      </c>
      <c r="B16" s="19" t="n">
        <f aca="false">SUMIFS(Budget_v2_Synthetic!$J$13:$J$300,Budget_v2_Synthetic!$G$13:$G$300,VALUE(LEFT($A16,4)),Budget_v2_Synthetic!$O$13:$O$300,VALUE(RIGHT($A16,2)),Budget_v2_Synthetic!$H$13:$H$300,1)</f>
        <v>2041587.61833333</v>
      </c>
      <c r="C16" s="19" t="n">
        <f aca="false">SUMIFS(Budget_v2_Synthetic!$M$13:$M$300,Budget_v2_Synthetic!$G$13:$G$300,VALUE(LEFT($A16,4)),Budget_v2_Synthetic!$O$13:$O$300,VALUE(RIGHT($A16,2)),Budget_v2_Synthetic!$H$13:$H$300,1)</f>
        <v>2195809.83</v>
      </c>
      <c r="D16" s="34" t="n">
        <f aca="false">C16-B16</f>
        <v>154222.211666667</v>
      </c>
      <c r="E16" s="29" t="n">
        <f aca="false">IF(B16=0,"n/a",D16/B16)</f>
        <v>0.0755403345326747</v>
      </c>
      <c r="F16" s="19" t="n">
        <f aca="false">SUMIFS(Budget_v2_Synthetic!$L$13:$L$300,Budget_v2_Synthetic!$G$13:$G$300,VALUE(LEFT($A16,4)),Budget_v2_Synthetic!$O$13:$O$300,VALUE(RIGHT($A16,2)),Budget_v2_Synthetic!$H$13:$H$300,1)</f>
        <v>775803.294966667</v>
      </c>
      <c r="G16" s="19" t="n">
        <f aca="false">SUMIFS(Budget_v2_Synthetic!$N$13:$N$300,Budget_v2_Synthetic!$G$13:$G$300,VALUE(LEFT($A16,4)),Budget_v2_Synthetic!$O$13:$O$300,VALUE(RIGHT($A16,2)),Budget_v2_Synthetic!$H$13:$H$300,1)</f>
        <v>789221.75</v>
      </c>
      <c r="H16" s="34" t="n">
        <f aca="false">G16-F16</f>
        <v>13418.4550333333</v>
      </c>
      <c r="I16" s="17" t="str">
        <f aca="false">IF(VALUE(LEFT(A16,4))=Budget_v2_Synthetic!$B$4,"Calibration year (circular)","Out-of-sample")</f>
        <v>Calibration year (circular)</v>
      </c>
    </row>
    <row r="17" customFormat="false" ht="15" hidden="false" customHeight="false" outlineLevel="0" collapsed="false">
      <c r="A17" s="17" t="s">
        <v>76</v>
      </c>
      <c r="B17" s="19" t="n">
        <f aca="false">SUMIFS(Budget_v2_Synthetic!$J$13:$J$300,Budget_v2_Synthetic!$G$13:$G$300,VALUE(LEFT($A17,4)),Budget_v2_Synthetic!$O$13:$O$300,VALUE(RIGHT($A17,2)),Budget_v2_Synthetic!$H$13:$H$300,1)</f>
        <v>2204914.6278</v>
      </c>
      <c r="C17" s="19" t="n">
        <f aca="false">SUMIFS(Budget_v2_Synthetic!$M$13:$M$300,Budget_v2_Synthetic!$G$13:$G$300,VALUE(LEFT($A17,4)),Budget_v2_Synthetic!$O$13:$O$300,VALUE(RIGHT($A17,2)),Budget_v2_Synthetic!$H$13:$H$300,1)</f>
        <v>1873462.95</v>
      </c>
      <c r="D17" s="34" t="n">
        <f aca="false">C17-B17</f>
        <v>-331451.6778</v>
      </c>
      <c r="E17" s="29" t="n">
        <f aca="false">IF(B17=0,"n/a",D17/B17)</f>
        <v>-0.150324041403232</v>
      </c>
      <c r="F17" s="19" t="n">
        <f aca="false">SUMIFS(Budget_v2_Synthetic!$L$13:$L$300,Budget_v2_Synthetic!$G$13:$G$300,VALUE(LEFT($A17,4)),Budget_v2_Synthetic!$O$13:$O$300,VALUE(RIGHT($A17,2)),Budget_v2_Synthetic!$H$13:$H$300,1)</f>
        <v>837867.558564</v>
      </c>
      <c r="G17" s="19" t="n">
        <f aca="false">SUMIFS(Budget_v2_Synthetic!$N$13:$N$300,Budget_v2_Synthetic!$G$13:$G$300,VALUE(LEFT($A17,4)),Budget_v2_Synthetic!$O$13:$O$300,VALUE(RIGHT($A17,2)),Budget_v2_Synthetic!$H$13:$H$300,1)</f>
        <v>667954.83</v>
      </c>
      <c r="H17" s="34" t="n">
        <f aca="false">G17-F17</f>
        <v>-169912.728564</v>
      </c>
      <c r="I17" s="17" t="str">
        <f aca="false">IF(VALUE(LEFT(A17,4))=Budget_v2_Synthetic!$B$4,"Calibration year (circular)","Out-of-sample")</f>
        <v>Out-of-sample</v>
      </c>
    </row>
    <row r="18" customFormat="false" ht="15" hidden="false" customHeight="false" outlineLevel="0" collapsed="false">
      <c r="A18" s="17" t="s">
        <v>77</v>
      </c>
      <c r="B18" s="19" t="n">
        <f aca="false">SUMIFS(Budget_v2_Synthetic!$J$13:$J$300,Budget_v2_Synthetic!$G$13:$G$300,VALUE(LEFT($A18,4)),Budget_v2_Synthetic!$O$13:$O$300,VALUE(RIGHT($A18,2)),Budget_v2_Synthetic!$H$13:$H$300,1)</f>
        <v>2204914.6278</v>
      </c>
      <c r="C18" s="19" t="n">
        <f aca="false">SUMIFS(Budget_v2_Synthetic!$M$13:$M$300,Budget_v2_Synthetic!$G$13:$G$300,VALUE(LEFT($A18,4)),Budget_v2_Synthetic!$O$13:$O$300,VALUE(RIGHT($A18,2)),Budget_v2_Synthetic!$H$13:$H$300,1)</f>
        <v>2004732.02</v>
      </c>
      <c r="D18" s="34" t="n">
        <f aca="false">C18-B18</f>
        <v>-200182.6078</v>
      </c>
      <c r="E18" s="29" t="n">
        <f aca="false">IF(B18=0,"n/a",D18/B18)</f>
        <v>-0.0907892783131183</v>
      </c>
      <c r="F18" s="19" t="n">
        <f aca="false">SUMIFS(Budget_v2_Synthetic!$L$13:$L$300,Budget_v2_Synthetic!$G$13:$G$300,VALUE(LEFT($A18,4)),Budget_v2_Synthetic!$O$13:$O$300,VALUE(RIGHT($A18,2)),Budget_v2_Synthetic!$H$13:$H$300,1)</f>
        <v>837867.558564</v>
      </c>
      <c r="G18" s="19" t="n">
        <f aca="false">SUMIFS(Budget_v2_Synthetic!$N$13:$N$300,Budget_v2_Synthetic!$G$13:$G$300,VALUE(LEFT($A18,4)),Budget_v2_Synthetic!$O$13:$O$300,VALUE(RIGHT($A18,2)),Budget_v2_Synthetic!$H$13:$H$300,1)</f>
        <v>719003.36</v>
      </c>
      <c r="H18" s="34" t="n">
        <f aca="false">G18-F18</f>
        <v>-118864.198564</v>
      </c>
      <c r="I18" s="17" t="str">
        <f aca="false">IF(VALUE(LEFT(A18,4))=Budget_v2_Synthetic!$B$4,"Calibration year (circular)","Out-of-sample")</f>
        <v>Out-of-sample</v>
      </c>
    </row>
    <row r="19" customFormat="false" ht="15" hidden="false" customHeight="false" outlineLevel="0" collapsed="false">
      <c r="A19" s="17" t="s">
        <v>78</v>
      </c>
      <c r="B19" s="19" t="n">
        <f aca="false">SUMIFS(Budget_v2_Synthetic!$J$13:$J$300,Budget_v2_Synthetic!$G$13:$G$300,VALUE(LEFT($A19,4)),Budget_v2_Synthetic!$O$13:$O$300,VALUE(RIGHT($A19,2)),Budget_v2_Synthetic!$H$13:$H$300,1)</f>
        <v>2204914.6278</v>
      </c>
      <c r="C19" s="19" t="n">
        <f aca="false">SUMIFS(Budget_v2_Synthetic!$M$13:$M$300,Budget_v2_Synthetic!$G$13:$G$300,VALUE(LEFT($A19,4)),Budget_v2_Synthetic!$O$13:$O$300,VALUE(RIGHT($A19,2)),Budget_v2_Synthetic!$H$13:$H$300,1)</f>
        <v>1984215.76</v>
      </c>
      <c r="D19" s="34" t="n">
        <f aca="false">C19-B19</f>
        <v>-220698.8678</v>
      </c>
      <c r="E19" s="29" t="n">
        <f aca="false">IF(B19=0,"n/a",D19/B19)</f>
        <v>-0.100094064875522</v>
      </c>
      <c r="F19" s="19" t="n">
        <f aca="false">SUMIFS(Budget_v2_Synthetic!$L$13:$L$300,Budget_v2_Synthetic!$G$13:$G$300,VALUE(LEFT($A19,4)),Budget_v2_Synthetic!$O$13:$O$300,VALUE(RIGHT($A19,2)),Budget_v2_Synthetic!$H$13:$H$300,1)</f>
        <v>837867.558564</v>
      </c>
      <c r="G19" s="19" t="n">
        <f aca="false">SUMIFS(Budget_v2_Synthetic!$N$13:$N$300,Budget_v2_Synthetic!$G$13:$G$300,VALUE(LEFT($A19,4)),Budget_v2_Synthetic!$O$13:$O$300,VALUE(RIGHT($A19,2)),Budget_v2_Synthetic!$H$13:$H$300,1)</f>
        <v>708034.31</v>
      </c>
      <c r="H19" s="34" t="n">
        <f aca="false">G19-F19</f>
        <v>-129833.248564</v>
      </c>
      <c r="I19" s="17" t="str">
        <f aca="false">IF(VALUE(LEFT(A19,4))=Budget_v2_Synthetic!$B$4,"Calibration year (circular)","Out-of-sample")</f>
        <v>Out-of-sample</v>
      </c>
    </row>
    <row r="20" customFormat="false" ht="15" hidden="false" customHeight="false" outlineLevel="0" collapsed="false">
      <c r="A20" s="17" t="s">
        <v>79</v>
      </c>
      <c r="B20" s="19" t="n">
        <f aca="false">SUMIFS(Budget_v2_Synthetic!$J$13:$J$300,Budget_v2_Synthetic!$G$13:$G$300,VALUE(LEFT($A20,4)),Budget_v2_Synthetic!$O$13:$O$300,VALUE(RIGHT($A20,2)),Budget_v2_Synthetic!$H$13:$H$300,1)</f>
        <v>2204914.6278</v>
      </c>
      <c r="C20" s="19" t="n">
        <f aca="false">SUMIFS(Budget_v2_Synthetic!$M$13:$M$300,Budget_v2_Synthetic!$G$13:$G$300,VALUE(LEFT($A20,4)),Budget_v2_Synthetic!$O$13:$O$300,VALUE(RIGHT($A20,2)),Budget_v2_Synthetic!$H$13:$H$300,1)</f>
        <v>1938660.22</v>
      </c>
      <c r="D20" s="34" t="n">
        <f aca="false">C20-B20</f>
        <v>-266254.4078</v>
      </c>
      <c r="E20" s="29" t="n">
        <f aca="false">IF(B20=0,"n/a",D20/B20)</f>
        <v>-0.120754973658849</v>
      </c>
      <c r="F20" s="19" t="n">
        <f aca="false">SUMIFS(Budget_v2_Synthetic!$L$13:$L$300,Budget_v2_Synthetic!$G$13:$G$300,VALUE(LEFT($A20,4)),Budget_v2_Synthetic!$O$13:$O$300,VALUE(RIGHT($A20,2)),Budget_v2_Synthetic!$H$13:$H$300,1)</f>
        <v>837867.558564</v>
      </c>
      <c r="G20" s="19" t="n">
        <f aca="false">SUMIFS(Budget_v2_Synthetic!$N$13:$N$300,Budget_v2_Synthetic!$G$13:$G$300,VALUE(LEFT($A20,4)),Budget_v2_Synthetic!$O$13:$O$300,VALUE(RIGHT($A20,2)),Budget_v2_Synthetic!$H$13:$H$300,1)</f>
        <v>683849.4</v>
      </c>
      <c r="H20" s="34" t="n">
        <f aca="false">G20-F20</f>
        <v>-154018.158564</v>
      </c>
      <c r="I20" s="17" t="str">
        <f aca="false">IF(VALUE(LEFT(A20,4))=Budget_v2_Synthetic!$B$4,"Calibration year (circular)","Out-of-sample")</f>
        <v>Out-of-sample</v>
      </c>
    </row>
    <row r="21" customFormat="false" ht="15" hidden="false" customHeight="false" outlineLevel="0" collapsed="false">
      <c r="A21" s="17" t="s">
        <v>80</v>
      </c>
      <c r="B21" s="19" t="n">
        <f aca="false">SUMIFS(Budget_v2_Synthetic!$J$13:$J$300,Budget_v2_Synthetic!$G$13:$G$300,VALUE(LEFT($A21,4)),Budget_v2_Synthetic!$O$13:$O$300,VALUE(RIGHT($A21,2)),Budget_v2_Synthetic!$H$13:$H$300,1)</f>
        <v>2204914.6278</v>
      </c>
      <c r="C21" s="19" t="n">
        <f aca="false">SUMIFS(Budget_v2_Synthetic!$M$13:$M$300,Budget_v2_Synthetic!$G$13:$G$300,VALUE(LEFT($A21,4)),Budget_v2_Synthetic!$O$13:$O$300,VALUE(RIGHT($A21,2)),Budget_v2_Synthetic!$H$13:$H$300,1)</f>
        <v>2190614.59</v>
      </c>
      <c r="D21" s="34" t="n">
        <f aca="false">C21-B21</f>
        <v>-14300.0378000001</v>
      </c>
      <c r="E21" s="29" t="n">
        <f aca="false">IF(B21=0,"n/a",D21/B21)</f>
        <v>-0.00648552901763286</v>
      </c>
      <c r="F21" s="19" t="n">
        <f aca="false">SUMIFS(Budget_v2_Synthetic!$L$13:$L$300,Budget_v2_Synthetic!$G$13:$G$300,VALUE(LEFT($A21,4)),Budget_v2_Synthetic!$O$13:$O$300,VALUE(RIGHT($A21,2)),Budget_v2_Synthetic!$H$13:$H$300,1)</f>
        <v>837867.558564</v>
      </c>
      <c r="G21" s="19" t="n">
        <f aca="false">SUMIFS(Budget_v2_Synthetic!$N$13:$N$300,Budget_v2_Synthetic!$G$13:$G$300,VALUE(LEFT($A21,4)),Budget_v2_Synthetic!$O$13:$O$300,VALUE(RIGHT($A21,2)),Budget_v2_Synthetic!$H$13:$H$300,1)</f>
        <v>779866.74</v>
      </c>
      <c r="H21" s="34" t="n">
        <f aca="false">G21-F21</f>
        <v>-58000.8185640001</v>
      </c>
      <c r="I21" s="17" t="str">
        <f aca="false">IF(VALUE(LEFT(A21,4))=Budget_v2_Synthetic!$B$4,"Calibration year (circular)","Out-of-sample")</f>
        <v>Out-of-sample</v>
      </c>
    </row>
    <row r="22" customFormat="false" ht="15" hidden="false" customHeight="false" outlineLevel="0" collapsed="false">
      <c r="A22" s="17" t="s">
        <v>81</v>
      </c>
      <c r="B22" s="19" t="n">
        <f aca="false">SUMIFS(Budget_v2_Synthetic!$J$13:$J$300,Budget_v2_Synthetic!$G$13:$G$300,VALUE(LEFT($A22,4)),Budget_v2_Synthetic!$O$13:$O$300,VALUE(RIGHT($A22,2)),Budget_v2_Synthetic!$H$13:$H$300,1)</f>
        <v>2204914.6278</v>
      </c>
      <c r="C22" s="19" t="n">
        <f aca="false">SUMIFS(Budget_v2_Synthetic!$M$13:$M$300,Budget_v2_Synthetic!$G$13:$G$300,VALUE(LEFT($A22,4)),Budget_v2_Synthetic!$O$13:$O$300,VALUE(RIGHT($A22,2)),Budget_v2_Synthetic!$H$13:$H$300,1)</f>
        <v>1949299.04</v>
      </c>
      <c r="D22" s="34" t="n">
        <f aca="false">C22-B22</f>
        <v>-255615.5878</v>
      </c>
      <c r="E22" s="29" t="n">
        <f aca="false">IF(B22=0,"n/a",D22/B22)</f>
        <v>-0.115929925166783</v>
      </c>
      <c r="F22" s="19" t="n">
        <f aca="false">SUMIFS(Budget_v2_Synthetic!$L$13:$L$300,Budget_v2_Synthetic!$G$13:$G$300,VALUE(LEFT($A22,4)),Budget_v2_Synthetic!$O$13:$O$300,VALUE(RIGHT($A22,2)),Budget_v2_Synthetic!$H$13:$H$300,1)</f>
        <v>837867.558564</v>
      </c>
      <c r="G22" s="19" t="n">
        <f aca="false">SUMIFS(Budget_v2_Synthetic!$N$13:$N$300,Budget_v2_Synthetic!$G$13:$G$300,VALUE(LEFT($A22,4)),Budget_v2_Synthetic!$O$13:$O$300,VALUE(RIGHT($A22,2)),Budget_v2_Synthetic!$H$13:$H$300,1)</f>
        <v>680115.93</v>
      </c>
      <c r="H22" s="34" t="n">
        <f aca="false">G22-F22</f>
        <v>-157751.628564</v>
      </c>
      <c r="I22" s="17" t="str">
        <f aca="false">IF(VALUE(LEFT(A22,4))=Budget_v2_Synthetic!$B$4,"Calibration year (circular)","Out-of-sample")</f>
        <v>Out-of-sample</v>
      </c>
    </row>
    <row r="23" customFormat="false" ht="15" hidden="false" customHeight="false" outlineLevel="0" collapsed="false">
      <c r="A23" s="17" t="s">
        <v>82</v>
      </c>
      <c r="B23" s="19" t="n">
        <f aca="false">SUMIFS(Budget_v2_Synthetic!$J$13:$J$300,Budget_v2_Synthetic!$G$13:$G$300,VALUE(LEFT($A23,4)),Budget_v2_Synthetic!$O$13:$O$300,VALUE(RIGHT($A23,2)),Budget_v2_Synthetic!$H$13:$H$300,1)</f>
        <v>2204914.6278</v>
      </c>
      <c r="C23" s="19" t="n">
        <f aca="false">SUMIFS(Budget_v2_Synthetic!$M$13:$M$300,Budget_v2_Synthetic!$G$13:$G$300,VALUE(LEFT($A23,4)),Budget_v2_Synthetic!$O$13:$O$300,VALUE(RIGHT($A23,2)),Budget_v2_Synthetic!$H$13:$H$300,1)</f>
        <v>2260040.79</v>
      </c>
      <c r="D23" s="34" t="n">
        <f aca="false">C23-B23</f>
        <v>55126.1622000001</v>
      </c>
      <c r="E23" s="29" t="n">
        <f aca="false">IF(B23=0,"n/a",D23/B23)</f>
        <v>0.025001495071491</v>
      </c>
      <c r="F23" s="19" t="n">
        <f aca="false">SUMIFS(Budget_v2_Synthetic!$L$13:$L$300,Budget_v2_Synthetic!$G$13:$G$300,VALUE(LEFT($A23,4)),Budget_v2_Synthetic!$O$13:$O$300,VALUE(RIGHT($A23,2)),Budget_v2_Synthetic!$H$13:$H$300,1)</f>
        <v>837867.558564</v>
      </c>
      <c r="G23" s="19" t="n">
        <f aca="false">SUMIFS(Budget_v2_Synthetic!$N$13:$N$300,Budget_v2_Synthetic!$G$13:$G$300,VALUE(LEFT($A23,4)),Budget_v2_Synthetic!$O$13:$O$300,VALUE(RIGHT($A23,2)),Budget_v2_Synthetic!$H$13:$H$300,1)</f>
        <v>815880.81</v>
      </c>
      <c r="H23" s="34" t="n">
        <f aca="false">G23-F23</f>
        <v>-21986.748564</v>
      </c>
      <c r="I23" s="17" t="str">
        <f aca="false">IF(VALUE(LEFT(A23,4))=Budget_v2_Synthetic!$B$4,"Calibration year (circular)","Out-of-sample")</f>
        <v>Out-of-sample</v>
      </c>
    </row>
    <row r="24" customFormat="false" ht="15" hidden="false" customHeight="false" outlineLevel="0" collapsed="false">
      <c r="A24" s="17" t="s">
        <v>83</v>
      </c>
      <c r="B24" s="19" t="n">
        <f aca="false">SUMIFS(Budget_v2_Synthetic!$J$13:$J$300,Budget_v2_Synthetic!$G$13:$G$300,VALUE(LEFT($A24,4)),Budget_v2_Synthetic!$O$13:$O$300,VALUE(RIGHT($A24,2)),Budget_v2_Synthetic!$H$13:$H$300,1)</f>
        <v>2204914.6278</v>
      </c>
      <c r="C24" s="19" t="n">
        <f aca="false">SUMIFS(Budget_v2_Synthetic!$M$13:$M$300,Budget_v2_Synthetic!$G$13:$G$300,VALUE(LEFT($A24,4)),Budget_v2_Synthetic!$O$13:$O$300,VALUE(RIGHT($A24,2)),Budget_v2_Synthetic!$H$13:$H$300,1)</f>
        <v>2055159.07</v>
      </c>
      <c r="D24" s="34" t="n">
        <f aca="false">C24-B24</f>
        <v>-149755.5578</v>
      </c>
      <c r="E24" s="29" t="n">
        <f aca="false">IF(B24=0,"n/a",D24/B24)</f>
        <v>-0.0679189824004304</v>
      </c>
      <c r="F24" s="19" t="n">
        <f aca="false">SUMIFS(Budget_v2_Synthetic!$L$13:$L$300,Budget_v2_Synthetic!$G$13:$G$300,VALUE(LEFT($A24,4)),Budget_v2_Synthetic!$O$13:$O$300,VALUE(RIGHT($A24,2)),Budget_v2_Synthetic!$H$13:$H$300,1)</f>
        <v>837867.558564</v>
      </c>
      <c r="G24" s="19" t="n">
        <f aca="false">SUMIFS(Budget_v2_Synthetic!$N$13:$N$300,Budget_v2_Synthetic!$G$13:$G$300,VALUE(LEFT($A24,4)),Budget_v2_Synthetic!$O$13:$O$300,VALUE(RIGHT($A24,2)),Budget_v2_Synthetic!$H$13:$H$300,1)</f>
        <v>737780.56</v>
      </c>
      <c r="H24" s="34" t="n">
        <f aca="false">G24-F24</f>
        <v>-100086.998564</v>
      </c>
      <c r="I24" s="17" t="str">
        <f aca="false">IF(VALUE(LEFT(A24,4))=Budget_v2_Synthetic!$B$4,"Calibration year (circular)","Out-of-sample")</f>
        <v>Out-of-sample</v>
      </c>
    </row>
    <row r="25" customFormat="false" ht="15" hidden="false" customHeight="false" outlineLevel="0" collapsed="false">
      <c r="A25" s="17" t="s">
        <v>84</v>
      </c>
      <c r="B25" s="19" t="n">
        <f aca="false">SUMIFS(Budget_v2_Synthetic!$J$13:$J$300,Budget_v2_Synthetic!$G$13:$G$300,VALUE(LEFT($A25,4)),Budget_v2_Synthetic!$O$13:$O$300,VALUE(RIGHT($A25,2)),Budget_v2_Synthetic!$H$13:$H$300,1)</f>
        <v>2204914.6278</v>
      </c>
      <c r="C25" s="19" t="n">
        <f aca="false">SUMIFS(Budget_v2_Synthetic!$M$13:$M$300,Budget_v2_Synthetic!$G$13:$G$300,VALUE(LEFT($A25,4)),Budget_v2_Synthetic!$O$13:$O$300,VALUE(RIGHT($A25,2)),Budget_v2_Synthetic!$H$13:$H$300,1)</f>
        <v>1837789.44</v>
      </c>
      <c r="D25" s="34" t="n">
        <f aca="false">C25-B25</f>
        <v>-367125.1878</v>
      </c>
      <c r="E25" s="29" t="n">
        <f aca="false">IF(B25=0,"n/a",D25/B25)</f>
        <v>-0.16650313040297</v>
      </c>
      <c r="F25" s="19" t="n">
        <f aca="false">SUMIFS(Budget_v2_Synthetic!$L$13:$L$300,Budget_v2_Synthetic!$G$13:$G$300,VALUE(LEFT($A25,4)),Budget_v2_Synthetic!$O$13:$O$300,VALUE(RIGHT($A25,2)),Budget_v2_Synthetic!$H$13:$H$300,1)</f>
        <v>837867.558564</v>
      </c>
      <c r="G25" s="19" t="n">
        <f aca="false">SUMIFS(Budget_v2_Synthetic!$N$13:$N$300,Budget_v2_Synthetic!$G$13:$G$300,VALUE(LEFT($A25,4)),Budget_v2_Synthetic!$O$13:$O$300,VALUE(RIGHT($A25,2)),Budget_v2_Synthetic!$H$13:$H$300,1)</f>
        <v>668945.26</v>
      </c>
      <c r="H25" s="34" t="n">
        <f aca="false">G25-F25</f>
        <v>-168922.298564</v>
      </c>
      <c r="I25" s="17" t="str">
        <f aca="false">IF(VALUE(LEFT(A25,4))=Budget_v2_Synthetic!$B$4,"Calibration year (circular)","Out-of-sample")</f>
        <v>Out-of-sample</v>
      </c>
    </row>
    <row r="26" customFormat="false" ht="15" hidden="false" customHeight="false" outlineLevel="0" collapsed="false">
      <c r="A26" s="22" t="s">
        <v>103</v>
      </c>
      <c r="B26" s="25" t="n">
        <f aca="false">SUM(B5:B25)</f>
        <v>44343283.0702</v>
      </c>
      <c r="C26" s="25" t="n">
        <f aca="false">SUM(C5:C25)</f>
        <v>42593025.3</v>
      </c>
      <c r="D26" s="35" t="n">
        <f aca="false">C26-B26</f>
        <v>-1750257.77020001</v>
      </c>
      <c r="E26" s="27" t="n">
        <f aca="false">IF(B26=0,"n/a",D26/B26)</f>
        <v>-0.0394706401740522</v>
      </c>
      <c r="F26" s="25" t="n">
        <f aca="false">SUM(F5:F25)</f>
        <v>16850447.566676</v>
      </c>
      <c r="G26" s="25" t="n">
        <f aca="false">SUM(G5:G25)</f>
        <v>15212430.11</v>
      </c>
      <c r="H26" s="35" t="n">
        <f aca="false">G26-F26</f>
        <v>-1638017.456676</v>
      </c>
      <c r="I26" s="23"/>
    </row>
    <row r="28" customFormat="false" ht="15" hidden="false" customHeight="false" outlineLevel="0" collapsed="false">
      <c r="A28" s="12" t="s">
        <v>132</v>
      </c>
    </row>
    <row r="29" customFormat="false" ht="31.5" hidden="false" customHeight="true" outlineLevel="0" collapsed="false">
      <c r="A29" s="4" t="s">
        <v>87</v>
      </c>
      <c r="B29" s="4" t="s">
        <v>124</v>
      </c>
      <c r="C29" s="4" t="s">
        <v>125</v>
      </c>
      <c r="D29" s="4" t="s">
        <v>126</v>
      </c>
      <c r="E29" s="4" t="s">
        <v>127</v>
      </c>
      <c r="F29" s="4" t="s">
        <v>133</v>
      </c>
    </row>
    <row r="30" customFormat="false" ht="15" hidden="false" customHeight="false" outlineLevel="0" collapsed="false">
      <c r="A30" s="5" t="str">
        <f aca="false">"FY"&amp;Budget_v2_Synthetic!B4&amp;" (calibration year)"</f>
        <v>FY2025 (calibration year)</v>
      </c>
      <c r="B30" s="19" t="n">
        <f aca="false">SUMIFS(Budget_v2_Synthetic!$J$13:$J$300,Budget_v2_Synthetic!$G$13:$G$300,Budget_v2_Synthetic!$B$4,Budget_v2_Synthetic!$H$13:$H$300,1)</f>
        <v>24499051.42</v>
      </c>
      <c r="C30" s="19" t="n">
        <f aca="false">SUMIFS(Budget_v2_Synthetic!$M$13:$M$300,Budget_v2_Synthetic!$G$13:$G$300,Budget_v2_Synthetic!$B$4,Budget_v2_Synthetic!$H$13:$H$300,1)</f>
        <v>24499051.42</v>
      </c>
      <c r="D30" s="34" t="n">
        <f aca="false">C30-B30</f>
        <v>0</v>
      </c>
      <c r="E30" s="29" t="n">
        <f aca="false">IF(B30=0,"n/a",D30/B30)</f>
        <v>0</v>
      </c>
      <c r="F30" s="7" t="s">
        <v>134</v>
      </c>
    </row>
    <row r="31" customFormat="false" ht="15" hidden="false" customHeight="false" outlineLevel="0" collapsed="false">
      <c r="A31" s="5" t="str">
        <f aca="false">"YTD "&amp;Monthly_MIS!B5&amp;" (out-of-sample)"</f>
        <v>YTD 2026 (out-of-sample)</v>
      </c>
      <c r="B31" s="19" t="n">
        <f aca="false">SUMIFS(Budget_v2_Synthetic!$J$13:$J$300,Budget_v2_Synthetic!$G$13:$G$300,Monthly_MIS!$B$5,Budget_v2_Synthetic!$O$13:$O$300,"&lt;="&amp;Monthly_MIS!$B$6,Budget_v2_Synthetic!$I$13:$I$300,"Actual",Budget_v2_Synthetic!$H$13:$H$300,1)</f>
        <v>19844231.6502</v>
      </c>
      <c r="C31" s="19" t="n">
        <f aca="false">SUMIFS(Budget_v2_Synthetic!$M$13:$M$300,Budget_v2_Synthetic!$G$13:$G$300,Monthly_MIS!$B$5,Budget_v2_Synthetic!$O$13:$O$300,"&lt;="&amp;Monthly_MIS!$B$6,Budget_v2_Synthetic!$H$13:$H$300,1)</f>
        <v>18093973.88</v>
      </c>
      <c r="D31" s="34" t="n">
        <f aca="false">C31-B31</f>
        <v>-1750257.7702</v>
      </c>
      <c r="E31" s="29" t="n">
        <f aca="false">IF(B31=0,"n/a",D31/B31)</f>
        <v>-0.0881998255741165</v>
      </c>
      <c r="F31" s="7" t="s">
        <v>135</v>
      </c>
    </row>
    <row r="34" customFormat="false" ht="15" hidden="false" customHeight="false" outlineLevel="0" collapsed="false">
      <c r="A34" s="12" t="str">
        <f aca="false">"YTD "&amp;Monthly_MIS!B5&amp;" by Region x Category"</f>
        <v>YTD 2026 by Region x Category</v>
      </c>
    </row>
    <row r="35" customFormat="false" ht="31.5" hidden="false" customHeight="true" outlineLevel="0" collapsed="false">
      <c r="A35" s="4" t="s">
        <v>91</v>
      </c>
      <c r="B35" s="4" t="s">
        <v>107</v>
      </c>
      <c r="C35" s="4" t="s">
        <v>136</v>
      </c>
      <c r="D35" s="4" t="s">
        <v>137</v>
      </c>
      <c r="E35" s="4" t="s">
        <v>138</v>
      </c>
      <c r="F35" s="4" t="s">
        <v>126</v>
      </c>
      <c r="G35" s="4" t="s">
        <v>127</v>
      </c>
      <c r="H35" s="4" t="s">
        <v>139</v>
      </c>
    </row>
    <row r="36" customFormat="false" ht="15" hidden="false" customHeight="false" outlineLevel="0" collapsed="false">
      <c r="A36" s="17" t="s">
        <v>99</v>
      </c>
      <c r="B36" s="17" t="s">
        <v>116</v>
      </c>
      <c r="C36" s="36" t="str">
        <f aca="false">IF(COUNTIFS(Calc_Actuals!$F$2:$F$865,A36,Calc_Actuals!$H$2:$H$865,B36,Calc_Actuals!$C$2:$C$865,"Actual")&gt;0,"Yes","No")</f>
        <v>Yes</v>
      </c>
      <c r="D36" s="19" t="n">
        <f aca="false">SUMIFS(Budget_v2_Synthetic!$J$13:$J$300,Budget_v2_Synthetic!$B$13:$B$300,$A36,Budget_v2_Synthetic!$C$13:$C$300,$B36,Budget_v2_Synthetic!$G$13:$G$300,Monthly_MIS!$B$5,Budget_v2_Synthetic!$O$13:$O$300,"&lt;="&amp;Monthly_MIS!$B$6,Budget_v2_Synthetic!$I$13:$I$300,"Actual")</f>
        <v>3346475.90367405</v>
      </c>
      <c r="E36" s="19" t="n">
        <f aca="false">SUMIFS(Budget_v2_Synthetic!$M$13:$M$300,Budget_v2_Synthetic!$B$13:$B$300,$A36,Budget_v2_Synthetic!$C$13:$C$300,$B36,Budget_v2_Synthetic!$G$13:$G$300,Monthly_MIS!$B$5,Budget_v2_Synthetic!$O$13:$O$300,"&lt;="&amp;Monthly_MIS!$B$6,Budget_v2_Synthetic!$I$13:$I$300,"Actual")</f>
        <v>2928066.61</v>
      </c>
      <c r="F36" s="37" t="n">
        <f aca="false">IF(C36="Yes",E36-D36,"excluded")</f>
        <v>-418409.293674051</v>
      </c>
      <c r="G36" s="9" t="n">
        <f aca="false">IF(C36="Yes",IF(D36=0,"n/a",F36/D36),"excluded")</f>
        <v>-0.125029824124741</v>
      </c>
      <c r="H36" s="7" t="str">
        <f aca="false">IF(C36="Yes","","No actual sales for this cell in the source - budget excluded from variance")</f>
        <v/>
      </c>
    </row>
    <row r="37" customFormat="false" ht="15" hidden="false" customHeight="false" outlineLevel="0" collapsed="false">
      <c r="A37" s="17" t="s">
        <v>99</v>
      </c>
      <c r="B37" s="17" t="s">
        <v>110</v>
      </c>
      <c r="C37" s="36" t="str">
        <f aca="false">IF(COUNTIFS(Calc_Actuals!$F$2:$F$865,A37,Calc_Actuals!$H$2:$H$865,B37,Calc_Actuals!$C$2:$C$865,"Actual")&gt;0,"Yes","No")</f>
        <v>Yes</v>
      </c>
      <c r="D37" s="19" t="n">
        <f aca="false">SUMIFS(Budget_v2_Synthetic!$J$13:$J$300,Budget_v2_Synthetic!$B$13:$B$300,$A37,Budget_v2_Synthetic!$C$13:$C$300,$B37,Budget_v2_Synthetic!$G$13:$G$300,Monthly_MIS!$B$5,Budget_v2_Synthetic!$O$13:$O$300,"&lt;="&amp;Monthly_MIS!$B$6,Budget_v2_Synthetic!$I$13:$I$300,"Actual")</f>
        <v>2976017.31655146</v>
      </c>
      <c r="E37" s="19" t="n">
        <f aca="false">SUMIFS(Budget_v2_Synthetic!$M$13:$M$300,Budget_v2_Synthetic!$B$13:$B$300,$A37,Budget_v2_Synthetic!$C$13:$C$300,$B37,Budget_v2_Synthetic!$G$13:$G$300,Monthly_MIS!$B$5,Budget_v2_Synthetic!$O$13:$O$300,"&lt;="&amp;Monthly_MIS!$B$6,Budget_v2_Synthetic!$I$13:$I$300,"Actual")</f>
        <v>1565993.08</v>
      </c>
      <c r="F37" s="37" t="n">
        <f aca="false">IF(C37="Yes",E37-D37,"excluded")</f>
        <v>-1410024.23655146</v>
      </c>
      <c r="G37" s="9" t="n">
        <f aca="false">IF(C37="Yes",IF(D37=0,"n/a",F37/D37),"excluded")</f>
        <v>-0.473795709692094</v>
      </c>
      <c r="H37" s="7" t="str">
        <f aca="false">IF(C37="Yes","","No actual sales for this cell in the source - budget excluded from variance")</f>
        <v/>
      </c>
    </row>
    <row r="38" customFormat="false" ht="15" hidden="false" customHeight="false" outlineLevel="0" collapsed="false">
      <c r="A38" s="17" t="s">
        <v>99</v>
      </c>
      <c r="B38" s="17" t="s">
        <v>113</v>
      </c>
      <c r="C38" s="36" t="str">
        <f aca="false">IF(COUNTIFS(Calc_Actuals!$F$2:$F$865,A38,Calc_Actuals!$H$2:$H$865,B38,Calc_Actuals!$C$2:$C$865,"Actual")&gt;0,"Yes","No")</f>
        <v>No</v>
      </c>
      <c r="D38" s="19" t="n">
        <f aca="false">SUMIFS(Budget_v2_Synthetic!$J$13:$J$300,Budget_v2_Synthetic!$B$13:$B$300,$A38,Budget_v2_Synthetic!$C$13:$C$300,$B38,Budget_v2_Synthetic!$G$13:$G$300,Monthly_MIS!$B$5,Budget_v2_Synthetic!$O$13:$O$300,"&lt;="&amp;Monthly_MIS!$B$6,Budget_v2_Synthetic!$I$13:$I$300,"Actual")</f>
        <v>3161246.61011276</v>
      </c>
      <c r="E38" s="19" t="n">
        <f aca="false">SUMIFS(Budget_v2_Synthetic!$M$13:$M$300,Budget_v2_Synthetic!$B$13:$B$300,$A38,Budget_v2_Synthetic!$C$13:$C$300,$B38,Budget_v2_Synthetic!$G$13:$G$300,Monthly_MIS!$B$5,Budget_v2_Synthetic!$O$13:$O$300,"&lt;="&amp;Monthly_MIS!$B$6,Budget_v2_Synthetic!$I$13:$I$300,"Actual")</f>
        <v>0</v>
      </c>
      <c r="F38" s="37" t="str">
        <f aca="false">IF(C38="Yes",E38-D38,"excluded")</f>
        <v>excluded</v>
      </c>
      <c r="G38" s="9" t="str">
        <f aca="false">IF(C38="Yes",IF(D38=0,"n/a",F38/D38),"excluded")</f>
        <v>excluded</v>
      </c>
      <c r="H38" s="7" t="str">
        <f aca="false">IF(C38="Yes","","No actual sales for this cell in the source - budget excluded from variance")</f>
        <v>No actual sales for this cell in the source - budget excluded from variance</v>
      </c>
    </row>
    <row r="39" customFormat="false" ht="15" hidden="false" customHeight="false" outlineLevel="0" collapsed="false">
      <c r="A39" s="17" t="s">
        <v>100</v>
      </c>
      <c r="B39" s="17" t="s">
        <v>116</v>
      </c>
      <c r="C39" s="36" t="str">
        <f aca="false">IF(COUNTIFS(Calc_Actuals!$F$2:$F$865,A39,Calc_Actuals!$H$2:$H$865,B39,Calc_Actuals!$C$2:$C$865,"Actual")&gt;0,"Yes","No")</f>
        <v>No</v>
      </c>
      <c r="D39" s="19" t="n">
        <f aca="false">SUMIFS(Budget_v2_Synthetic!$J$13:$J$300,Budget_v2_Synthetic!$B$13:$B$300,$A39,Budget_v2_Synthetic!$C$13:$C$300,$B39,Budget_v2_Synthetic!$G$13:$G$300,Monthly_MIS!$B$5,Budget_v2_Synthetic!$O$13:$O$300,"&lt;="&amp;Monthly_MIS!$B$6,Budget_v2_Synthetic!$I$13:$I$300,"Actual")</f>
        <v>2926622.83826845</v>
      </c>
      <c r="E39" s="19" t="n">
        <f aca="false">SUMIFS(Budget_v2_Synthetic!$M$13:$M$300,Budget_v2_Synthetic!$B$13:$B$300,$A39,Budget_v2_Synthetic!$C$13:$C$300,$B39,Budget_v2_Synthetic!$G$13:$G$300,Monthly_MIS!$B$5,Budget_v2_Synthetic!$O$13:$O$300,"&lt;="&amp;Monthly_MIS!$B$6,Budget_v2_Synthetic!$I$13:$I$300,"Actual")</f>
        <v>0</v>
      </c>
      <c r="F39" s="37" t="str">
        <f aca="false">IF(C39="Yes",E39-D39,"excluded")</f>
        <v>excluded</v>
      </c>
      <c r="G39" s="9" t="str">
        <f aca="false">IF(C39="Yes",IF(D39=0,"n/a",F39/D39),"excluded")</f>
        <v>excluded</v>
      </c>
      <c r="H39" s="7" t="str">
        <f aca="false">IF(C39="Yes","","No actual sales for this cell in the source - budget excluded from variance")</f>
        <v>No actual sales for this cell in the source - budget excluded from variance</v>
      </c>
    </row>
    <row r="40" customFormat="false" ht="15" hidden="false" customHeight="false" outlineLevel="0" collapsed="false">
      <c r="A40" s="17" t="s">
        <v>100</v>
      </c>
      <c r="B40" s="17" t="s">
        <v>110</v>
      </c>
      <c r="C40" s="36" t="str">
        <f aca="false">IF(COUNTIFS(Calc_Actuals!$F$2:$F$865,A40,Calc_Actuals!$H$2:$H$865,B40,Calc_Actuals!$C$2:$C$865,"Actual")&gt;0,"Yes","No")</f>
        <v>No</v>
      </c>
      <c r="D40" s="19" t="n">
        <f aca="false">SUMIFS(Budget_v2_Synthetic!$J$13:$J$300,Budget_v2_Synthetic!$B$13:$B$300,$A40,Budget_v2_Synthetic!$C$13:$C$300,$B40,Budget_v2_Synthetic!$G$13:$G$300,Monthly_MIS!$B$5,Budget_v2_Synthetic!$O$13:$O$300,"&lt;="&amp;Monthly_MIS!$B$6,Budget_v2_Synthetic!$I$13:$I$300,"Actual")</f>
        <v>2556164.25114586</v>
      </c>
      <c r="E40" s="19" t="n">
        <f aca="false">SUMIFS(Budget_v2_Synthetic!$M$13:$M$300,Budget_v2_Synthetic!$B$13:$B$300,$A40,Budget_v2_Synthetic!$C$13:$C$300,$B40,Budget_v2_Synthetic!$G$13:$G$300,Monthly_MIS!$B$5,Budget_v2_Synthetic!$O$13:$O$300,"&lt;="&amp;Monthly_MIS!$B$6,Budget_v2_Synthetic!$I$13:$I$300,"Actual")</f>
        <v>0</v>
      </c>
      <c r="F40" s="37" t="str">
        <f aca="false">IF(C40="Yes",E40-D40,"excluded")</f>
        <v>excluded</v>
      </c>
      <c r="G40" s="9" t="str">
        <f aca="false">IF(C40="Yes",IF(D40=0,"n/a",F40/D40),"excluded")</f>
        <v>excluded</v>
      </c>
      <c r="H40" s="7" t="str">
        <f aca="false">IF(C40="Yes","","No actual sales for this cell in the source - budget excluded from variance")</f>
        <v>No actual sales for this cell in the source - budget excluded from variance</v>
      </c>
    </row>
    <row r="41" customFormat="false" ht="15" hidden="false" customHeight="false" outlineLevel="0" collapsed="false">
      <c r="A41" s="17" t="s">
        <v>100</v>
      </c>
      <c r="B41" s="17" t="s">
        <v>113</v>
      </c>
      <c r="C41" s="36" t="str">
        <f aca="false">IF(COUNTIFS(Calc_Actuals!$F$2:$F$865,A41,Calc_Actuals!$H$2:$H$865,B41,Calc_Actuals!$C$2:$C$865,"Actual")&gt;0,"Yes","No")</f>
        <v>Yes</v>
      </c>
      <c r="D41" s="19" t="n">
        <f aca="false">SUMIFS(Budget_v2_Synthetic!$J$13:$J$300,Budget_v2_Synthetic!$B$13:$B$300,$A41,Budget_v2_Synthetic!$C$13:$C$300,$B41,Budget_v2_Synthetic!$G$13:$G$300,Monthly_MIS!$B$5,Budget_v2_Synthetic!$O$13:$O$300,"&lt;="&amp;Monthly_MIS!$B$6,Budget_v2_Synthetic!$I$13:$I$300,"Actual")</f>
        <v>2741393.54470716</v>
      </c>
      <c r="E41" s="19" t="n">
        <f aca="false">SUMIFS(Budget_v2_Synthetic!$M$13:$M$300,Budget_v2_Synthetic!$B$13:$B$300,$A41,Budget_v2_Synthetic!$C$13:$C$300,$B41,Budget_v2_Synthetic!$G$13:$G$300,Monthly_MIS!$B$5,Budget_v2_Synthetic!$O$13:$O$300,"&lt;="&amp;Monthly_MIS!$B$6,Budget_v2_Synthetic!$I$13:$I$300,"Actual")</f>
        <v>4914885.99</v>
      </c>
      <c r="F41" s="37" t="n">
        <f aca="false">IF(C41="Yes",E41-D41,"excluded")</f>
        <v>2173492.44529284</v>
      </c>
      <c r="G41" s="9" t="n">
        <f aca="false">IF(C41="Yes",IF(D41=0,"n/a",F41/D41),"excluded")</f>
        <v>0.792842184037835</v>
      </c>
      <c r="H41" s="7" t="str">
        <f aca="false">IF(C41="Yes","","No actual sales for this cell in the source - budget excluded from variance")</f>
        <v/>
      </c>
    </row>
    <row r="42" customFormat="false" ht="15" hidden="false" customHeight="false" outlineLevel="0" collapsed="false">
      <c r="A42" s="17" t="s">
        <v>101</v>
      </c>
      <c r="B42" s="17" t="s">
        <v>116</v>
      </c>
      <c r="C42" s="36" t="str">
        <f aca="false">IF(COUNTIFS(Calc_Actuals!$F$2:$F$865,A42,Calc_Actuals!$H$2:$H$865,B42,Calc_Actuals!$C$2:$C$865,"Actual")&gt;0,"Yes","No")</f>
        <v>Yes</v>
      </c>
      <c r="D42" s="19" t="n">
        <f aca="false">SUMIFS(Budget_v2_Synthetic!$J$13:$J$300,Budget_v2_Synthetic!$B$13:$B$300,$A42,Budget_v2_Synthetic!$C$13:$C$300,$B42,Budget_v2_Synthetic!$G$13:$G$300,Monthly_MIS!$B$5,Budget_v2_Synthetic!$O$13:$O$300,"&lt;="&amp;Monthly_MIS!$B$6,Budget_v2_Synthetic!$I$13:$I$300,"Actual")</f>
        <v>2716696.30556565</v>
      </c>
      <c r="E42" s="19" t="n">
        <f aca="false">SUMIFS(Budget_v2_Synthetic!$M$13:$M$300,Budget_v2_Synthetic!$B$13:$B$300,$A42,Budget_v2_Synthetic!$C$13:$C$300,$B42,Budget_v2_Synthetic!$G$13:$G$300,Monthly_MIS!$B$5,Budget_v2_Synthetic!$O$13:$O$300,"&lt;="&amp;Monthly_MIS!$B$6,Budget_v2_Synthetic!$I$13:$I$300,"Actual")</f>
        <v>1194511.47</v>
      </c>
      <c r="F42" s="37" t="n">
        <f aca="false">IF(C42="Yes",E42-D42,"excluded")</f>
        <v>-1522184.83556565</v>
      </c>
      <c r="G42" s="9" t="n">
        <f aca="false">IF(C42="Yes",IF(D42=0,"n/a",F42/D42),"excluded")</f>
        <v>-0.560307323438095</v>
      </c>
      <c r="H42" s="7" t="str">
        <f aca="false">IF(C42="Yes","","No actual sales for this cell in the source - budget excluded from variance")</f>
        <v/>
      </c>
    </row>
    <row r="43" customFormat="false" ht="15" hidden="false" customHeight="false" outlineLevel="0" collapsed="false">
      <c r="A43" s="17" t="s">
        <v>101</v>
      </c>
      <c r="B43" s="17" t="s">
        <v>110</v>
      </c>
      <c r="C43" s="36" t="str">
        <f aca="false">IF(COUNTIFS(Calc_Actuals!$F$2:$F$865,A43,Calc_Actuals!$H$2:$H$865,B43,Calc_Actuals!$C$2:$C$865,"Actual")&gt;0,"Yes","No")</f>
        <v>Yes</v>
      </c>
      <c r="D43" s="19" t="n">
        <f aca="false">SUMIFS(Budget_v2_Synthetic!$J$13:$J$300,Budget_v2_Synthetic!$B$13:$B$300,$A43,Budget_v2_Synthetic!$C$13:$C$300,$B43,Budget_v2_Synthetic!$G$13:$G$300,Monthly_MIS!$B$5,Budget_v2_Synthetic!$O$13:$O$300,"&lt;="&amp;Monthly_MIS!$B$6,Budget_v2_Synthetic!$I$13:$I$300,"Actual")</f>
        <v>2346237.71844306</v>
      </c>
      <c r="E43" s="19" t="n">
        <f aca="false">SUMIFS(Budget_v2_Synthetic!$M$13:$M$300,Budget_v2_Synthetic!$B$13:$B$300,$A43,Budget_v2_Synthetic!$C$13:$C$300,$B43,Budget_v2_Synthetic!$G$13:$G$300,Monthly_MIS!$B$5,Budget_v2_Synthetic!$O$13:$O$300,"&lt;="&amp;Monthly_MIS!$B$6,Budget_v2_Synthetic!$I$13:$I$300,"Actual")</f>
        <v>2199515.34</v>
      </c>
      <c r="F43" s="37" t="n">
        <f aca="false">IF(C43="Yes",E43-D43,"excluded")</f>
        <v>-146722.378443062</v>
      </c>
      <c r="G43" s="9" t="n">
        <f aca="false">IF(C43="Yes",IF(D43=0,"n/a",F43/D43),"excluded")</f>
        <v>-0.0625351716451073</v>
      </c>
      <c r="H43" s="7" t="str">
        <f aca="false">IF(C43="Yes","","No actual sales for this cell in the source - budget excluded from variance")</f>
        <v/>
      </c>
    </row>
    <row r="44" customFormat="false" ht="15" hidden="false" customHeight="false" outlineLevel="0" collapsed="false">
      <c r="A44" s="17" t="s">
        <v>101</v>
      </c>
      <c r="B44" s="17" t="s">
        <v>113</v>
      </c>
      <c r="C44" s="36" t="str">
        <f aca="false">IF(COUNTIFS(Calc_Actuals!$F$2:$F$865,A44,Calc_Actuals!$H$2:$H$865,B44,Calc_Actuals!$C$2:$C$865,"Actual")&gt;0,"Yes","No")</f>
        <v>No</v>
      </c>
      <c r="D44" s="19" t="n">
        <f aca="false">SUMIFS(Budget_v2_Synthetic!$J$13:$J$300,Budget_v2_Synthetic!$B$13:$B$300,$A44,Budget_v2_Synthetic!$C$13:$C$300,$B44,Budget_v2_Synthetic!$G$13:$G$300,Monthly_MIS!$B$5,Budget_v2_Synthetic!$O$13:$O$300,"&lt;="&amp;Monthly_MIS!$B$6,Budget_v2_Synthetic!$I$13:$I$300,"Actual")</f>
        <v>2531467.01200436</v>
      </c>
      <c r="E44" s="19" t="n">
        <f aca="false">SUMIFS(Budget_v2_Synthetic!$M$13:$M$300,Budget_v2_Synthetic!$B$13:$B$300,$A44,Budget_v2_Synthetic!$C$13:$C$300,$B44,Budget_v2_Synthetic!$G$13:$G$300,Monthly_MIS!$B$5,Budget_v2_Synthetic!$O$13:$O$300,"&lt;="&amp;Monthly_MIS!$B$6,Budget_v2_Synthetic!$I$13:$I$300,"Actual")</f>
        <v>0</v>
      </c>
      <c r="F44" s="37" t="str">
        <f aca="false">IF(C44="Yes",E44-D44,"excluded")</f>
        <v>excluded</v>
      </c>
      <c r="G44" s="9" t="str">
        <f aca="false">IF(C44="Yes",IF(D44=0,"n/a",F44/D44),"excluded")</f>
        <v>excluded</v>
      </c>
      <c r="H44" s="7" t="str">
        <f aca="false">IF(C44="Yes","","No actual sales for this cell in the source - budget excluded from variance")</f>
        <v>No actual sales for this cell in the source - budget excluded from variance</v>
      </c>
    </row>
    <row r="45" customFormat="false" ht="15" hidden="false" customHeight="false" outlineLevel="0" collapsed="false">
      <c r="A45" s="17" t="s">
        <v>102</v>
      </c>
      <c r="B45" s="17" t="s">
        <v>116</v>
      </c>
      <c r="C45" s="36" t="str">
        <f aca="false">IF(COUNTIFS(Calc_Actuals!$F$2:$F$865,A45,Calc_Actuals!$H$2:$H$865,B45,Calc_Actuals!$C$2:$C$865,"Actual")&gt;0,"Yes","No")</f>
        <v>No</v>
      </c>
      <c r="D45" s="19" t="n">
        <f aca="false">SUMIFS(Budget_v2_Synthetic!$J$13:$J$300,Budget_v2_Synthetic!$B$13:$B$300,$A45,Budget_v2_Synthetic!$C$13:$C$300,$B45,Budget_v2_Synthetic!$G$13:$G$300,Monthly_MIS!$B$5,Budget_v2_Synthetic!$O$13:$O$300,"&lt;="&amp;Monthly_MIS!$B$6,Budget_v2_Synthetic!$I$13:$I$300,"Actual")</f>
        <v>3136549.37097125</v>
      </c>
      <c r="E45" s="19" t="n">
        <f aca="false">SUMIFS(Budget_v2_Synthetic!$M$13:$M$300,Budget_v2_Synthetic!$B$13:$B$300,$A45,Budget_v2_Synthetic!$C$13:$C$300,$B45,Budget_v2_Synthetic!$G$13:$G$300,Monthly_MIS!$B$5,Budget_v2_Synthetic!$O$13:$O$300,"&lt;="&amp;Monthly_MIS!$B$6,Budget_v2_Synthetic!$I$13:$I$300,"Actual")</f>
        <v>0</v>
      </c>
      <c r="F45" s="37" t="str">
        <f aca="false">IF(C45="Yes",E45-D45,"excluded")</f>
        <v>excluded</v>
      </c>
      <c r="G45" s="9" t="str">
        <f aca="false">IF(C45="Yes",IF(D45=0,"n/a",F45/D45),"excluded")</f>
        <v>excluded</v>
      </c>
      <c r="H45" s="7" t="str">
        <f aca="false">IF(C45="Yes","","No actual sales for this cell in the source - budget excluded from variance")</f>
        <v>No actual sales for this cell in the source - budget excluded from variance</v>
      </c>
    </row>
    <row r="46" customFormat="false" ht="15" hidden="false" customHeight="false" outlineLevel="0" collapsed="false">
      <c r="A46" s="17" t="s">
        <v>102</v>
      </c>
      <c r="B46" s="17" t="s">
        <v>110</v>
      </c>
      <c r="C46" s="36" t="str">
        <f aca="false">IF(COUNTIFS(Calc_Actuals!$F$2:$F$865,A46,Calc_Actuals!$H$2:$H$865,B46,Calc_Actuals!$C$2:$C$865,"Actual")&gt;0,"Yes","No")</f>
        <v>Yes</v>
      </c>
      <c r="D46" s="19" t="n">
        <f aca="false">SUMIFS(Budget_v2_Synthetic!$J$13:$J$300,Budget_v2_Synthetic!$B$13:$B$300,$A46,Budget_v2_Synthetic!$C$13:$C$300,$B46,Budget_v2_Synthetic!$G$13:$G$300,Monthly_MIS!$B$5,Budget_v2_Synthetic!$O$13:$O$300,"&lt;="&amp;Monthly_MIS!$B$6,Budget_v2_Synthetic!$I$13:$I$300,"Actual")</f>
        <v>2766090.78384866</v>
      </c>
      <c r="E46" s="19" t="n">
        <f aca="false">SUMIFS(Budget_v2_Synthetic!$M$13:$M$300,Budget_v2_Synthetic!$B$13:$B$300,$A46,Budget_v2_Synthetic!$C$13:$C$300,$B46,Budget_v2_Synthetic!$G$13:$G$300,Monthly_MIS!$B$5,Budget_v2_Synthetic!$O$13:$O$300,"&lt;="&amp;Monthly_MIS!$B$6,Budget_v2_Synthetic!$I$13:$I$300,"Actual")</f>
        <v>1978588.16</v>
      </c>
      <c r="F46" s="37" t="n">
        <f aca="false">IF(C46="Yes",E46-D46,"excluded")</f>
        <v>-787502.623848663</v>
      </c>
      <c r="G46" s="9" t="n">
        <f aca="false">IF(C46="Yes",IF(D46=0,"n/a",F46/D46),"excluded")</f>
        <v>-0.284698762761847</v>
      </c>
      <c r="H46" s="7" t="str">
        <f aca="false">IF(C46="Yes","","No actual sales for this cell in the source - budget excluded from variance")</f>
        <v/>
      </c>
    </row>
    <row r="47" customFormat="false" ht="15" hidden="false" customHeight="false" outlineLevel="0" collapsed="false">
      <c r="A47" s="17" t="s">
        <v>102</v>
      </c>
      <c r="B47" s="17" t="s">
        <v>113</v>
      </c>
      <c r="C47" s="36" t="str">
        <f aca="false">IF(COUNTIFS(Calc_Actuals!$F$2:$F$865,A47,Calc_Actuals!$H$2:$H$865,B47,Calc_Actuals!$C$2:$C$865,"Actual")&gt;0,"Yes","No")</f>
        <v>Yes</v>
      </c>
      <c r="D47" s="19" t="n">
        <f aca="false">SUMIFS(Budget_v2_Synthetic!$J$13:$J$300,Budget_v2_Synthetic!$B$13:$B$300,$A47,Budget_v2_Synthetic!$C$13:$C$300,$B47,Budget_v2_Synthetic!$G$13:$G$300,Monthly_MIS!$B$5,Budget_v2_Synthetic!$O$13:$O$300,"&lt;="&amp;Monthly_MIS!$B$6,Budget_v2_Synthetic!$I$13:$I$300,"Actual")</f>
        <v>2951320.07740996</v>
      </c>
      <c r="E47" s="19" t="n">
        <f aca="false">SUMIFS(Budget_v2_Synthetic!$M$13:$M$300,Budget_v2_Synthetic!$B$13:$B$300,$A47,Budget_v2_Synthetic!$C$13:$C$300,$B47,Budget_v2_Synthetic!$G$13:$G$300,Monthly_MIS!$B$5,Budget_v2_Synthetic!$O$13:$O$300,"&lt;="&amp;Monthly_MIS!$B$6,Budget_v2_Synthetic!$I$13:$I$300,"Actual")</f>
        <v>3312413.23</v>
      </c>
      <c r="F47" s="37" t="n">
        <f aca="false">IF(C47="Yes",E47-D47,"excluded")</f>
        <v>361093.152590043</v>
      </c>
      <c r="G47" s="9" t="n">
        <f aca="false">IF(C47="Yes",IF(D47=0,"n/a",F47/D47),"excluded")</f>
        <v>0.122349708984101</v>
      </c>
      <c r="H47" s="7" t="str">
        <f aca="false">IF(C47="Yes","","No actual sales for this cell in the source - budget excluded from variance")</f>
        <v/>
      </c>
    </row>
    <row r="48" customFormat="false" ht="15" hidden="false" customHeight="false" outlineLevel="0" collapsed="false">
      <c r="A48" s="22" t="s">
        <v>140</v>
      </c>
      <c r="B48" s="23"/>
      <c r="C48" s="23"/>
      <c r="D48" s="25" t="n">
        <f aca="false">SUMIFS(D36:D47,C36:C47,"Yes")</f>
        <v>19844231.6502</v>
      </c>
      <c r="E48" s="25" t="n">
        <f aca="false">SUMIFS(E36:E47,C36:C47,"Yes")</f>
        <v>18093973.88</v>
      </c>
      <c r="F48" s="35" t="n">
        <f aca="false">E48-D48</f>
        <v>-1750257.7702</v>
      </c>
      <c r="G48" s="27" t="n">
        <f aca="false">IF(D48=0,"n/a",F48/D48)</f>
        <v>-0.0881998255741165</v>
      </c>
      <c r="H48" s="23"/>
    </row>
    <row r="49" customFormat="false" ht="15" hidden="false" customHeight="false" outlineLevel="0" collapsed="false">
      <c r="A49" s="5" t="s">
        <v>141</v>
      </c>
      <c r="D49" s="19" t="n">
        <f aca="false">SUMIFS(D36:D47,C36:C47,"No")</f>
        <v>14312050.0825027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D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4"/>
    <col collapsed="false" customWidth="true" hidden="false" outlineLevel="0" max="2" min="2" style="0" width="44"/>
    <col collapsed="false" customWidth="true" hidden="false" outlineLevel="0" max="3" min="3" style="0" width="92"/>
    <col collapsed="false" customWidth="true" hidden="false" outlineLevel="0" max="4" min="4" style="0" width="30"/>
  </cols>
  <sheetData>
    <row r="1" customFormat="false" ht="19.7" hidden="false" customHeight="false" outlineLevel="0" collapsed="false">
      <c r="A1" s="1" t="s">
        <v>142</v>
      </c>
    </row>
    <row r="2" customFormat="false" ht="15" hidden="false" customHeight="false" outlineLevel="0" collapsed="false">
      <c r="A2" s="2" t="s">
        <v>143</v>
      </c>
    </row>
    <row r="4" customFormat="false" ht="15" hidden="false" customHeight="false" outlineLevel="0" collapsed="false">
      <c r="A4" s="38" t="s">
        <v>144</v>
      </c>
      <c r="B4" s="38" t="s">
        <v>2</v>
      </c>
    </row>
    <row r="5" customFormat="false" ht="15" hidden="false" customHeight="false" outlineLevel="0" collapsed="false">
      <c r="A5" s="16" t="s">
        <v>145</v>
      </c>
      <c r="B5" s="39" t="n">
        <f aca="false">SUMPRODUCT(ISNUMBER(MATCH(Sales_Budget!$A$2:$A$289,Monthly_MIS!$A$9:$A$29,0))*Sales_Budget!$E$2:$E$289)/Monthly_MIS!E30</f>
        <v>7.05250678683301</v>
      </c>
    </row>
    <row r="6" customFormat="false" ht="15" hidden="false" customHeight="false" outlineLevel="0" collapsed="false">
      <c r="A6" s="16" t="s">
        <v>146</v>
      </c>
      <c r="B6" s="39" t="n">
        <f aca="false">SUMPRODUCT(ISNUMBER(MATCH(Budget_v2_Synthetic!$A$13:$A$300,Monthly_MIS!$A$9:$A$29,0))*Budget_v2_Synthetic!$H$13:$H$300*Budget_v2_Synthetic!$D$13:$D$300)/Monthly_MIS!E30</f>
        <v>4.09738915634152</v>
      </c>
    </row>
    <row r="7" customFormat="false" ht="15" hidden="false" customHeight="false" outlineLevel="0" collapsed="false">
      <c r="A7" s="16" t="s">
        <v>147</v>
      </c>
      <c r="B7" s="20" t="n">
        <f aca="false">1-B6/B5</f>
        <v>0.419016630513377</v>
      </c>
    </row>
    <row r="9" customFormat="false" ht="31.5" hidden="false" customHeight="true" outlineLevel="0" collapsed="false">
      <c r="A9" s="4" t="s">
        <v>148</v>
      </c>
      <c r="B9" s="4" t="s">
        <v>149</v>
      </c>
      <c r="C9" s="4" t="s">
        <v>150</v>
      </c>
      <c r="D9" s="4" t="s">
        <v>151</v>
      </c>
    </row>
    <row r="10" customFormat="false" ht="51.75" hidden="false" customHeight="true" outlineLevel="0" collapsed="false">
      <c r="A10" s="15" t="s">
        <v>152</v>
      </c>
      <c r="B10" s="14" t="s">
        <v>153</v>
      </c>
      <c r="C10" s="14" t="s">
        <v>154</v>
      </c>
      <c r="D10" s="15" t="s">
        <v>155</v>
      </c>
    </row>
    <row r="11" customFormat="false" ht="78" hidden="false" customHeight="true" outlineLevel="0" collapsed="false">
      <c r="A11" s="15" t="s">
        <v>156</v>
      </c>
      <c r="B11" s="14" t="s">
        <v>157</v>
      </c>
      <c r="C11" s="14" t="s">
        <v>158</v>
      </c>
      <c r="D11" s="15" t="s">
        <v>159</v>
      </c>
    </row>
    <row r="12" customFormat="false" ht="51.75" hidden="false" customHeight="true" outlineLevel="0" collapsed="false">
      <c r="A12" s="15" t="s">
        <v>160</v>
      </c>
      <c r="B12" s="14" t="s">
        <v>161</v>
      </c>
      <c r="C12" s="14" t="s">
        <v>162</v>
      </c>
      <c r="D12" s="15" t="s">
        <v>163</v>
      </c>
    </row>
    <row r="13" customFormat="false" ht="51.75" hidden="false" customHeight="true" outlineLevel="0" collapsed="false">
      <c r="A13" s="15" t="s">
        <v>164</v>
      </c>
      <c r="B13" s="14" t="s">
        <v>165</v>
      </c>
      <c r="C13" s="14" t="s">
        <v>166</v>
      </c>
      <c r="D13" s="15" t="s">
        <v>167</v>
      </c>
    </row>
    <row r="14" customFormat="false" ht="78" hidden="false" customHeight="true" outlineLevel="0" collapsed="false">
      <c r="A14" s="15" t="s">
        <v>168</v>
      </c>
      <c r="B14" s="14" t="s">
        <v>169</v>
      </c>
      <c r="C14" s="14" t="s">
        <v>170</v>
      </c>
      <c r="D14" s="15" t="s">
        <v>171</v>
      </c>
    </row>
    <row r="15" customFormat="false" ht="78" hidden="false" customHeight="true" outlineLevel="0" collapsed="false">
      <c r="A15" s="15" t="s">
        <v>172</v>
      </c>
      <c r="B15" s="14" t="s">
        <v>173</v>
      </c>
      <c r="C15" s="14" t="s">
        <v>174</v>
      </c>
      <c r="D15" s="15" t="s">
        <v>175</v>
      </c>
    </row>
    <row r="16" customFormat="false" ht="78" hidden="false" customHeight="true" outlineLevel="0" collapsed="false">
      <c r="A16" s="15" t="s">
        <v>176</v>
      </c>
      <c r="B16" s="14" t="s">
        <v>177</v>
      </c>
      <c r="C16" s="14" t="s">
        <v>178</v>
      </c>
      <c r="D16" s="15" t="s">
        <v>179</v>
      </c>
    </row>
    <row r="17" customFormat="false" ht="51.75" hidden="false" customHeight="true" outlineLevel="0" collapsed="false">
      <c r="A17" s="15" t="s">
        <v>180</v>
      </c>
      <c r="B17" s="14" t="s">
        <v>181</v>
      </c>
      <c r="C17" s="14" t="s">
        <v>182</v>
      </c>
      <c r="D17" s="15" t="s">
        <v>183</v>
      </c>
    </row>
    <row r="19" customFormat="false" ht="15" hidden="false" customHeight="false" outlineLevel="0" collapsed="false">
      <c r="A19" s="12" t="s">
        <v>184</v>
      </c>
    </row>
    <row r="20" customFormat="false" ht="91.5" hidden="false" customHeight="true" outlineLevel="0" collapsed="false">
      <c r="A20" s="13" t="s">
        <v>185</v>
      </c>
      <c r="B20" s="13"/>
      <c r="C20" s="13"/>
      <c r="D20" s="13"/>
    </row>
    <row r="22" customFormat="false" ht="15" hidden="false" customHeight="false" outlineLevel="0" collapsed="false">
      <c r="A22" s="12" t="s">
        <v>186</v>
      </c>
    </row>
    <row r="23" customFormat="false" ht="79.5" hidden="false" customHeight="true" outlineLevel="0" collapsed="false">
      <c r="A23" s="13" t="s">
        <v>187</v>
      </c>
      <c r="B23" s="13"/>
      <c r="C23" s="13"/>
      <c r="D23" s="13"/>
    </row>
  </sheetData>
  <mergeCells count="2">
    <mergeCell ref="A20:D20"/>
    <mergeCell ref="A23:D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P3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2" topLeftCell="D13" activePane="bottomRight" state="frozen"/>
      <selection pane="topLeft" activeCell="A1" activeCellId="0" sqref="A1"/>
      <selection pane="topRight" activeCell="D1" activeCellId="0" sqref="D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8"/>
    <col collapsed="false" customWidth="true" hidden="false" outlineLevel="0" max="3" min="3" style="0" width="16"/>
    <col collapsed="false" customWidth="true" hidden="false" outlineLevel="0" max="4" min="4" style="0" width="18"/>
    <col collapsed="false" customWidth="true" hidden="false" outlineLevel="0" max="6" min="5" style="0" width="16"/>
    <col collapsed="false" customWidth="true" hidden="false" outlineLevel="0" max="7" min="7" style="0" width="8"/>
    <col collapsed="false" customWidth="true" hidden="false" outlineLevel="0" max="8" min="8" style="0" width="10"/>
    <col collapsed="false" customWidth="true" hidden="false" outlineLevel="0" max="9" min="9" style="0" width="12"/>
    <col collapsed="false" customWidth="true" hidden="false" outlineLevel="0" max="14" min="10" style="0" width="16"/>
    <col collapsed="false" customWidth="true" hidden="false" outlineLevel="0" max="15" min="15" style="0" width="9"/>
    <col collapsed="false" customWidth="true" hidden="false" outlineLevel="0" max="16" min="16" style="0" width="26"/>
  </cols>
  <sheetData>
    <row r="1" customFormat="false" ht="15" hidden="false" customHeight="false" outlineLevel="0" collapsed="false">
      <c r="A1" s="33" t="s">
        <v>188</v>
      </c>
    </row>
    <row r="2" customFormat="false" ht="15" hidden="false" customHeight="false" outlineLevel="0" collapsed="false">
      <c r="A2" s="2" t="s">
        <v>189</v>
      </c>
    </row>
    <row r="4" customFormat="false" ht="15" hidden="false" customHeight="false" outlineLevel="0" collapsed="false">
      <c r="A4" s="16" t="s">
        <v>190</v>
      </c>
      <c r="B4" s="40" t="n">
        <v>2025</v>
      </c>
      <c r="C4" s="2" t="s">
        <v>191</v>
      </c>
    </row>
    <row r="5" customFormat="false" ht="15" hidden="false" customHeight="false" outlineLevel="0" collapsed="false">
      <c r="A5" s="16" t="s">
        <v>192</v>
      </c>
      <c r="B5" s="19" t="n">
        <f aca="false">SUMIFS(Calc_Actuals!$N$2:$N$865,Calc_Actuals!$J$2:$J$865,B4,Calc_Actuals!$C$2:$C$865,"Actual")</f>
        <v>24499051.42</v>
      </c>
      <c r="C5" s="2" t="s">
        <v>193</v>
      </c>
    </row>
    <row r="6" customFormat="false" ht="15" hidden="false" customHeight="false" outlineLevel="0" collapsed="false">
      <c r="A6" s="16" t="s">
        <v>194</v>
      </c>
      <c r="B6" s="19" t="n">
        <f aca="false">SUMIFS($D$13:$D$300,$G$13:$G$300,B4,$H$13:$H$300,1)</f>
        <v>96420000</v>
      </c>
      <c r="C6" s="2" t="s">
        <v>195</v>
      </c>
    </row>
    <row r="7" customFormat="false" ht="15" hidden="false" customHeight="false" outlineLevel="0" collapsed="false">
      <c r="A7" s="16" t="s">
        <v>196</v>
      </c>
      <c r="B7" s="41" t="n">
        <f aca="false">IF(B6=0,0,B5/B6)</f>
        <v>0.254086822443476</v>
      </c>
      <c r="C7" s="2" t="s">
        <v>197</v>
      </c>
    </row>
    <row r="8" customFormat="false" ht="15" hidden="false" customHeight="false" outlineLevel="0" collapsed="false">
      <c r="A8" s="16" t="s">
        <v>198</v>
      </c>
      <c r="B8" s="20" t="n">
        <f aca="false">SUM($F$13:$F$300)/SUM($D$13:$D$300)</f>
        <v>0.38</v>
      </c>
      <c r="C8" s="2" t="s">
        <v>199</v>
      </c>
    </row>
    <row r="9" customFormat="false" ht="61.5" hidden="false" customHeight="true" outlineLevel="0" collapsed="false">
      <c r="A9" s="13" t="s">
        <v>200</v>
      </c>
      <c r="B9" s="13"/>
      <c r="C9" s="13"/>
      <c r="D9" s="13"/>
      <c r="E9" s="13"/>
      <c r="F9" s="13"/>
      <c r="G9" s="13"/>
      <c r="H9" s="13"/>
      <c r="I9" s="13"/>
      <c r="J9" s="13"/>
      <c r="K9" s="13"/>
      <c r="L9" s="13"/>
      <c r="M9" s="13"/>
      <c r="N9" s="13"/>
      <c r="O9" s="13"/>
    </row>
    <row r="12" customFormat="false" ht="31.5" hidden="false" customHeight="true" outlineLevel="0" collapsed="false">
      <c r="A12" s="4" t="s">
        <v>50</v>
      </c>
      <c r="B12" s="4" t="s">
        <v>91</v>
      </c>
      <c r="C12" s="4" t="s">
        <v>107</v>
      </c>
      <c r="D12" s="4" t="s">
        <v>201</v>
      </c>
      <c r="E12" s="4" t="s">
        <v>202</v>
      </c>
      <c r="F12" s="4" t="s">
        <v>203</v>
      </c>
      <c r="G12" s="4" t="s">
        <v>51</v>
      </c>
      <c r="H12" s="4" t="s">
        <v>204</v>
      </c>
      <c r="I12" s="4" t="s">
        <v>205</v>
      </c>
      <c r="J12" s="4" t="s">
        <v>206</v>
      </c>
      <c r="K12" s="4" t="s">
        <v>207</v>
      </c>
      <c r="L12" s="4" t="s">
        <v>208</v>
      </c>
      <c r="M12" s="4" t="s">
        <v>209</v>
      </c>
      <c r="N12" s="4" t="s">
        <v>210</v>
      </c>
      <c r="O12" s="4" t="s">
        <v>211</v>
      </c>
      <c r="P12" s="4" t="s">
        <v>212</v>
      </c>
    </row>
    <row r="13" customFormat="false" ht="15" hidden="false" customHeight="false" outlineLevel="0" collapsed="false">
      <c r="A13" s="42" t="str">
        <f aca="false">Sales_Budget!A2</f>
        <v>2025-01</v>
      </c>
      <c r="B13" s="42" t="str">
        <f aca="false">Sales_Budget!B2</f>
        <v>South</v>
      </c>
      <c r="C13" s="42" t="str">
        <f aca="false">Sales_Budget!C2</f>
        <v>Home Care</v>
      </c>
      <c r="D13" s="43" t="n">
        <f aca="false">Sales_Budget!E2</f>
        <v>950000</v>
      </c>
      <c r="E13" s="43" t="n">
        <f aca="false">Sales_Budget!F2</f>
        <v>589000</v>
      </c>
      <c r="F13" s="43" t="n">
        <f aca="false">Sales_Budget!G2</f>
        <v>361000</v>
      </c>
      <c r="G13" s="42" t="n">
        <f aca="false">VALUE(LEFT(A13,4))</f>
        <v>2025</v>
      </c>
      <c r="H13" s="42" t="n">
        <f aca="false">IF(COUNTIFS(Calc_Actuals!$F$2:$F$865,B13,Calc_Actuals!$H$2:$H$865,C13,Calc_Actuals!$C$2:$C$865,"Actual")&gt;0,1,0)</f>
        <v>1</v>
      </c>
      <c r="I13" s="42" t="str">
        <f aca="false">IFERROR(INDEX(Calendar!$E$2:$E$25,MATCH(A13,Calendar!$A$2:$A$25,0)),"UNMATCHED")</f>
        <v>Actual</v>
      </c>
      <c r="J13" s="43" t="n">
        <f aca="false">D13*$B$7</f>
        <v>241382.481321303</v>
      </c>
      <c r="K13" s="43" t="n">
        <f aca="false">E13*$B$7</f>
        <v>149657.138419208</v>
      </c>
      <c r="L13" s="43" t="n">
        <f aca="false">F13*$B$7</f>
        <v>91725.342902095</v>
      </c>
      <c r="M13" s="43" t="n">
        <f aca="false">IF(I13="Actual",SUMIFS(Calc_Actuals!$N$2:$N$865,Calc_Actuals!$J$2:$J$865,G13,Calc_Actuals!$K$2:$K$865,O13,Calc_Actuals!$F$2:$F$865,B13,Calc_Actuals!$H$2:$H$865,C13,Calc_Actuals!$C$2:$C$865,"Actual"),0)</f>
        <v>334532.4</v>
      </c>
      <c r="N13" s="43" t="n">
        <f aca="false">IF(I13="Actual",SUMIFS(Calc_Actuals!$P$2:$P$865,Calc_Actuals!$J$2:$J$865,G13,Calc_Actuals!$K$2:$K$865,O13,Calc_Actuals!$F$2:$F$865,B13,Calc_Actuals!$H$2:$H$865,C13,Calc_Actuals!$C$2:$C$865,"Actual"),0)</f>
        <v>101418.48</v>
      </c>
      <c r="O13" s="42" t="n">
        <f aca="false">VALUE(RIGHT(A13,2))</f>
        <v>1</v>
      </c>
      <c r="P13" s="42" t="str">
        <f aca="false">A13&amp;"|"&amp;B13&amp;"|"&amp;C13</f>
        <v>2025-01|South|Home Care</v>
      </c>
    </row>
    <row r="14" customFormat="false" ht="15" hidden="false" customHeight="false" outlineLevel="0" collapsed="false">
      <c r="A14" s="42" t="str">
        <f aca="false">Sales_Budget!A3</f>
        <v>2025-01</v>
      </c>
      <c r="B14" s="42" t="str">
        <f aca="false">Sales_Budget!B3</f>
        <v>South</v>
      </c>
      <c r="C14" s="42" t="str">
        <f aca="false">Sales_Budget!C3</f>
        <v>Personal Care</v>
      </c>
      <c r="D14" s="43" t="n">
        <f aca="false">Sales_Budget!E3</f>
        <v>1025000</v>
      </c>
      <c r="E14" s="43" t="n">
        <f aca="false">Sales_Budget!F3</f>
        <v>635500</v>
      </c>
      <c r="F14" s="43" t="n">
        <f aca="false">Sales_Budget!G3</f>
        <v>389500</v>
      </c>
      <c r="G14" s="42" t="n">
        <f aca="false">VALUE(LEFT(A14,4))</f>
        <v>2025</v>
      </c>
      <c r="H14" s="42" t="n">
        <f aca="false">IF(COUNTIFS(Calc_Actuals!$F$2:$F$865,B14,Calc_Actuals!$H$2:$H$865,C14,Calc_Actuals!$C$2:$C$865,"Actual")&gt;0,1,0)</f>
        <v>0</v>
      </c>
      <c r="I14" s="42" t="str">
        <f aca="false">IFERROR(INDEX(Calendar!$E$2:$E$25,MATCH(A14,Calendar!$A$2:$A$25,0)),"UNMATCHED")</f>
        <v>Actual</v>
      </c>
      <c r="J14" s="43" t="n">
        <f aca="false">D14*$B$7</f>
        <v>260438.993004563</v>
      </c>
      <c r="K14" s="43" t="n">
        <f aca="false">E14*$B$7</f>
        <v>161472.175662829</v>
      </c>
      <c r="L14" s="43" t="n">
        <f aca="false">F14*$B$7</f>
        <v>98966.8173417341</v>
      </c>
      <c r="M14" s="43" t="n">
        <f aca="false">IF(I14="Actual",SUMIFS(Calc_Actuals!$N$2:$N$865,Calc_Actuals!$J$2:$J$865,G14,Calc_Actuals!$K$2:$K$865,O14,Calc_Actuals!$F$2:$F$865,B14,Calc_Actuals!$H$2:$H$865,C14,Calc_Actuals!$C$2:$C$865,"Actual"),0)</f>
        <v>0</v>
      </c>
      <c r="N14" s="43" t="n">
        <f aca="false">IF(I14="Actual",SUMIFS(Calc_Actuals!$P$2:$P$865,Calc_Actuals!$J$2:$J$865,G14,Calc_Actuals!$K$2:$K$865,O14,Calc_Actuals!$F$2:$F$865,B14,Calc_Actuals!$H$2:$H$865,C14,Calc_Actuals!$C$2:$C$865,"Actual"),0)</f>
        <v>0</v>
      </c>
      <c r="O14" s="42" t="n">
        <f aca="false">VALUE(RIGHT(A14,2))</f>
        <v>1</v>
      </c>
      <c r="P14" s="42" t="str">
        <f aca="false">A14&amp;"|"&amp;B14&amp;"|"&amp;C14</f>
        <v>2025-01|South|Personal Care</v>
      </c>
    </row>
    <row r="15" customFormat="false" ht="15" hidden="false" customHeight="false" outlineLevel="0" collapsed="false">
      <c r="A15" s="42" t="str">
        <f aca="false">Sales_Budget!A4</f>
        <v>2025-01</v>
      </c>
      <c r="B15" s="42" t="str">
        <f aca="false">Sales_Budget!B4</f>
        <v>South</v>
      </c>
      <c r="C15" s="42" t="str">
        <f aca="false">Sales_Budget!C4</f>
        <v>Foods</v>
      </c>
      <c r="D15" s="43" t="n">
        <f aca="false">Sales_Budget!E4</f>
        <v>1100000</v>
      </c>
      <c r="E15" s="43" t="n">
        <f aca="false">Sales_Budget!F4</f>
        <v>682000</v>
      </c>
      <c r="F15" s="43" t="n">
        <f aca="false">Sales_Budget!G4</f>
        <v>418000</v>
      </c>
      <c r="G15" s="42" t="n">
        <f aca="false">VALUE(LEFT(A15,4))</f>
        <v>2025</v>
      </c>
      <c r="H15" s="42" t="n">
        <f aca="false">IF(COUNTIFS(Calc_Actuals!$F$2:$F$865,B15,Calc_Actuals!$H$2:$H$865,C15,Calc_Actuals!$C$2:$C$865,"Actual")&gt;0,1,0)</f>
        <v>1</v>
      </c>
      <c r="I15" s="42" t="str">
        <f aca="false">IFERROR(INDEX(Calendar!$E$2:$E$25,MATCH(A15,Calendar!$A$2:$A$25,0)),"UNMATCHED")</f>
        <v>Actual</v>
      </c>
      <c r="J15" s="43" t="n">
        <f aca="false">D15*$B$7</f>
        <v>279495.504687824</v>
      </c>
      <c r="K15" s="43" t="n">
        <f aca="false">E15*$B$7</f>
        <v>173287.212906451</v>
      </c>
      <c r="L15" s="43" t="n">
        <f aca="false">F15*$B$7</f>
        <v>106208.291781373</v>
      </c>
      <c r="M15" s="43" t="n">
        <f aca="false">IF(I15="Actual",SUMIFS(Calc_Actuals!$N$2:$N$865,Calc_Actuals!$J$2:$J$865,G15,Calc_Actuals!$K$2:$K$865,O15,Calc_Actuals!$F$2:$F$865,B15,Calc_Actuals!$H$2:$H$865,C15,Calc_Actuals!$C$2:$C$865,"Actual"),0)</f>
        <v>155341.3</v>
      </c>
      <c r="N15" s="43" t="n">
        <f aca="false">IF(I15="Actual",SUMIFS(Calc_Actuals!$P$2:$P$865,Calc_Actuals!$J$2:$J$865,G15,Calc_Actuals!$K$2:$K$865,O15,Calc_Actuals!$F$2:$F$865,B15,Calc_Actuals!$H$2:$H$865,C15,Calc_Actuals!$C$2:$C$865,"Actual"),0)</f>
        <v>51116.98</v>
      </c>
      <c r="O15" s="42" t="n">
        <f aca="false">VALUE(RIGHT(A15,2))</f>
        <v>1</v>
      </c>
      <c r="P15" s="42" t="str">
        <f aca="false">A15&amp;"|"&amp;B15&amp;"|"&amp;C15</f>
        <v>2025-01|South|Foods</v>
      </c>
    </row>
    <row r="16" customFormat="false" ht="15" hidden="false" customHeight="false" outlineLevel="0" collapsed="false">
      <c r="A16" s="42" t="str">
        <f aca="false">Sales_Budget!A5</f>
        <v>2025-01</v>
      </c>
      <c r="B16" s="42" t="str">
        <f aca="false">Sales_Budget!B5</f>
        <v>North</v>
      </c>
      <c r="C16" s="42" t="str">
        <f aca="false">Sales_Budget!C5</f>
        <v>Home Care</v>
      </c>
      <c r="D16" s="43" t="n">
        <f aca="false">Sales_Budget!E5</f>
        <v>1035000</v>
      </c>
      <c r="E16" s="43" t="n">
        <f aca="false">Sales_Budget!F5</f>
        <v>641700</v>
      </c>
      <c r="F16" s="43" t="n">
        <f aca="false">Sales_Budget!G5</f>
        <v>393300</v>
      </c>
      <c r="G16" s="42" t="n">
        <f aca="false">VALUE(LEFT(A16,4))</f>
        <v>2025</v>
      </c>
      <c r="H16" s="42" t="n">
        <f aca="false">IF(COUNTIFS(Calc_Actuals!$F$2:$F$865,B16,Calc_Actuals!$H$2:$H$865,C16,Calc_Actuals!$C$2:$C$865,"Actual")&gt;0,1,0)</f>
        <v>0</v>
      </c>
      <c r="I16" s="42" t="str">
        <f aca="false">IFERROR(INDEX(Calendar!$E$2:$E$25,MATCH(A16,Calendar!$A$2:$A$25,0)),"UNMATCHED")</f>
        <v>Actual</v>
      </c>
      <c r="J16" s="43" t="n">
        <f aca="false">D16*$B$7</f>
        <v>262979.861228998</v>
      </c>
      <c r="K16" s="43" t="n">
        <f aca="false">E16*$B$7</f>
        <v>163047.513961979</v>
      </c>
      <c r="L16" s="43" t="n">
        <f aca="false">F16*$B$7</f>
        <v>99932.3472670193</v>
      </c>
      <c r="M16" s="43" t="n">
        <f aca="false">IF(I16="Actual",SUMIFS(Calc_Actuals!$N$2:$N$865,Calc_Actuals!$J$2:$J$865,G16,Calc_Actuals!$K$2:$K$865,O16,Calc_Actuals!$F$2:$F$865,B16,Calc_Actuals!$H$2:$H$865,C16,Calc_Actuals!$C$2:$C$865,"Actual"),0)</f>
        <v>0</v>
      </c>
      <c r="N16" s="43" t="n">
        <f aca="false">IF(I16="Actual",SUMIFS(Calc_Actuals!$P$2:$P$865,Calc_Actuals!$J$2:$J$865,G16,Calc_Actuals!$K$2:$K$865,O16,Calc_Actuals!$F$2:$F$865,B16,Calc_Actuals!$H$2:$H$865,C16,Calc_Actuals!$C$2:$C$865,"Actual"),0)</f>
        <v>0</v>
      </c>
      <c r="O16" s="42" t="n">
        <f aca="false">VALUE(RIGHT(A16,2))</f>
        <v>1</v>
      </c>
      <c r="P16" s="42" t="str">
        <f aca="false">A16&amp;"|"&amp;B16&amp;"|"&amp;C16</f>
        <v>2025-01|North|Home Care</v>
      </c>
    </row>
    <row r="17" customFormat="false" ht="15" hidden="false" customHeight="false" outlineLevel="0" collapsed="false">
      <c r="A17" s="42" t="str">
        <f aca="false">Sales_Budget!A6</f>
        <v>2025-01</v>
      </c>
      <c r="B17" s="42" t="str">
        <f aca="false">Sales_Budget!B6</f>
        <v>North</v>
      </c>
      <c r="C17" s="42" t="str">
        <f aca="false">Sales_Budget!C6</f>
        <v>Personal Care</v>
      </c>
      <c r="D17" s="43" t="n">
        <f aca="false">Sales_Budget!E6</f>
        <v>1110000</v>
      </c>
      <c r="E17" s="43" t="n">
        <f aca="false">Sales_Budget!F6</f>
        <v>688200</v>
      </c>
      <c r="F17" s="43" t="n">
        <f aca="false">Sales_Budget!G6</f>
        <v>421800</v>
      </c>
      <c r="G17" s="42" t="n">
        <f aca="false">VALUE(LEFT(A17,4))</f>
        <v>2025</v>
      </c>
      <c r="H17" s="42" t="n">
        <f aca="false">IF(COUNTIFS(Calc_Actuals!$F$2:$F$865,B17,Calc_Actuals!$H$2:$H$865,C17,Calc_Actuals!$C$2:$C$865,"Actual")&gt;0,1,0)</f>
        <v>1</v>
      </c>
      <c r="I17" s="42" t="str">
        <f aca="false">IFERROR(INDEX(Calendar!$E$2:$E$25,MATCH(A17,Calendar!$A$2:$A$25,0)),"UNMATCHED")</f>
        <v>Actual</v>
      </c>
      <c r="J17" s="43" t="n">
        <f aca="false">D17*$B$7</f>
        <v>282036.372912259</v>
      </c>
      <c r="K17" s="43" t="n">
        <f aca="false">E17*$B$7</f>
        <v>174862.551205601</v>
      </c>
      <c r="L17" s="43" t="n">
        <f aca="false">F17*$B$7</f>
        <v>107173.821706658</v>
      </c>
      <c r="M17" s="43" t="n">
        <f aca="false">IF(I17="Actual",SUMIFS(Calc_Actuals!$N$2:$N$865,Calc_Actuals!$J$2:$J$865,G17,Calc_Actuals!$K$2:$K$865,O17,Calc_Actuals!$F$2:$F$865,B17,Calc_Actuals!$H$2:$H$865,C17,Calc_Actuals!$C$2:$C$865,"Actual"),0)</f>
        <v>745665.04</v>
      </c>
      <c r="N17" s="43" t="n">
        <f aca="false">IF(I17="Actual",SUMIFS(Calc_Actuals!$P$2:$P$865,Calc_Actuals!$J$2:$J$865,G17,Calc_Actuals!$K$2:$K$865,O17,Calc_Actuals!$F$2:$F$865,B17,Calc_Actuals!$H$2:$H$865,C17,Calc_Actuals!$C$2:$C$865,"Actual"),0)</f>
        <v>276602.31</v>
      </c>
      <c r="O17" s="42" t="n">
        <f aca="false">VALUE(RIGHT(A17,2))</f>
        <v>1</v>
      </c>
      <c r="P17" s="42" t="str">
        <f aca="false">A17&amp;"|"&amp;B17&amp;"|"&amp;C17</f>
        <v>2025-01|North|Personal Care</v>
      </c>
    </row>
    <row r="18" customFormat="false" ht="15" hidden="false" customHeight="false" outlineLevel="0" collapsed="false">
      <c r="A18" s="42" t="str">
        <f aca="false">Sales_Budget!A7</f>
        <v>2025-01</v>
      </c>
      <c r="B18" s="42" t="str">
        <f aca="false">Sales_Budget!B7</f>
        <v>North</v>
      </c>
      <c r="C18" s="42" t="str">
        <f aca="false">Sales_Budget!C7</f>
        <v>Foods</v>
      </c>
      <c r="D18" s="43" t="n">
        <f aca="false">Sales_Budget!E7</f>
        <v>1185000</v>
      </c>
      <c r="E18" s="43" t="n">
        <f aca="false">Sales_Budget!F7</f>
        <v>734700</v>
      </c>
      <c r="F18" s="43" t="n">
        <f aca="false">Sales_Budget!G7</f>
        <v>450300</v>
      </c>
      <c r="G18" s="42" t="n">
        <f aca="false">VALUE(LEFT(A18,4))</f>
        <v>2025</v>
      </c>
      <c r="H18" s="42" t="n">
        <f aca="false">IF(COUNTIFS(Calc_Actuals!$F$2:$F$865,B18,Calc_Actuals!$H$2:$H$865,C18,Calc_Actuals!$C$2:$C$865,"Actual")&gt;0,1,0)</f>
        <v>0</v>
      </c>
      <c r="I18" s="42" t="str">
        <f aca="false">IFERROR(INDEX(Calendar!$E$2:$E$25,MATCH(A18,Calendar!$A$2:$A$25,0)),"UNMATCHED")</f>
        <v>Actual</v>
      </c>
      <c r="J18" s="43" t="n">
        <f aca="false">D18*$B$7</f>
        <v>301092.88459552</v>
      </c>
      <c r="K18" s="43" t="n">
        <f aca="false">E18*$B$7</f>
        <v>186677.588449222</v>
      </c>
      <c r="L18" s="43" t="n">
        <f aca="false">F18*$B$7</f>
        <v>114415.296146297</v>
      </c>
      <c r="M18" s="43" t="n">
        <f aca="false">IF(I18="Actual",SUMIFS(Calc_Actuals!$N$2:$N$865,Calc_Actuals!$J$2:$J$865,G18,Calc_Actuals!$K$2:$K$865,O18,Calc_Actuals!$F$2:$F$865,B18,Calc_Actuals!$H$2:$H$865,C18,Calc_Actuals!$C$2:$C$865,"Actual"),0)</f>
        <v>0</v>
      </c>
      <c r="N18" s="43" t="n">
        <f aca="false">IF(I18="Actual",SUMIFS(Calc_Actuals!$P$2:$P$865,Calc_Actuals!$J$2:$J$865,G18,Calc_Actuals!$K$2:$K$865,O18,Calc_Actuals!$F$2:$F$865,B18,Calc_Actuals!$H$2:$H$865,C18,Calc_Actuals!$C$2:$C$865,"Actual"),0)</f>
        <v>0</v>
      </c>
      <c r="O18" s="42" t="n">
        <f aca="false">VALUE(RIGHT(A18,2))</f>
        <v>1</v>
      </c>
      <c r="P18" s="42" t="str">
        <f aca="false">A18&amp;"|"&amp;B18&amp;"|"&amp;C18</f>
        <v>2025-01|North|Foods</v>
      </c>
    </row>
    <row r="19" customFormat="false" ht="15" hidden="false" customHeight="false" outlineLevel="0" collapsed="false">
      <c r="A19" s="42" t="str">
        <f aca="false">Sales_Budget!A8</f>
        <v>2025-01</v>
      </c>
      <c r="B19" s="42" t="str">
        <f aca="false">Sales_Budget!B8</f>
        <v>West</v>
      </c>
      <c r="C19" s="42" t="str">
        <f aca="false">Sales_Budget!C8</f>
        <v>Home Care</v>
      </c>
      <c r="D19" s="43" t="n">
        <f aca="false">Sales_Budget!E8</f>
        <v>1120000</v>
      </c>
      <c r="E19" s="43" t="n">
        <f aca="false">Sales_Budget!F8</f>
        <v>694400</v>
      </c>
      <c r="F19" s="43" t="n">
        <f aca="false">Sales_Budget!G8</f>
        <v>425600</v>
      </c>
      <c r="G19" s="42" t="n">
        <f aca="false">VALUE(LEFT(A19,4))</f>
        <v>2025</v>
      </c>
      <c r="H19" s="42" t="n">
        <f aca="false">IF(COUNTIFS(Calc_Actuals!$F$2:$F$865,B19,Calc_Actuals!$H$2:$H$865,C19,Calc_Actuals!$C$2:$C$865,"Actual")&gt;0,1,0)</f>
        <v>1</v>
      </c>
      <c r="I19" s="42" t="str">
        <f aca="false">IFERROR(INDEX(Calendar!$E$2:$E$25,MATCH(A19,Calendar!$A$2:$A$25,0)),"UNMATCHED")</f>
        <v>Actual</v>
      </c>
      <c r="J19" s="43" t="n">
        <f aca="false">D19*$B$7</f>
        <v>284577.241136694</v>
      </c>
      <c r="K19" s="43" t="n">
        <f aca="false">E19*$B$7</f>
        <v>176437.88950475</v>
      </c>
      <c r="L19" s="43" t="n">
        <f aca="false">F19*$B$7</f>
        <v>108139.351631944</v>
      </c>
      <c r="M19" s="43" t="n">
        <f aca="false">IF(I19="Actual",SUMIFS(Calc_Actuals!$N$2:$N$865,Calc_Actuals!$J$2:$J$865,G19,Calc_Actuals!$K$2:$K$865,O19,Calc_Actuals!$F$2:$F$865,B19,Calc_Actuals!$H$2:$H$865,C19,Calc_Actuals!$C$2:$C$865,"Actual"),0)</f>
        <v>246729.6</v>
      </c>
      <c r="N19" s="43" t="n">
        <f aca="false">IF(I19="Actual",SUMIFS(Calc_Actuals!$P$2:$P$865,Calc_Actuals!$J$2:$J$865,G19,Calc_Actuals!$K$2:$K$865,O19,Calc_Actuals!$F$2:$F$865,B19,Calc_Actuals!$H$2:$H$865,C19,Calc_Actuals!$C$2:$C$865,"Actual"),0)</f>
        <v>93545.04</v>
      </c>
      <c r="O19" s="42" t="n">
        <f aca="false">VALUE(RIGHT(A19,2))</f>
        <v>1</v>
      </c>
      <c r="P19" s="42" t="str">
        <f aca="false">A19&amp;"|"&amp;B19&amp;"|"&amp;C19</f>
        <v>2025-01|West|Home Care</v>
      </c>
    </row>
    <row r="20" customFormat="false" ht="15" hidden="false" customHeight="false" outlineLevel="0" collapsed="false">
      <c r="A20" s="42" t="str">
        <f aca="false">Sales_Budget!A9</f>
        <v>2025-01</v>
      </c>
      <c r="B20" s="42" t="str">
        <f aca="false">Sales_Budget!B9</f>
        <v>West</v>
      </c>
      <c r="C20" s="42" t="str">
        <f aca="false">Sales_Budget!C9</f>
        <v>Personal Care</v>
      </c>
      <c r="D20" s="43" t="n">
        <f aca="false">Sales_Budget!E9</f>
        <v>1195000</v>
      </c>
      <c r="E20" s="43" t="n">
        <f aca="false">Sales_Budget!F9</f>
        <v>740900</v>
      </c>
      <c r="F20" s="43" t="n">
        <f aca="false">Sales_Budget!G9</f>
        <v>454100</v>
      </c>
      <c r="G20" s="42" t="n">
        <f aca="false">VALUE(LEFT(A20,4))</f>
        <v>2025</v>
      </c>
      <c r="H20" s="42" t="n">
        <f aca="false">IF(COUNTIFS(Calc_Actuals!$F$2:$F$865,B20,Calc_Actuals!$H$2:$H$865,C20,Calc_Actuals!$C$2:$C$865,"Actual")&gt;0,1,0)</f>
        <v>1</v>
      </c>
      <c r="I20" s="42" t="str">
        <f aca="false">IFERROR(INDEX(Calendar!$E$2:$E$25,MATCH(A20,Calendar!$A$2:$A$25,0)),"UNMATCHED")</f>
        <v>Actual</v>
      </c>
      <c r="J20" s="43" t="n">
        <f aca="false">D20*$B$7</f>
        <v>303633.752819954</v>
      </c>
      <c r="K20" s="43" t="n">
        <f aca="false">E20*$B$7</f>
        <v>188252.926748372</v>
      </c>
      <c r="L20" s="43" t="n">
        <f aca="false">F20*$B$7</f>
        <v>115380.826071583</v>
      </c>
      <c r="M20" s="43" t="n">
        <f aca="false">IF(I20="Actual",SUMIFS(Calc_Actuals!$N$2:$N$865,Calc_Actuals!$J$2:$J$865,G20,Calc_Actuals!$K$2:$K$865,O20,Calc_Actuals!$F$2:$F$865,B20,Calc_Actuals!$H$2:$H$865,C20,Calc_Actuals!$C$2:$C$865,"Actual"),0)</f>
        <v>326794.66</v>
      </c>
      <c r="N20" s="43" t="n">
        <f aca="false">IF(I20="Actual",SUMIFS(Calc_Actuals!$P$2:$P$865,Calc_Actuals!$J$2:$J$865,G20,Calc_Actuals!$K$2:$K$865,O20,Calc_Actuals!$F$2:$F$865,B20,Calc_Actuals!$H$2:$H$865,C20,Calc_Actuals!$C$2:$C$865,"Actual"),0)</f>
        <v>114691.87</v>
      </c>
      <c r="O20" s="42" t="n">
        <f aca="false">VALUE(RIGHT(A20,2))</f>
        <v>1</v>
      </c>
      <c r="P20" s="42" t="str">
        <f aca="false">A20&amp;"|"&amp;B20&amp;"|"&amp;C20</f>
        <v>2025-01|West|Personal Care</v>
      </c>
    </row>
    <row r="21" customFormat="false" ht="15" hidden="false" customHeight="false" outlineLevel="0" collapsed="false">
      <c r="A21" s="42" t="str">
        <f aca="false">Sales_Budget!A10</f>
        <v>2025-01</v>
      </c>
      <c r="B21" s="42" t="str">
        <f aca="false">Sales_Budget!B10</f>
        <v>West</v>
      </c>
      <c r="C21" s="42" t="str">
        <f aca="false">Sales_Budget!C10</f>
        <v>Foods</v>
      </c>
      <c r="D21" s="43" t="n">
        <f aca="false">Sales_Budget!E10</f>
        <v>1270000</v>
      </c>
      <c r="E21" s="43" t="n">
        <f aca="false">Sales_Budget!F10</f>
        <v>787400</v>
      </c>
      <c r="F21" s="43" t="n">
        <f aca="false">Sales_Budget!G10</f>
        <v>482600</v>
      </c>
      <c r="G21" s="42" t="n">
        <f aca="false">VALUE(LEFT(A21,4))</f>
        <v>2025</v>
      </c>
      <c r="H21" s="42" t="n">
        <f aca="false">IF(COUNTIFS(Calc_Actuals!$F$2:$F$865,B21,Calc_Actuals!$H$2:$H$865,C21,Calc_Actuals!$C$2:$C$865,"Actual")&gt;0,1,0)</f>
        <v>0</v>
      </c>
      <c r="I21" s="42" t="str">
        <f aca="false">IFERROR(INDEX(Calendar!$E$2:$E$25,MATCH(A21,Calendar!$A$2:$A$25,0)),"UNMATCHED")</f>
        <v>Actual</v>
      </c>
      <c r="J21" s="43" t="n">
        <f aca="false">D21*$B$7</f>
        <v>322690.264503215</v>
      </c>
      <c r="K21" s="43" t="n">
        <f aca="false">E21*$B$7</f>
        <v>200067.963991993</v>
      </c>
      <c r="L21" s="43" t="n">
        <f aca="false">F21*$B$7</f>
        <v>122622.300511222</v>
      </c>
      <c r="M21" s="43" t="n">
        <f aca="false">IF(I21="Actual",SUMIFS(Calc_Actuals!$N$2:$N$865,Calc_Actuals!$J$2:$J$865,G21,Calc_Actuals!$K$2:$K$865,O21,Calc_Actuals!$F$2:$F$865,B21,Calc_Actuals!$H$2:$H$865,C21,Calc_Actuals!$C$2:$C$865,"Actual"),0)</f>
        <v>0</v>
      </c>
      <c r="N21" s="43" t="n">
        <f aca="false">IF(I21="Actual",SUMIFS(Calc_Actuals!$P$2:$P$865,Calc_Actuals!$J$2:$J$865,G21,Calc_Actuals!$K$2:$K$865,O21,Calc_Actuals!$F$2:$F$865,B21,Calc_Actuals!$H$2:$H$865,C21,Calc_Actuals!$C$2:$C$865,"Actual"),0)</f>
        <v>0</v>
      </c>
      <c r="O21" s="42" t="n">
        <f aca="false">VALUE(RIGHT(A21,2))</f>
        <v>1</v>
      </c>
      <c r="P21" s="42" t="str">
        <f aca="false">A21&amp;"|"&amp;B21&amp;"|"&amp;C21</f>
        <v>2025-01|West|Foods</v>
      </c>
    </row>
    <row r="22" customFormat="false" ht="15" hidden="false" customHeight="false" outlineLevel="0" collapsed="false">
      <c r="A22" s="42" t="str">
        <f aca="false">Sales_Budget!A11</f>
        <v>2025-01</v>
      </c>
      <c r="B22" s="42" t="str">
        <f aca="false">Sales_Budget!B11</f>
        <v>East</v>
      </c>
      <c r="C22" s="42" t="str">
        <f aca="false">Sales_Budget!C11</f>
        <v>Home Care</v>
      </c>
      <c r="D22" s="43" t="n">
        <f aca="false">Sales_Budget!E11</f>
        <v>1205000</v>
      </c>
      <c r="E22" s="43" t="n">
        <f aca="false">Sales_Budget!F11</f>
        <v>747100</v>
      </c>
      <c r="F22" s="43" t="n">
        <f aca="false">Sales_Budget!G11</f>
        <v>457900</v>
      </c>
      <c r="G22" s="42" t="n">
        <f aca="false">VALUE(LEFT(A22,4))</f>
        <v>2025</v>
      </c>
      <c r="H22" s="42" t="n">
        <f aca="false">IF(COUNTIFS(Calc_Actuals!$F$2:$F$865,B22,Calc_Actuals!$H$2:$H$865,C22,Calc_Actuals!$C$2:$C$865,"Actual")&gt;0,1,0)</f>
        <v>1</v>
      </c>
      <c r="I22" s="42" t="str">
        <f aca="false">IFERROR(INDEX(Calendar!$E$2:$E$25,MATCH(A22,Calendar!$A$2:$A$25,0)),"UNMATCHED")</f>
        <v>Actual</v>
      </c>
      <c r="J22" s="43" t="n">
        <f aca="false">D22*$B$7</f>
        <v>306174.621044389</v>
      </c>
      <c r="K22" s="43" t="n">
        <f aca="false">E22*$B$7</f>
        <v>189828.265047521</v>
      </c>
      <c r="L22" s="43" t="n">
        <f aca="false">F22*$B$7</f>
        <v>116346.355996868</v>
      </c>
      <c r="M22" s="43" t="n">
        <f aca="false">IF(I22="Actual",SUMIFS(Calc_Actuals!$N$2:$N$865,Calc_Actuals!$J$2:$J$865,G22,Calc_Actuals!$K$2:$K$865,O22,Calc_Actuals!$F$2:$F$865,B22,Calc_Actuals!$H$2:$H$865,C22,Calc_Actuals!$C$2:$C$865,"Actual"),0)</f>
        <v>196945.92</v>
      </c>
      <c r="N22" s="43" t="n">
        <f aca="false">IF(I22="Actual",SUMIFS(Calc_Actuals!$P$2:$P$865,Calc_Actuals!$J$2:$J$865,G22,Calc_Actuals!$K$2:$K$865,O22,Calc_Actuals!$F$2:$F$865,B22,Calc_Actuals!$H$2:$H$865,C22,Calc_Actuals!$C$2:$C$865,"Actual"),0)</f>
        <v>73582.06</v>
      </c>
      <c r="O22" s="42" t="n">
        <f aca="false">VALUE(RIGHT(A22,2))</f>
        <v>1</v>
      </c>
      <c r="P22" s="42" t="str">
        <f aca="false">A22&amp;"|"&amp;B22&amp;"|"&amp;C22</f>
        <v>2025-01|East|Home Care</v>
      </c>
    </row>
    <row r="23" customFormat="false" ht="15" hidden="false" customHeight="false" outlineLevel="0" collapsed="false">
      <c r="A23" s="42" t="str">
        <f aca="false">Sales_Budget!A12</f>
        <v>2025-01</v>
      </c>
      <c r="B23" s="42" t="str">
        <f aca="false">Sales_Budget!B12</f>
        <v>East</v>
      </c>
      <c r="C23" s="42" t="str">
        <f aca="false">Sales_Budget!C12</f>
        <v>Personal Care</v>
      </c>
      <c r="D23" s="43" t="n">
        <f aca="false">Sales_Budget!E12</f>
        <v>1280000</v>
      </c>
      <c r="E23" s="43" t="n">
        <f aca="false">Sales_Budget!F12</f>
        <v>793600</v>
      </c>
      <c r="F23" s="43" t="n">
        <f aca="false">Sales_Budget!G12</f>
        <v>486400</v>
      </c>
      <c r="G23" s="42" t="n">
        <f aca="false">VALUE(LEFT(A23,4))</f>
        <v>2025</v>
      </c>
      <c r="H23" s="42" t="n">
        <f aca="false">IF(COUNTIFS(Calc_Actuals!$F$2:$F$865,B23,Calc_Actuals!$H$2:$H$865,C23,Calc_Actuals!$C$2:$C$865,"Actual")&gt;0,1,0)</f>
        <v>0</v>
      </c>
      <c r="I23" s="42" t="str">
        <f aca="false">IFERROR(INDEX(Calendar!$E$2:$E$25,MATCH(A23,Calendar!$A$2:$A$25,0)),"UNMATCHED")</f>
        <v>Actual</v>
      </c>
      <c r="J23" s="43" t="n">
        <f aca="false">D23*$B$7</f>
        <v>325231.13272765</v>
      </c>
      <c r="K23" s="43" t="n">
        <f aca="false">E23*$B$7</f>
        <v>201643.302291143</v>
      </c>
      <c r="L23" s="43" t="n">
        <f aca="false">F23*$B$7</f>
        <v>123587.830436507</v>
      </c>
      <c r="M23" s="43" t="n">
        <f aca="false">IF(I23="Actual",SUMIFS(Calc_Actuals!$N$2:$N$865,Calc_Actuals!$J$2:$J$865,G23,Calc_Actuals!$K$2:$K$865,O23,Calc_Actuals!$F$2:$F$865,B23,Calc_Actuals!$H$2:$H$865,C23,Calc_Actuals!$C$2:$C$865,"Actual"),0)</f>
        <v>0</v>
      </c>
      <c r="N23" s="43" t="n">
        <f aca="false">IF(I23="Actual",SUMIFS(Calc_Actuals!$P$2:$P$865,Calc_Actuals!$J$2:$J$865,G23,Calc_Actuals!$K$2:$K$865,O23,Calc_Actuals!$F$2:$F$865,B23,Calc_Actuals!$H$2:$H$865,C23,Calc_Actuals!$C$2:$C$865,"Actual"),0)</f>
        <v>0</v>
      </c>
      <c r="O23" s="42" t="n">
        <f aca="false">VALUE(RIGHT(A23,2))</f>
        <v>1</v>
      </c>
      <c r="P23" s="42" t="str">
        <f aca="false">A23&amp;"|"&amp;B23&amp;"|"&amp;C23</f>
        <v>2025-01|East|Personal Care</v>
      </c>
    </row>
    <row r="24" customFormat="false" ht="15" hidden="false" customHeight="false" outlineLevel="0" collapsed="false">
      <c r="A24" s="42" t="str">
        <f aca="false">Sales_Budget!A13</f>
        <v>2025-01</v>
      </c>
      <c r="B24" s="42" t="str">
        <f aca="false">Sales_Budget!B13</f>
        <v>East</v>
      </c>
      <c r="C24" s="42" t="str">
        <f aca="false">Sales_Budget!C13</f>
        <v>Foods</v>
      </c>
      <c r="D24" s="43" t="n">
        <f aca="false">Sales_Budget!E13</f>
        <v>1355000</v>
      </c>
      <c r="E24" s="43" t="n">
        <f aca="false">Sales_Budget!F13</f>
        <v>840100</v>
      </c>
      <c r="F24" s="43" t="n">
        <f aca="false">Sales_Budget!G13</f>
        <v>514900</v>
      </c>
      <c r="G24" s="42" t="n">
        <f aca="false">VALUE(LEFT(A24,4))</f>
        <v>2025</v>
      </c>
      <c r="H24" s="42" t="n">
        <f aca="false">IF(COUNTIFS(Calc_Actuals!$F$2:$F$865,B24,Calc_Actuals!$H$2:$H$865,C24,Calc_Actuals!$C$2:$C$865,"Actual")&gt;0,1,0)</f>
        <v>1</v>
      </c>
      <c r="I24" s="42" t="str">
        <f aca="false">IFERROR(INDEX(Calendar!$E$2:$E$25,MATCH(A24,Calendar!$A$2:$A$25,0)),"UNMATCHED")</f>
        <v>Actual</v>
      </c>
      <c r="J24" s="43" t="n">
        <f aca="false">D24*$B$7</f>
        <v>344287.644410911</v>
      </c>
      <c r="K24" s="43" t="n">
        <f aca="false">E24*$B$7</f>
        <v>213458.339534765</v>
      </c>
      <c r="L24" s="43" t="n">
        <f aca="false">F24*$B$7</f>
        <v>130829.304876146</v>
      </c>
      <c r="M24" s="43" t="n">
        <f aca="false">IF(I24="Actual",SUMIFS(Calc_Actuals!$N$2:$N$865,Calc_Actuals!$J$2:$J$865,G24,Calc_Actuals!$K$2:$K$865,O24,Calc_Actuals!$F$2:$F$865,B24,Calc_Actuals!$H$2:$H$865,C24,Calc_Actuals!$C$2:$C$865,"Actual"),0)</f>
        <v>229961.73</v>
      </c>
      <c r="N24" s="43" t="n">
        <f aca="false">IF(I24="Actual",SUMIFS(Calc_Actuals!$P$2:$P$865,Calc_Actuals!$J$2:$J$865,G24,Calc_Actuals!$K$2:$K$865,O24,Calc_Actuals!$F$2:$F$865,B24,Calc_Actuals!$H$2:$H$865,C24,Calc_Actuals!$C$2:$C$865,"Actual"),0)</f>
        <v>74424.9</v>
      </c>
      <c r="O24" s="42" t="n">
        <f aca="false">VALUE(RIGHT(A24,2))</f>
        <v>1</v>
      </c>
      <c r="P24" s="42" t="str">
        <f aca="false">A24&amp;"|"&amp;B24&amp;"|"&amp;C24</f>
        <v>2025-01|East|Foods</v>
      </c>
    </row>
    <row r="25" customFormat="false" ht="15" hidden="false" customHeight="false" outlineLevel="0" collapsed="false">
      <c r="A25" s="42" t="str">
        <f aca="false">Sales_Budget!A14</f>
        <v>2025-02</v>
      </c>
      <c r="B25" s="42" t="str">
        <f aca="false">Sales_Budget!B14</f>
        <v>South</v>
      </c>
      <c r="C25" s="42" t="str">
        <f aca="false">Sales_Budget!C14</f>
        <v>Home Care</v>
      </c>
      <c r="D25" s="43" t="n">
        <f aca="false">Sales_Budget!E14</f>
        <v>950000</v>
      </c>
      <c r="E25" s="43" t="n">
        <f aca="false">Sales_Budget!F14</f>
        <v>589000</v>
      </c>
      <c r="F25" s="43" t="n">
        <f aca="false">Sales_Budget!G14</f>
        <v>361000</v>
      </c>
      <c r="G25" s="42" t="n">
        <f aca="false">VALUE(LEFT(A25,4))</f>
        <v>2025</v>
      </c>
      <c r="H25" s="42" t="n">
        <f aca="false">IF(COUNTIFS(Calc_Actuals!$F$2:$F$865,B25,Calc_Actuals!$H$2:$H$865,C25,Calc_Actuals!$C$2:$C$865,"Actual")&gt;0,1,0)</f>
        <v>1</v>
      </c>
      <c r="I25" s="42" t="str">
        <f aca="false">IFERROR(INDEX(Calendar!$E$2:$E$25,MATCH(A25,Calendar!$A$2:$A$25,0)),"UNMATCHED")</f>
        <v>Actual</v>
      </c>
      <c r="J25" s="43" t="n">
        <f aca="false">D25*$B$7</f>
        <v>241382.481321303</v>
      </c>
      <c r="K25" s="43" t="n">
        <f aca="false">E25*$B$7</f>
        <v>149657.138419208</v>
      </c>
      <c r="L25" s="43" t="n">
        <f aca="false">F25*$B$7</f>
        <v>91725.342902095</v>
      </c>
      <c r="M25" s="43" t="n">
        <f aca="false">IF(I25="Actual",SUMIFS(Calc_Actuals!$N$2:$N$865,Calc_Actuals!$J$2:$J$865,G25,Calc_Actuals!$K$2:$K$865,O25,Calc_Actuals!$F$2:$F$865,B25,Calc_Actuals!$H$2:$H$865,C25,Calc_Actuals!$C$2:$C$865,"Actual"),0)</f>
        <v>258067.7</v>
      </c>
      <c r="N25" s="43" t="n">
        <f aca="false">IF(I25="Actual",SUMIFS(Calc_Actuals!$P$2:$P$865,Calc_Actuals!$J$2:$J$865,G25,Calc_Actuals!$K$2:$K$865,O25,Calc_Actuals!$F$2:$F$865,B25,Calc_Actuals!$H$2:$H$865,C25,Calc_Actuals!$C$2:$C$865,"Actual"),0)</f>
        <v>87099.53</v>
      </c>
      <c r="O25" s="42" t="n">
        <f aca="false">VALUE(RIGHT(A25,2))</f>
        <v>2</v>
      </c>
      <c r="P25" s="42" t="str">
        <f aca="false">A25&amp;"|"&amp;B25&amp;"|"&amp;C25</f>
        <v>2025-02|South|Home Care</v>
      </c>
    </row>
    <row r="26" customFormat="false" ht="15" hidden="false" customHeight="false" outlineLevel="0" collapsed="false">
      <c r="A26" s="42" t="str">
        <f aca="false">Sales_Budget!A15</f>
        <v>2025-02</v>
      </c>
      <c r="B26" s="42" t="str">
        <f aca="false">Sales_Budget!B15</f>
        <v>South</v>
      </c>
      <c r="C26" s="42" t="str">
        <f aca="false">Sales_Budget!C15</f>
        <v>Personal Care</v>
      </c>
      <c r="D26" s="43" t="n">
        <f aca="false">Sales_Budget!E15</f>
        <v>1025000</v>
      </c>
      <c r="E26" s="43" t="n">
        <f aca="false">Sales_Budget!F15</f>
        <v>635500</v>
      </c>
      <c r="F26" s="43" t="n">
        <f aca="false">Sales_Budget!G15</f>
        <v>389500</v>
      </c>
      <c r="G26" s="42" t="n">
        <f aca="false">VALUE(LEFT(A26,4))</f>
        <v>2025</v>
      </c>
      <c r="H26" s="42" t="n">
        <f aca="false">IF(COUNTIFS(Calc_Actuals!$F$2:$F$865,B26,Calc_Actuals!$H$2:$H$865,C26,Calc_Actuals!$C$2:$C$865,"Actual")&gt;0,1,0)</f>
        <v>0</v>
      </c>
      <c r="I26" s="42" t="str">
        <f aca="false">IFERROR(INDEX(Calendar!$E$2:$E$25,MATCH(A26,Calendar!$A$2:$A$25,0)),"UNMATCHED")</f>
        <v>Actual</v>
      </c>
      <c r="J26" s="43" t="n">
        <f aca="false">D26*$B$7</f>
        <v>260438.993004563</v>
      </c>
      <c r="K26" s="43" t="n">
        <f aca="false">E26*$B$7</f>
        <v>161472.175662829</v>
      </c>
      <c r="L26" s="43" t="n">
        <f aca="false">F26*$B$7</f>
        <v>98966.8173417341</v>
      </c>
      <c r="M26" s="43" t="n">
        <f aca="false">IF(I26="Actual",SUMIFS(Calc_Actuals!$N$2:$N$865,Calc_Actuals!$J$2:$J$865,G26,Calc_Actuals!$K$2:$K$865,O26,Calc_Actuals!$F$2:$F$865,B26,Calc_Actuals!$H$2:$H$865,C26,Calc_Actuals!$C$2:$C$865,"Actual"),0)</f>
        <v>0</v>
      </c>
      <c r="N26" s="43" t="n">
        <f aca="false">IF(I26="Actual",SUMIFS(Calc_Actuals!$P$2:$P$865,Calc_Actuals!$J$2:$J$865,G26,Calc_Actuals!$K$2:$K$865,O26,Calc_Actuals!$F$2:$F$865,B26,Calc_Actuals!$H$2:$H$865,C26,Calc_Actuals!$C$2:$C$865,"Actual"),0)</f>
        <v>0</v>
      </c>
      <c r="O26" s="42" t="n">
        <f aca="false">VALUE(RIGHT(A26,2))</f>
        <v>2</v>
      </c>
      <c r="P26" s="42" t="str">
        <f aca="false">A26&amp;"|"&amp;B26&amp;"|"&amp;C26</f>
        <v>2025-02|South|Personal Care</v>
      </c>
    </row>
    <row r="27" customFormat="false" ht="15" hidden="false" customHeight="false" outlineLevel="0" collapsed="false">
      <c r="A27" s="42" t="str">
        <f aca="false">Sales_Budget!A16</f>
        <v>2025-02</v>
      </c>
      <c r="B27" s="42" t="str">
        <f aca="false">Sales_Budget!B16</f>
        <v>South</v>
      </c>
      <c r="C27" s="42" t="str">
        <f aca="false">Sales_Budget!C16</f>
        <v>Foods</v>
      </c>
      <c r="D27" s="43" t="n">
        <f aca="false">Sales_Budget!E16</f>
        <v>1100000</v>
      </c>
      <c r="E27" s="43" t="n">
        <f aca="false">Sales_Budget!F16</f>
        <v>682000</v>
      </c>
      <c r="F27" s="43" t="n">
        <f aca="false">Sales_Budget!G16</f>
        <v>418000</v>
      </c>
      <c r="G27" s="42" t="n">
        <f aca="false">VALUE(LEFT(A27,4))</f>
        <v>2025</v>
      </c>
      <c r="H27" s="42" t="n">
        <f aca="false">IF(COUNTIFS(Calc_Actuals!$F$2:$F$865,B27,Calc_Actuals!$H$2:$H$865,C27,Calc_Actuals!$C$2:$C$865,"Actual")&gt;0,1,0)</f>
        <v>1</v>
      </c>
      <c r="I27" s="42" t="str">
        <f aca="false">IFERROR(INDEX(Calendar!$E$2:$E$25,MATCH(A27,Calendar!$A$2:$A$25,0)),"UNMATCHED")</f>
        <v>Actual</v>
      </c>
      <c r="J27" s="43" t="n">
        <f aca="false">D27*$B$7</f>
        <v>279495.504687824</v>
      </c>
      <c r="K27" s="43" t="n">
        <f aca="false">E27*$B$7</f>
        <v>173287.212906451</v>
      </c>
      <c r="L27" s="43" t="n">
        <f aca="false">F27*$B$7</f>
        <v>106208.291781373</v>
      </c>
      <c r="M27" s="43" t="n">
        <f aca="false">IF(I27="Actual",SUMIFS(Calc_Actuals!$N$2:$N$865,Calc_Actuals!$J$2:$J$865,G27,Calc_Actuals!$K$2:$K$865,O27,Calc_Actuals!$F$2:$F$865,B27,Calc_Actuals!$H$2:$H$865,C27,Calc_Actuals!$C$2:$C$865,"Actual"),0)</f>
        <v>81395.26</v>
      </c>
      <c r="N27" s="43" t="n">
        <f aca="false">IF(I27="Actual",SUMIFS(Calc_Actuals!$P$2:$P$865,Calc_Actuals!$J$2:$J$865,G27,Calc_Actuals!$K$2:$K$865,O27,Calc_Actuals!$F$2:$F$865,B27,Calc_Actuals!$H$2:$H$865,C27,Calc_Actuals!$C$2:$C$865,"Actual"),0)</f>
        <v>28808.01</v>
      </c>
      <c r="O27" s="42" t="n">
        <f aca="false">VALUE(RIGHT(A27,2))</f>
        <v>2</v>
      </c>
      <c r="P27" s="42" t="str">
        <f aca="false">A27&amp;"|"&amp;B27&amp;"|"&amp;C27</f>
        <v>2025-02|South|Foods</v>
      </c>
    </row>
    <row r="28" customFormat="false" ht="15" hidden="false" customHeight="false" outlineLevel="0" collapsed="false">
      <c r="A28" s="42" t="str">
        <f aca="false">Sales_Budget!A17</f>
        <v>2025-02</v>
      </c>
      <c r="B28" s="42" t="str">
        <f aca="false">Sales_Budget!B17</f>
        <v>North</v>
      </c>
      <c r="C28" s="42" t="str">
        <f aca="false">Sales_Budget!C17</f>
        <v>Home Care</v>
      </c>
      <c r="D28" s="43" t="n">
        <f aca="false">Sales_Budget!E17</f>
        <v>1035000</v>
      </c>
      <c r="E28" s="43" t="n">
        <f aca="false">Sales_Budget!F17</f>
        <v>641700</v>
      </c>
      <c r="F28" s="43" t="n">
        <f aca="false">Sales_Budget!G17</f>
        <v>393300</v>
      </c>
      <c r="G28" s="42" t="n">
        <f aca="false">VALUE(LEFT(A28,4))</f>
        <v>2025</v>
      </c>
      <c r="H28" s="42" t="n">
        <f aca="false">IF(COUNTIFS(Calc_Actuals!$F$2:$F$865,B28,Calc_Actuals!$H$2:$H$865,C28,Calc_Actuals!$C$2:$C$865,"Actual")&gt;0,1,0)</f>
        <v>0</v>
      </c>
      <c r="I28" s="42" t="str">
        <f aca="false">IFERROR(INDEX(Calendar!$E$2:$E$25,MATCH(A28,Calendar!$A$2:$A$25,0)),"UNMATCHED")</f>
        <v>Actual</v>
      </c>
      <c r="J28" s="43" t="n">
        <f aca="false">D28*$B$7</f>
        <v>262979.861228998</v>
      </c>
      <c r="K28" s="43" t="n">
        <f aca="false">E28*$B$7</f>
        <v>163047.513961979</v>
      </c>
      <c r="L28" s="43" t="n">
        <f aca="false">F28*$B$7</f>
        <v>99932.3472670193</v>
      </c>
      <c r="M28" s="43" t="n">
        <f aca="false">IF(I28="Actual",SUMIFS(Calc_Actuals!$N$2:$N$865,Calc_Actuals!$J$2:$J$865,G28,Calc_Actuals!$K$2:$K$865,O28,Calc_Actuals!$F$2:$F$865,B28,Calc_Actuals!$H$2:$H$865,C28,Calc_Actuals!$C$2:$C$865,"Actual"),0)</f>
        <v>0</v>
      </c>
      <c r="N28" s="43" t="n">
        <f aca="false">IF(I28="Actual",SUMIFS(Calc_Actuals!$P$2:$P$865,Calc_Actuals!$J$2:$J$865,G28,Calc_Actuals!$K$2:$K$865,O28,Calc_Actuals!$F$2:$F$865,B28,Calc_Actuals!$H$2:$H$865,C28,Calc_Actuals!$C$2:$C$865,"Actual"),0)</f>
        <v>0</v>
      </c>
      <c r="O28" s="42" t="n">
        <f aca="false">VALUE(RIGHT(A28,2))</f>
        <v>2</v>
      </c>
      <c r="P28" s="42" t="str">
        <f aca="false">A28&amp;"|"&amp;B28&amp;"|"&amp;C28</f>
        <v>2025-02|North|Home Care</v>
      </c>
    </row>
    <row r="29" customFormat="false" ht="15" hidden="false" customHeight="false" outlineLevel="0" collapsed="false">
      <c r="A29" s="42" t="str">
        <f aca="false">Sales_Budget!A18</f>
        <v>2025-02</v>
      </c>
      <c r="B29" s="42" t="str">
        <f aca="false">Sales_Budget!B18</f>
        <v>North</v>
      </c>
      <c r="C29" s="42" t="str">
        <f aca="false">Sales_Budget!C18</f>
        <v>Personal Care</v>
      </c>
      <c r="D29" s="43" t="n">
        <f aca="false">Sales_Budget!E18</f>
        <v>1110000</v>
      </c>
      <c r="E29" s="43" t="n">
        <f aca="false">Sales_Budget!F18</f>
        <v>688200</v>
      </c>
      <c r="F29" s="43" t="n">
        <f aca="false">Sales_Budget!G18</f>
        <v>421800</v>
      </c>
      <c r="G29" s="42" t="n">
        <f aca="false">VALUE(LEFT(A29,4))</f>
        <v>2025</v>
      </c>
      <c r="H29" s="42" t="n">
        <f aca="false">IF(COUNTIFS(Calc_Actuals!$F$2:$F$865,B29,Calc_Actuals!$H$2:$H$865,C29,Calc_Actuals!$C$2:$C$865,"Actual")&gt;0,1,0)</f>
        <v>1</v>
      </c>
      <c r="I29" s="42" t="str">
        <f aca="false">IFERROR(INDEX(Calendar!$E$2:$E$25,MATCH(A29,Calendar!$A$2:$A$25,0)),"UNMATCHED")</f>
        <v>Actual</v>
      </c>
      <c r="J29" s="43" t="n">
        <f aca="false">D29*$B$7</f>
        <v>282036.372912259</v>
      </c>
      <c r="K29" s="43" t="n">
        <f aca="false">E29*$B$7</f>
        <v>174862.551205601</v>
      </c>
      <c r="L29" s="43" t="n">
        <f aca="false">F29*$B$7</f>
        <v>107173.821706658</v>
      </c>
      <c r="M29" s="43" t="n">
        <f aca="false">IF(I29="Actual",SUMIFS(Calc_Actuals!$N$2:$N$865,Calc_Actuals!$J$2:$J$865,G29,Calc_Actuals!$K$2:$K$865,O29,Calc_Actuals!$F$2:$F$865,B29,Calc_Actuals!$H$2:$H$865,C29,Calc_Actuals!$C$2:$C$865,"Actual"),0)</f>
        <v>615537.71</v>
      </c>
      <c r="N29" s="43" t="n">
        <f aca="false">IF(I29="Actual",SUMIFS(Calc_Actuals!$P$2:$P$865,Calc_Actuals!$J$2:$J$865,G29,Calc_Actuals!$K$2:$K$865,O29,Calc_Actuals!$F$2:$F$865,B29,Calc_Actuals!$H$2:$H$865,C29,Calc_Actuals!$C$2:$C$865,"Actual"),0)</f>
        <v>233716.25</v>
      </c>
      <c r="O29" s="42" t="n">
        <f aca="false">VALUE(RIGHT(A29,2))</f>
        <v>2</v>
      </c>
      <c r="P29" s="42" t="str">
        <f aca="false">A29&amp;"|"&amp;B29&amp;"|"&amp;C29</f>
        <v>2025-02|North|Personal Care</v>
      </c>
    </row>
    <row r="30" customFormat="false" ht="15" hidden="false" customHeight="false" outlineLevel="0" collapsed="false">
      <c r="A30" s="42" t="str">
        <f aca="false">Sales_Budget!A19</f>
        <v>2025-02</v>
      </c>
      <c r="B30" s="42" t="str">
        <f aca="false">Sales_Budget!B19</f>
        <v>North</v>
      </c>
      <c r="C30" s="42" t="str">
        <f aca="false">Sales_Budget!C19</f>
        <v>Foods</v>
      </c>
      <c r="D30" s="43" t="n">
        <f aca="false">Sales_Budget!E19</f>
        <v>1185000</v>
      </c>
      <c r="E30" s="43" t="n">
        <f aca="false">Sales_Budget!F19</f>
        <v>734700</v>
      </c>
      <c r="F30" s="43" t="n">
        <f aca="false">Sales_Budget!G19</f>
        <v>450300</v>
      </c>
      <c r="G30" s="42" t="n">
        <f aca="false">VALUE(LEFT(A30,4))</f>
        <v>2025</v>
      </c>
      <c r="H30" s="42" t="n">
        <f aca="false">IF(COUNTIFS(Calc_Actuals!$F$2:$F$865,B30,Calc_Actuals!$H$2:$H$865,C30,Calc_Actuals!$C$2:$C$865,"Actual")&gt;0,1,0)</f>
        <v>0</v>
      </c>
      <c r="I30" s="42" t="str">
        <f aca="false">IFERROR(INDEX(Calendar!$E$2:$E$25,MATCH(A30,Calendar!$A$2:$A$25,0)),"UNMATCHED")</f>
        <v>Actual</v>
      </c>
      <c r="J30" s="43" t="n">
        <f aca="false">D30*$B$7</f>
        <v>301092.88459552</v>
      </c>
      <c r="K30" s="43" t="n">
        <f aca="false">E30*$B$7</f>
        <v>186677.588449222</v>
      </c>
      <c r="L30" s="43" t="n">
        <f aca="false">F30*$B$7</f>
        <v>114415.296146297</v>
      </c>
      <c r="M30" s="43" t="n">
        <f aca="false">IF(I30="Actual",SUMIFS(Calc_Actuals!$N$2:$N$865,Calc_Actuals!$J$2:$J$865,G30,Calc_Actuals!$K$2:$K$865,O30,Calc_Actuals!$F$2:$F$865,B30,Calc_Actuals!$H$2:$H$865,C30,Calc_Actuals!$C$2:$C$865,"Actual"),0)</f>
        <v>0</v>
      </c>
      <c r="N30" s="43" t="n">
        <f aca="false">IF(I30="Actual",SUMIFS(Calc_Actuals!$P$2:$P$865,Calc_Actuals!$J$2:$J$865,G30,Calc_Actuals!$K$2:$K$865,O30,Calc_Actuals!$F$2:$F$865,B30,Calc_Actuals!$H$2:$H$865,C30,Calc_Actuals!$C$2:$C$865,"Actual"),0)</f>
        <v>0</v>
      </c>
      <c r="O30" s="42" t="n">
        <f aca="false">VALUE(RIGHT(A30,2))</f>
        <v>2</v>
      </c>
      <c r="P30" s="42" t="str">
        <f aca="false">A30&amp;"|"&amp;B30&amp;"|"&amp;C30</f>
        <v>2025-02|North|Foods</v>
      </c>
    </row>
    <row r="31" customFormat="false" ht="15" hidden="false" customHeight="false" outlineLevel="0" collapsed="false">
      <c r="A31" s="42" t="str">
        <f aca="false">Sales_Budget!A20</f>
        <v>2025-02</v>
      </c>
      <c r="B31" s="42" t="str">
        <f aca="false">Sales_Budget!B20</f>
        <v>West</v>
      </c>
      <c r="C31" s="42" t="str">
        <f aca="false">Sales_Budget!C20</f>
        <v>Home Care</v>
      </c>
      <c r="D31" s="43" t="n">
        <f aca="false">Sales_Budget!E20</f>
        <v>1120000</v>
      </c>
      <c r="E31" s="43" t="n">
        <f aca="false">Sales_Budget!F20</f>
        <v>694400</v>
      </c>
      <c r="F31" s="43" t="n">
        <f aca="false">Sales_Budget!G20</f>
        <v>425600</v>
      </c>
      <c r="G31" s="42" t="n">
        <f aca="false">VALUE(LEFT(A31,4))</f>
        <v>2025</v>
      </c>
      <c r="H31" s="42" t="n">
        <f aca="false">IF(COUNTIFS(Calc_Actuals!$F$2:$F$865,B31,Calc_Actuals!$H$2:$H$865,C31,Calc_Actuals!$C$2:$C$865,"Actual")&gt;0,1,0)</f>
        <v>1</v>
      </c>
      <c r="I31" s="42" t="str">
        <f aca="false">IFERROR(INDEX(Calendar!$E$2:$E$25,MATCH(A31,Calendar!$A$2:$A$25,0)),"UNMATCHED")</f>
        <v>Actual</v>
      </c>
      <c r="J31" s="43" t="n">
        <f aca="false">D31*$B$7</f>
        <v>284577.241136694</v>
      </c>
      <c r="K31" s="43" t="n">
        <f aca="false">E31*$B$7</f>
        <v>176437.88950475</v>
      </c>
      <c r="L31" s="43" t="n">
        <f aca="false">F31*$B$7</f>
        <v>108139.351631944</v>
      </c>
      <c r="M31" s="43" t="n">
        <f aca="false">IF(I31="Actual",SUMIFS(Calc_Actuals!$N$2:$N$865,Calc_Actuals!$J$2:$J$865,G31,Calc_Actuals!$K$2:$K$865,O31,Calc_Actuals!$F$2:$F$865,B31,Calc_Actuals!$H$2:$H$865,C31,Calc_Actuals!$C$2:$C$865,"Actual"),0)</f>
        <v>335197.24</v>
      </c>
      <c r="N31" s="43" t="n">
        <f aca="false">IF(I31="Actual",SUMIFS(Calc_Actuals!$P$2:$P$865,Calc_Actuals!$J$2:$J$865,G31,Calc_Actuals!$K$2:$K$865,O31,Calc_Actuals!$F$2:$F$865,B31,Calc_Actuals!$H$2:$H$865,C31,Calc_Actuals!$C$2:$C$865,"Actual"),0)</f>
        <v>129978.55</v>
      </c>
      <c r="O31" s="42" t="n">
        <f aca="false">VALUE(RIGHT(A31,2))</f>
        <v>2</v>
      </c>
      <c r="P31" s="42" t="str">
        <f aca="false">A31&amp;"|"&amp;B31&amp;"|"&amp;C31</f>
        <v>2025-02|West|Home Care</v>
      </c>
    </row>
    <row r="32" customFormat="false" ht="15" hidden="false" customHeight="false" outlineLevel="0" collapsed="false">
      <c r="A32" s="42" t="str">
        <f aca="false">Sales_Budget!A21</f>
        <v>2025-02</v>
      </c>
      <c r="B32" s="42" t="str">
        <f aca="false">Sales_Budget!B21</f>
        <v>West</v>
      </c>
      <c r="C32" s="42" t="str">
        <f aca="false">Sales_Budget!C21</f>
        <v>Personal Care</v>
      </c>
      <c r="D32" s="43" t="n">
        <f aca="false">Sales_Budget!E21</f>
        <v>1195000</v>
      </c>
      <c r="E32" s="43" t="n">
        <f aca="false">Sales_Budget!F21</f>
        <v>740900</v>
      </c>
      <c r="F32" s="43" t="n">
        <f aca="false">Sales_Budget!G21</f>
        <v>454100</v>
      </c>
      <c r="G32" s="42" t="n">
        <f aca="false">VALUE(LEFT(A32,4))</f>
        <v>2025</v>
      </c>
      <c r="H32" s="42" t="n">
        <f aca="false">IF(COUNTIFS(Calc_Actuals!$F$2:$F$865,B32,Calc_Actuals!$H$2:$H$865,C32,Calc_Actuals!$C$2:$C$865,"Actual")&gt;0,1,0)</f>
        <v>1</v>
      </c>
      <c r="I32" s="42" t="str">
        <f aca="false">IFERROR(INDEX(Calendar!$E$2:$E$25,MATCH(A32,Calendar!$A$2:$A$25,0)),"UNMATCHED")</f>
        <v>Actual</v>
      </c>
      <c r="J32" s="43" t="n">
        <f aca="false">D32*$B$7</f>
        <v>303633.752819954</v>
      </c>
      <c r="K32" s="43" t="n">
        <f aca="false">E32*$B$7</f>
        <v>188252.926748372</v>
      </c>
      <c r="L32" s="43" t="n">
        <f aca="false">F32*$B$7</f>
        <v>115380.826071583</v>
      </c>
      <c r="M32" s="43" t="n">
        <f aca="false">IF(I32="Actual",SUMIFS(Calc_Actuals!$N$2:$N$865,Calc_Actuals!$J$2:$J$865,G32,Calc_Actuals!$K$2:$K$865,O32,Calc_Actuals!$F$2:$F$865,B32,Calc_Actuals!$H$2:$H$865,C32,Calc_Actuals!$C$2:$C$865,"Actual"),0)</f>
        <v>360089.25</v>
      </c>
      <c r="N32" s="43" t="n">
        <f aca="false">IF(I32="Actual",SUMIFS(Calc_Actuals!$P$2:$P$865,Calc_Actuals!$J$2:$J$865,G32,Calc_Actuals!$K$2:$K$865,O32,Calc_Actuals!$F$2:$F$865,B32,Calc_Actuals!$H$2:$H$865,C32,Calc_Actuals!$C$2:$C$865,"Actual"),0)</f>
        <v>124552.64</v>
      </c>
      <c r="O32" s="42" t="n">
        <f aca="false">VALUE(RIGHT(A32,2))</f>
        <v>2</v>
      </c>
      <c r="P32" s="42" t="str">
        <f aca="false">A32&amp;"|"&amp;B32&amp;"|"&amp;C32</f>
        <v>2025-02|West|Personal Care</v>
      </c>
    </row>
    <row r="33" customFormat="false" ht="15" hidden="false" customHeight="false" outlineLevel="0" collapsed="false">
      <c r="A33" s="42" t="str">
        <f aca="false">Sales_Budget!A22</f>
        <v>2025-02</v>
      </c>
      <c r="B33" s="42" t="str">
        <f aca="false">Sales_Budget!B22</f>
        <v>West</v>
      </c>
      <c r="C33" s="42" t="str">
        <f aca="false">Sales_Budget!C22</f>
        <v>Foods</v>
      </c>
      <c r="D33" s="43" t="n">
        <f aca="false">Sales_Budget!E22</f>
        <v>1270000</v>
      </c>
      <c r="E33" s="43" t="n">
        <f aca="false">Sales_Budget!F22</f>
        <v>787400</v>
      </c>
      <c r="F33" s="43" t="n">
        <f aca="false">Sales_Budget!G22</f>
        <v>482600</v>
      </c>
      <c r="G33" s="42" t="n">
        <f aca="false">VALUE(LEFT(A33,4))</f>
        <v>2025</v>
      </c>
      <c r="H33" s="42" t="n">
        <f aca="false">IF(COUNTIFS(Calc_Actuals!$F$2:$F$865,B33,Calc_Actuals!$H$2:$H$865,C33,Calc_Actuals!$C$2:$C$865,"Actual")&gt;0,1,0)</f>
        <v>0</v>
      </c>
      <c r="I33" s="42" t="str">
        <f aca="false">IFERROR(INDEX(Calendar!$E$2:$E$25,MATCH(A33,Calendar!$A$2:$A$25,0)),"UNMATCHED")</f>
        <v>Actual</v>
      </c>
      <c r="J33" s="43" t="n">
        <f aca="false">D33*$B$7</f>
        <v>322690.264503215</v>
      </c>
      <c r="K33" s="43" t="n">
        <f aca="false">E33*$B$7</f>
        <v>200067.963991993</v>
      </c>
      <c r="L33" s="43" t="n">
        <f aca="false">F33*$B$7</f>
        <v>122622.300511222</v>
      </c>
      <c r="M33" s="43" t="n">
        <f aca="false">IF(I33="Actual",SUMIFS(Calc_Actuals!$N$2:$N$865,Calc_Actuals!$J$2:$J$865,G33,Calc_Actuals!$K$2:$K$865,O33,Calc_Actuals!$F$2:$F$865,B33,Calc_Actuals!$H$2:$H$865,C33,Calc_Actuals!$C$2:$C$865,"Actual"),0)</f>
        <v>0</v>
      </c>
      <c r="N33" s="43" t="n">
        <f aca="false">IF(I33="Actual",SUMIFS(Calc_Actuals!$P$2:$P$865,Calc_Actuals!$J$2:$J$865,G33,Calc_Actuals!$K$2:$K$865,O33,Calc_Actuals!$F$2:$F$865,B33,Calc_Actuals!$H$2:$H$865,C33,Calc_Actuals!$C$2:$C$865,"Actual"),0)</f>
        <v>0</v>
      </c>
      <c r="O33" s="42" t="n">
        <f aca="false">VALUE(RIGHT(A33,2))</f>
        <v>2</v>
      </c>
      <c r="P33" s="42" t="str">
        <f aca="false">A33&amp;"|"&amp;B33&amp;"|"&amp;C33</f>
        <v>2025-02|West|Foods</v>
      </c>
    </row>
    <row r="34" customFormat="false" ht="15" hidden="false" customHeight="false" outlineLevel="0" collapsed="false">
      <c r="A34" s="42" t="str">
        <f aca="false">Sales_Budget!A23</f>
        <v>2025-02</v>
      </c>
      <c r="B34" s="42" t="str">
        <f aca="false">Sales_Budget!B23</f>
        <v>East</v>
      </c>
      <c r="C34" s="42" t="str">
        <f aca="false">Sales_Budget!C23</f>
        <v>Home Care</v>
      </c>
      <c r="D34" s="43" t="n">
        <f aca="false">Sales_Budget!E23</f>
        <v>1205000</v>
      </c>
      <c r="E34" s="43" t="n">
        <f aca="false">Sales_Budget!F23</f>
        <v>747100</v>
      </c>
      <c r="F34" s="43" t="n">
        <f aca="false">Sales_Budget!G23</f>
        <v>457900</v>
      </c>
      <c r="G34" s="42" t="n">
        <f aca="false">VALUE(LEFT(A34,4))</f>
        <v>2025</v>
      </c>
      <c r="H34" s="42" t="n">
        <f aca="false">IF(COUNTIFS(Calc_Actuals!$F$2:$F$865,B34,Calc_Actuals!$H$2:$H$865,C34,Calc_Actuals!$C$2:$C$865,"Actual")&gt;0,1,0)</f>
        <v>1</v>
      </c>
      <c r="I34" s="42" t="str">
        <f aca="false">IFERROR(INDEX(Calendar!$E$2:$E$25,MATCH(A34,Calendar!$A$2:$A$25,0)),"UNMATCHED")</f>
        <v>Actual</v>
      </c>
      <c r="J34" s="43" t="n">
        <f aca="false">D34*$B$7</f>
        <v>306174.621044389</v>
      </c>
      <c r="K34" s="43" t="n">
        <f aca="false">E34*$B$7</f>
        <v>189828.265047521</v>
      </c>
      <c r="L34" s="43" t="n">
        <f aca="false">F34*$B$7</f>
        <v>116346.355996868</v>
      </c>
      <c r="M34" s="43" t="n">
        <f aca="false">IF(I34="Actual",SUMIFS(Calc_Actuals!$N$2:$N$865,Calc_Actuals!$J$2:$J$865,G34,Calc_Actuals!$K$2:$K$865,O34,Calc_Actuals!$F$2:$F$865,B34,Calc_Actuals!$H$2:$H$865,C34,Calc_Actuals!$C$2:$C$865,"Actual"),0)</f>
        <v>214023.76</v>
      </c>
      <c r="N34" s="43" t="n">
        <f aca="false">IF(I34="Actual",SUMIFS(Calc_Actuals!$P$2:$P$865,Calc_Actuals!$J$2:$J$865,G34,Calc_Actuals!$K$2:$K$865,O34,Calc_Actuals!$F$2:$F$865,B34,Calc_Actuals!$H$2:$H$865,C34,Calc_Actuals!$C$2:$C$865,"Actual"),0)</f>
        <v>86456.32</v>
      </c>
      <c r="O34" s="42" t="n">
        <f aca="false">VALUE(RIGHT(A34,2))</f>
        <v>2</v>
      </c>
      <c r="P34" s="42" t="str">
        <f aca="false">A34&amp;"|"&amp;B34&amp;"|"&amp;C34</f>
        <v>2025-02|East|Home Care</v>
      </c>
    </row>
    <row r="35" customFormat="false" ht="15" hidden="false" customHeight="false" outlineLevel="0" collapsed="false">
      <c r="A35" s="42" t="str">
        <f aca="false">Sales_Budget!A24</f>
        <v>2025-02</v>
      </c>
      <c r="B35" s="42" t="str">
        <f aca="false">Sales_Budget!B24</f>
        <v>East</v>
      </c>
      <c r="C35" s="42" t="str">
        <f aca="false">Sales_Budget!C24</f>
        <v>Personal Care</v>
      </c>
      <c r="D35" s="43" t="n">
        <f aca="false">Sales_Budget!E24</f>
        <v>1280000</v>
      </c>
      <c r="E35" s="43" t="n">
        <f aca="false">Sales_Budget!F24</f>
        <v>793600</v>
      </c>
      <c r="F35" s="43" t="n">
        <f aca="false">Sales_Budget!G24</f>
        <v>486400</v>
      </c>
      <c r="G35" s="42" t="n">
        <f aca="false">VALUE(LEFT(A35,4))</f>
        <v>2025</v>
      </c>
      <c r="H35" s="42" t="n">
        <f aca="false">IF(COUNTIFS(Calc_Actuals!$F$2:$F$865,B35,Calc_Actuals!$H$2:$H$865,C35,Calc_Actuals!$C$2:$C$865,"Actual")&gt;0,1,0)</f>
        <v>0</v>
      </c>
      <c r="I35" s="42" t="str">
        <f aca="false">IFERROR(INDEX(Calendar!$E$2:$E$25,MATCH(A35,Calendar!$A$2:$A$25,0)),"UNMATCHED")</f>
        <v>Actual</v>
      </c>
      <c r="J35" s="43" t="n">
        <f aca="false">D35*$B$7</f>
        <v>325231.13272765</v>
      </c>
      <c r="K35" s="43" t="n">
        <f aca="false">E35*$B$7</f>
        <v>201643.302291143</v>
      </c>
      <c r="L35" s="43" t="n">
        <f aca="false">F35*$B$7</f>
        <v>123587.830436507</v>
      </c>
      <c r="M35" s="43" t="n">
        <f aca="false">IF(I35="Actual",SUMIFS(Calc_Actuals!$N$2:$N$865,Calc_Actuals!$J$2:$J$865,G35,Calc_Actuals!$K$2:$K$865,O35,Calc_Actuals!$F$2:$F$865,B35,Calc_Actuals!$H$2:$H$865,C35,Calc_Actuals!$C$2:$C$865,"Actual"),0)</f>
        <v>0</v>
      </c>
      <c r="N35" s="43" t="n">
        <f aca="false">IF(I35="Actual",SUMIFS(Calc_Actuals!$P$2:$P$865,Calc_Actuals!$J$2:$J$865,G35,Calc_Actuals!$K$2:$K$865,O35,Calc_Actuals!$F$2:$F$865,B35,Calc_Actuals!$H$2:$H$865,C35,Calc_Actuals!$C$2:$C$865,"Actual"),0)</f>
        <v>0</v>
      </c>
      <c r="O35" s="42" t="n">
        <f aca="false">VALUE(RIGHT(A35,2))</f>
        <v>2</v>
      </c>
      <c r="P35" s="42" t="str">
        <f aca="false">A35&amp;"|"&amp;B35&amp;"|"&amp;C35</f>
        <v>2025-02|East|Personal Care</v>
      </c>
    </row>
    <row r="36" customFormat="false" ht="15" hidden="false" customHeight="false" outlineLevel="0" collapsed="false">
      <c r="A36" s="42" t="str">
        <f aca="false">Sales_Budget!A25</f>
        <v>2025-02</v>
      </c>
      <c r="B36" s="42" t="str">
        <f aca="false">Sales_Budget!B25</f>
        <v>East</v>
      </c>
      <c r="C36" s="42" t="str">
        <f aca="false">Sales_Budget!C25</f>
        <v>Foods</v>
      </c>
      <c r="D36" s="43" t="n">
        <f aca="false">Sales_Budget!E25</f>
        <v>1355000</v>
      </c>
      <c r="E36" s="43" t="n">
        <f aca="false">Sales_Budget!F25</f>
        <v>840100</v>
      </c>
      <c r="F36" s="43" t="n">
        <f aca="false">Sales_Budget!G25</f>
        <v>514900</v>
      </c>
      <c r="G36" s="42" t="n">
        <f aca="false">VALUE(LEFT(A36,4))</f>
        <v>2025</v>
      </c>
      <c r="H36" s="42" t="n">
        <f aca="false">IF(COUNTIFS(Calc_Actuals!$F$2:$F$865,B36,Calc_Actuals!$H$2:$H$865,C36,Calc_Actuals!$C$2:$C$865,"Actual")&gt;0,1,0)</f>
        <v>1</v>
      </c>
      <c r="I36" s="42" t="str">
        <f aca="false">IFERROR(INDEX(Calendar!$E$2:$E$25,MATCH(A36,Calendar!$A$2:$A$25,0)),"UNMATCHED")</f>
        <v>Actual</v>
      </c>
      <c r="J36" s="43" t="n">
        <f aca="false">D36*$B$7</f>
        <v>344287.644410911</v>
      </c>
      <c r="K36" s="43" t="n">
        <f aca="false">E36*$B$7</f>
        <v>213458.339534765</v>
      </c>
      <c r="L36" s="43" t="n">
        <f aca="false">F36*$B$7</f>
        <v>130829.304876146</v>
      </c>
      <c r="M36" s="43" t="n">
        <f aca="false">IF(I36="Actual",SUMIFS(Calc_Actuals!$N$2:$N$865,Calc_Actuals!$J$2:$J$865,G36,Calc_Actuals!$K$2:$K$865,O36,Calc_Actuals!$F$2:$F$865,B36,Calc_Actuals!$H$2:$H$865,C36,Calc_Actuals!$C$2:$C$865,"Actual"),0)</f>
        <v>321823.65</v>
      </c>
      <c r="N36" s="43" t="n">
        <f aca="false">IF(I36="Actual",SUMIFS(Calc_Actuals!$P$2:$P$865,Calc_Actuals!$J$2:$J$865,G36,Calc_Actuals!$K$2:$K$865,O36,Calc_Actuals!$F$2:$F$865,B36,Calc_Actuals!$H$2:$H$865,C36,Calc_Actuals!$C$2:$C$865,"Actual"),0)</f>
        <v>96395.03</v>
      </c>
      <c r="O36" s="42" t="n">
        <f aca="false">VALUE(RIGHT(A36,2))</f>
        <v>2</v>
      </c>
      <c r="P36" s="42" t="str">
        <f aca="false">A36&amp;"|"&amp;B36&amp;"|"&amp;C36</f>
        <v>2025-02|East|Foods</v>
      </c>
    </row>
    <row r="37" customFormat="false" ht="15" hidden="false" customHeight="false" outlineLevel="0" collapsed="false">
      <c r="A37" s="42" t="str">
        <f aca="false">Sales_Budget!A26</f>
        <v>2025-03</v>
      </c>
      <c r="B37" s="42" t="str">
        <f aca="false">Sales_Budget!B26</f>
        <v>South</v>
      </c>
      <c r="C37" s="42" t="str">
        <f aca="false">Sales_Budget!C26</f>
        <v>Home Care</v>
      </c>
      <c r="D37" s="43" t="n">
        <f aca="false">Sales_Budget!E26</f>
        <v>950000</v>
      </c>
      <c r="E37" s="43" t="n">
        <f aca="false">Sales_Budget!F26</f>
        <v>589000</v>
      </c>
      <c r="F37" s="43" t="n">
        <f aca="false">Sales_Budget!G26</f>
        <v>361000</v>
      </c>
      <c r="G37" s="42" t="n">
        <f aca="false">VALUE(LEFT(A37,4))</f>
        <v>2025</v>
      </c>
      <c r="H37" s="42" t="n">
        <f aca="false">IF(COUNTIFS(Calc_Actuals!$F$2:$F$865,B37,Calc_Actuals!$H$2:$H$865,C37,Calc_Actuals!$C$2:$C$865,"Actual")&gt;0,1,0)</f>
        <v>1</v>
      </c>
      <c r="I37" s="42" t="str">
        <f aca="false">IFERROR(INDEX(Calendar!$E$2:$E$25,MATCH(A37,Calendar!$A$2:$A$25,0)),"UNMATCHED")</f>
        <v>Actual</v>
      </c>
      <c r="J37" s="43" t="n">
        <f aca="false">D37*$B$7</f>
        <v>241382.481321303</v>
      </c>
      <c r="K37" s="43" t="n">
        <f aca="false">E37*$B$7</f>
        <v>149657.138419208</v>
      </c>
      <c r="L37" s="43" t="n">
        <f aca="false">F37*$B$7</f>
        <v>91725.342902095</v>
      </c>
      <c r="M37" s="43" t="n">
        <f aca="false">IF(I37="Actual",SUMIFS(Calc_Actuals!$N$2:$N$865,Calc_Actuals!$J$2:$J$865,G37,Calc_Actuals!$K$2:$K$865,O37,Calc_Actuals!$F$2:$F$865,B37,Calc_Actuals!$H$2:$H$865,C37,Calc_Actuals!$C$2:$C$865,"Actual"),0)</f>
        <v>241196.46</v>
      </c>
      <c r="N37" s="43" t="n">
        <f aca="false">IF(I37="Actual",SUMIFS(Calc_Actuals!$P$2:$P$865,Calc_Actuals!$J$2:$J$865,G37,Calc_Actuals!$K$2:$K$865,O37,Calc_Actuals!$F$2:$F$865,B37,Calc_Actuals!$H$2:$H$865,C37,Calc_Actuals!$C$2:$C$865,"Actual"),0)</f>
        <v>79878.16</v>
      </c>
      <c r="O37" s="42" t="n">
        <f aca="false">VALUE(RIGHT(A37,2))</f>
        <v>3</v>
      </c>
      <c r="P37" s="42" t="str">
        <f aca="false">A37&amp;"|"&amp;B37&amp;"|"&amp;C37</f>
        <v>2025-03|South|Home Care</v>
      </c>
    </row>
    <row r="38" customFormat="false" ht="15" hidden="false" customHeight="false" outlineLevel="0" collapsed="false">
      <c r="A38" s="42" t="str">
        <f aca="false">Sales_Budget!A27</f>
        <v>2025-03</v>
      </c>
      <c r="B38" s="42" t="str">
        <f aca="false">Sales_Budget!B27</f>
        <v>South</v>
      </c>
      <c r="C38" s="42" t="str">
        <f aca="false">Sales_Budget!C27</f>
        <v>Personal Care</v>
      </c>
      <c r="D38" s="43" t="n">
        <f aca="false">Sales_Budget!E27</f>
        <v>1025000</v>
      </c>
      <c r="E38" s="43" t="n">
        <f aca="false">Sales_Budget!F27</f>
        <v>635500</v>
      </c>
      <c r="F38" s="43" t="n">
        <f aca="false">Sales_Budget!G27</f>
        <v>389500</v>
      </c>
      <c r="G38" s="42" t="n">
        <f aca="false">VALUE(LEFT(A38,4))</f>
        <v>2025</v>
      </c>
      <c r="H38" s="42" t="n">
        <f aca="false">IF(COUNTIFS(Calc_Actuals!$F$2:$F$865,B38,Calc_Actuals!$H$2:$H$865,C38,Calc_Actuals!$C$2:$C$865,"Actual")&gt;0,1,0)</f>
        <v>0</v>
      </c>
      <c r="I38" s="42" t="str">
        <f aca="false">IFERROR(INDEX(Calendar!$E$2:$E$25,MATCH(A38,Calendar!$A$2:$A$25,0)),"UNMATCHED")</f>
        <v>Actual</v>
      </c>
      <c r="J38" s="43" t="n">
        <f aca="false">D38*$B$7</f>
        <v>260438.993004563</v>
      </c>
      <c r="K38" s="43" t="n">
        <f aca="false">E38*$B$7</f>
        <v>161472.175662829</v>
      </c>
      <c r="L38" s="43" t="n">
        <f aca="false">F38*$B$7</f>
        <v>98966.8173417341</v>
      </c>
      <c r="M38" s="43" t="n">
        <f aca="false">IF(I38="Actual",SUMIFS(Calc_Actuals!$N$2:$N$865,Calc_Actuals!$J$2:$J$865,G38,Calc_Actuals!$K$2:$K$865,O38,Calc_Actuals!$F$2:$F$865,B38,Calc_Actuals!$H$2:$H$865,C38,Calc_Actuals!$C$2:$C$865,"Actual"),0)</f>
        <v>0</v>
      </c>
      <c r="N38" s="43" t="n">
        <f aca="false">IF(I38="Actual",SUMIFS(Calc_Actuals!$P$2:$P$865,Calc_Actuals!$J$2:$J$865,G38,Calc_Actuals!$K$2:$K$865,O38,Calc_Actuals!$F$2:$F$865,B38,Calc_Actuals!$H$2:$H$865,C38,Calc_Actuals!$C$2:$C$865,"Actual"),0)</f>
        <v>0</v>
      </c>
      <c r="O38" s="42" t="n">
        <f aca="false">VALUE(RIGHT(A38,2))</f>
        <v>3</v>
      </c>
      <c r="P38" s="42" t="str">
        <f aca="false">A38&amp;"|"&amp;B38&amp;"|"&amp;C38</f>
        <v>2025-03|South|Personal Care</v>
      </c>
    </row>
    <row r="39" customFormat="false" ht="15" hidden="false" customHeight="false" outlineLevel="0" collapsed="false">
      <c r="A39" s="42" t="str">
        <f aca="false">Sales_Budget!A28</f>
        <v>2025-03</v>
      </c>
      <c r="B39" s="42" t="str">
        <f aca="false">Sales_Budget!B28</f>
        <v>South</v>
      </c>
      <c r="C39" s="42" t="str">
        <f aca="false">Sales_Budget!C28</f>
        <v>Foods</v>
      </c>
      <c r="D39" s="43" t="n">
        <f aca="false">Sales_Budget!E28</f>
        <v>1100000</v>
      </c>
      <c r="E39" s="43" t="n">
        <f aca="false">Sales_Budget!F28</f>
        <v>682000</v>
      </c>
      <c r="F39" s="43" t="n">
        <f aca="false">Sales_Budget!G28</f>
        <v>418000</v>
      </c>
      <c r="G39" s="42" t="n">
        <f aca="false">VALUE(LEFT(A39,4))</f>
        <v>2025</v>
      </c>
      <c r="H39" s="42" t="n">
        <f aca="false">IF(COUNTIFS(Calc_Actuals!$F$2:$F$865,B39,Calc_Actuals!$H$2:$H$865,C39,Calc_Actuals!$C$2:$C$865,"Actual")&gt;0,1,0)</f>
        <v>1</v>
      </c>
      <c r="I39" s="42" t="str">
        <f aca="false">IFERROR(INDEX(Calendar!$E$2:$E$25,MATCH(A39,Calendar!$A$2:$A$25,0)),"UNMATCHED")</f>
        <v>Actual</v>
      </c>
      <c r="J39" s="43" t="n">
        <f aca="false">D39*$B$7</f>
        <v>279495.504687824</v>
      </c>
      <c r="K39" s="43" t="n">
        <f aca="false">E39*$B$7</f>
        <v>173287.212906451</v>
      </c>
      <c r="L39" s="43" t="n">
        <f aca="false">F39*$B$7</f>
        <v>106208.291781373</v>
      </c>
      <c r="M39" s="43" t="n">
        <f aca="false">IF(I39="Actual",SUMIFS(Calc_Actuals!$N$2:$N$865,Calc_Actuals!$J$2:$J$865,G39,Calc_Actuals!$K$2:$K$865,O39,Calc_Actuals!$F$2:$F$865,B39,Calc_Actuals!$H$2:$H$865,C39,Calc_Actuals!$C$2:$C$865,"Actual"),0)</f>
        <v>152950.65</v>
      </c>
      <c r="N39" s="43" t="n">
        <f aca="false">IF(I39="Actual",SUMIFS(Calc_Actuals!$P$2:$P$865,Calc_Actuals!$J$2:$J$865,G39,Calc_Actuals!$K$2:$K$865,O39,Calc_Actuals!$F$2:$F$865,B39,Calc_Actuals!$H$2:$H$865,C39,Calc_Actuals!$C$2:$C$865,"Actual"),0)</f>
        <v>54300.94</v>
      </c>
      <c r="O39" s="42" t="n">
        <f aca="false">VALUE(RIGHT(A39,2))</f>
        <v>3</v>
      </c>
      <c r="P39" s="42" t="str">
        <f aca="false">A39&amp;"|"&amp;B39&amp;"|"&amp;C39</f>
        <v>2025-03|South|Foods</v>
      </c>
    </row>
    <row r="40" customFormat="false" ht="15" hidden="false" customHeight="false" outlineLevel="0" collapsed="false">
      <c r="A40" s="42" t="str">
        <f aca="false">Sales_Budget!A29</f>
        <v>2025-03</v>
      </c>
      <c r="B40" s="42" t="str">
        <f aca="false">Sales_Budget!B29</f>
        <v>North</v>
      </c>
      <c r="C40" s="42" t="str">
        <f aca="false">Sales_Budget!C29</f>
        <v>Home Care</v>
      </c>
      <c r="D40" s="43" t="n">
        <f aca="false">Sales_Budget!E29</f>
        <v>1035000</v>
      </c>
      <c r="E40" s="43" t="n">
        <f aca="false">Sales_Budget!F29</f>
        <v>641700</v>
      </c>
      <c r="F40" s="43" t="n">
        <f aca="false">Sales_Budget!G29</f>
        <v>393300</v>
      </c>
      <c r="G40" s="42" t="n">
        <f aca="false">VALUE(LEFT(A40,4))</f>
        <v>2025</v>
      </c>
      <c r="H40" s="42" t="n">
        <f aca="false">IF(COUNTIFS(Calc_Actuals!$F$2:$F$865,B40,Calc_Actuals!$H$2:$H$865,C40,Calc_Actuals!$C$2:$C$865,"Actual")&gt;0,1,0)</f>
        <v>0</v>
      </c>
      <c r="I40" s="42" t="str">
        <f aca="false">IFERROR(INDEX(Calendar!$E$2:$E$25,MATCH(A40,Calendar!$A$2:$A$25,0)),"UNMATCHED")</f>
        <v>Actual</v>
      </c>
      <c r="J40" s="43" t="n">
        <f aca="false">D40*$B$7</f>
        <v>262979.861228998</v>
      </c>
      <c r="K40" s="43" t="n">
        <f aca="false">E40*$B$7</f>
        <v>163047.513961979</v>
      </c>
      <c r="L40" s="43" t="n">
        <f aca="false">F40*$B$7</f>
        <v>99932.3472670193</v>
      </c>
      <c r="M40" s="43" t="n">
        <f aca="false">IF(I40="Actual",SUMIFS(Calc_Actuals!$N$2:$N$865,Calc_Actuals!$J$2:$J$865,G40,Calc_Actuals!$K$2:$K$865,O40,Calc_Actuals!$F$2:$F$865,B40,Calc_Actuals!$H$2:$H$865,C40,Calc_Actuals!$C$2:$C$865,"Actual"),0)</f>
        <v>0</v>
      </c>
      <c r="N40" s="43" t="n">
        <f aca="false">IF(I40="Actual",SUMIFS(Calc_Actuals!$P$2:$P$865,Calc_Actuals!$J$2:$J$865,G40,Calc_Actuals!$K$2:$K$865,O40,Calc_Actuals!$F$2:$F$865,B40,Calc_Actuals!$H$2:$H$865,C40,Calc_Actuals!$C$2:$C$865,"Actual"),0)</f>
        <v>0</v>
      </c>
      <c r="O40" s="42" t="n">
        <f aca="false">VALUE(RIGHT(A40,2))</f>
        <v>3</v>
      </c>
      <c r="P40" s="42" t="str">
        <f aca="false">A40&amp;"|"&amp;B40&amp;"|"&amp;C40</f>
        <v>2025-03|North|Home Care</v>
      </c>
    </row>
    <row r="41" customFormat="false" ht="15" hidden="false" customHeight="false" outlineLevel="0" collapsed="false">
      <c r="A41" s="42" t="str">
        <f aca="false">Sales_Budget!A30</f>
        <v>2025-03</v>
      </c>
      <c r="B41" s="42" t="str">
        <f aca="false">Sales_Budget!B30</f>
        <v>North</v>
      </c>
      <c r="C41" s="42" t="str">
        <f aca="false">Sales_Budget!C30</f>
        <v>Personal Care</v>
      </c>
      <c r="D41" s="43" t="n">
        <f aca="false">Sales_Budget!E30</f>
        <v>1110000</v>
      </c>
      <c r="E41" s="43" t="n">
        <f aca="false">Sales_Budget!F30</f>
        <v>688200</v>
      </c>
      <c r="F41" s="43" t="n">
        <f aca="false">Sales_Budget!G30</f>
        <v>421800</v>
      </c>
      <c r="G41" s="42" t="n">
        <f aca="false">VALUE(LEFT(A41,4))</f>
        <v>2025</v>
      </c>
      <c r="H41" s="42" t="n">
        <f aca="false">IF(COUNTIFS(Calc_Actuals!$F$2:$F$865,B41,Calc_Actuals!$H$2:$H$865,C41,Calc_Actuals!$C$2:$C$865,"Actual")&gt;0,1,0)</f>
        <v>1</v>
      </c>
      <c r="I41" s="42" t="str">
        <f aca="false">IFERROR(INDEX(Calendar!$E$2:$E$25,MATCH(A41,Calendar!$A$2:$A$25,0)),"UNMATCHED")</f>
        <v>Actual</v>
      </c>
      <c r="J41" s="43" t="n">
        <f aca="false">D41*$B$7</f>
        <v>282036.372912259</v>
      </c>
      <c r="K41" s="43" t="n">
        <f aca="false">E41*$B$7</f>
        <v>174862.551205601</v>
      </c>
      <c r="L41" s="43" t="n">
        <f aca="false">F41*$B$7</f>
        <v>107173.821706658</v>
      </c>
      <c r="M41" s="43" t="n">
        <f aca="false">IF(I41="Actual",SUMIFS(Calc_Actuals!$N$2:$N$865,Calc_Actuals!$J$2:$J$865,G41,Calc_Actuals!$K$2:$K$865,O41,Calc_Actuals!$F$2:$F$865,B41,Calc_Actuals!$H$2:$H$865,C41,Calc_Actuals!$C$2:$C$865,"Actual"),0)</f>
        <v>628432.07</v>
      </c>
      <c r="N41" s="43" t="n">
        <f aca="false">IF(I41="Actual",SUMIFS(Calc_Actuals!$P$2:$P$865,Calc_Actuals!$J$2:$J$865,G41,Calc_Actuals!$K$2:$K$865,O41,Calc_Actuals!$F$2:$F$865,B41,Calc_Actuals!$H$2:$H$865,C41,Calc_Actuals!$C$2:$C$865,"Actual"),0)</f>
        <v>219058.74</v>
      </c>
      <c r="O41" s="42" t="n">
        <f aca="false">VALUE(RIGHT(A41,2))</f>
        <v>3</v>
      </c>
      <c r="P41" s="42" t="str">
        <f aca="false">A41&amp;"|"&amp;B41&amp;"|"&amp;C41</f>
        <v>2025-03|North|Personal Care</v>
      </c>
    </row>
    <row r="42" customFormat="false" ht="15" hidden="false" customHeight="false" outlineLevel="0" collapsed="false">
      <c r="A42" s="42" t="str">
        <f aca="false">Sales_Budget!A31</f>
        <v>2025-03</v>
      </c>
      <c r="B42" s="42" t="str">
        <f aca="false">Sales_Budget!B31</f>
        <v>North</v>
      </c>
      <c r="C42" s="42" t="str">
        <f aca="false">Sales_Budget!C31</f>
        <v>Foods</v>
      </c>
      <c r="D42" s="43" t="n">
        <f aca="false">Sales_Budget!E31</f>
        <v>1185000</v>
      </c>
      <c r="E42" s="43" t="n">
        <f aca="false">Sales_Budget!F31</f>
        <v>734700</v>
      </c>
      <c r="F42" s="43" t="n">
        <f aca="false">Sales_Budget!G31</f>
        <v>450300</v>
      </c>
      <c r="G42" s="42" t="n">
        <f aca="false">VALUE(LEFT(A42,4))</f>
        <v>2025</v>
      </c>
      <c r="H42" s="42" t="n">
        <f aca="false">IF(COUNTIFS(Calc_Actuals!$F$2:$F$865,B42,Calc_Actuals!$H$2:$H$865,C42,Calc_Actuals!$C$2:$C$865,"Actual")&gt;0,1,0)</f>
        <v>0</v>
      </c>
      <c r="I42" s="42" t="str">
        <f aca="false">IFERROR(INDEX(Calendar!$E$2:$E$25,MATCH(A42,Calendar!$A$2:$A$25,0)),"UNMATCHED")</f>
        <v>Actual</v>
      </c>
      <c r="J42" s="43" t="n">
        <f aca="false">D42*$B$7</f>
        <v>301092.88459552</v>
      </c>
      <c r="K42" s="43" t="n">
        <f aca="false">E42*$B$7</f>
        <v>186677.588449222</v>
      </c>
      <c r="L42" s="43" t="n">
        <f aca="false">F42*$B$7</f>
        <v>114415.296146297</v>
      </c>
      <c r="M42" s="43" t="n">
        <f aca="false">IF(I42="Actual",SUMIFS(Calc_Actuals!$N$2:$N$865,Calc_Actuals!$J$2:$J$865,G42,Calc_Actuals!$K$2:$K$865,O42,Calc_Actuals!$F$2:$F$865,B42,Calc_Actuals!$H$2:$H$865,C42,Calc_Actuals!$C$2:$C$865,"Actual"),0)</f>
        <v>0</v>
      </c>
      <c r="N42" s="43" t="n">
        <f aca="false">IF(I42="Actual",SUMIFS(Calc_Actuals!$P$2:$P$865,Calc_Actuals!$J$2:$J$865,G42,Calc_Actuals!$K$2:$K$865,O42,Calc_Actuals!$F$2:$F$865,B42,Calc_Actuals!$H$2:$H$865,C42,Calc_Actuals!$C$2:$C$865,"Actual"),0)</f>
        <v>0</v>
      </c>
      <c r="O42" s="42" t="n">
        <f aca="false">VALUE(RIGHT(A42,2))</f>
        <v>3</v>
      </c>
      <c r="P42" s="42" t="str">
        <f aca="false">A42&amp;"|"&amp;B42&amp;"|"&amp;C42</f>
        <v>2025-03|North|Foods</v>
      </c>
    </row>
    <row r="43" customFormat="false" ht="15" hidden="false" customHeight="false" outlineLevel="0" collapsed="false">
      <c r="A43" s="42" t="str">
        <f aca="false">Sales_Budget!A32</f>
        <v>2025-03</v>
      </c>
      <c r="B43" s="42" t="str">
        <f aca="false">Sales_Budget!B32</f>
        <v>West</v>
      </c>
      <c r="C43" s="42" t="str">
        <f aca="false">Sales_Budget!C32</f>
        <v>Home Care</v>
      </c>
      <c r="D43" s="43" t="n">
        <f aca="false">Sales_Budget!E32</f>
        <v>1120000</v>
      </c>
      <c r="E43" s="43" t="n">
        <f aca="false">Sales_Budget!F32</f>
        <v>694400</v>
      </c>
      <c r="F43" s="43" t="n">
        <f aca="false">Sales_Budget!G32</f>
        <v>425600</v>
      </c>
      <c r="G43" s="42" t="n">
        <f aca="false">VALUE(LEFT(A43,4))</f>
        <v>2025</v>
      </c>
      <c r="H43" s="42" t="n">
        <f aca="false">IF(COUNTIFS(Calc_Actuals!$F$2:$F$865,B43,Calc_Actuals!$H$2:$H$865,C43,Calc_Actuals!$C$2:$C$865,"Actual")&gt;0,1,0)</f>
        <v>1</v>
      </c>
      <c r="I43" s="42" t="str">
        <f aca="false">IFERROR(INDEX(Calendar!$E$2:$E$25,MATCH(A43,Calendar!$A$2:$A$25,0)),"UNMATCHED")</f>
        <v>Actual</v>
      </c>
      <c r="J43" s="43" t="n">
        <f aca="false">D43*$B$7</f>
        <v>284577.241136694</v>
      </c>
      <c r="K43" s="43" t="n">
        <f aca="false">E43*$B$7</f>
        <v>176437.88950475</v>
      </c>
      <c r="L43" s="43" t="n">
        <f aca="false">F43*$B$7</f>
        <v>108139.351631944</v>
      </c>
      <c r="M43" s="43" t="n">
        <f aca="false">IF(I43="Actual",SUMIFS(Calc_Actuals!$N$2:$N$865,Calc_Actuals!$J$2:$J$865,G43,Calc_Actuals!$K$2:$K$865,O43,Calc_Actuals!$F$2:$F$865,B43,Calc_Actuals!$H$2:$H$865,C43,Calc_Actuals!$C$2:$C$865,"Actual"),0)</f>
        <v>205442.73</v>
      </c>
      <c r="N43" s="43" t="n">
        <f aca="false">IF(I43="Actual",SUMIFS(Calc_Actuals!$P$2:$P$865,Calc_Actuals!$J$2:$J$865,G43,Calc_Actuals!$K$2:$K$865,O43,Calc_Actuals!$F$2:$F$865,B43,Calc_Actuals!$H$2:$H$865,C43,Calc_Actuals!$C$2:$C$865,"Actual"),0)</f>
        <v>77143.69</v>
      </c>
      <c r="O43" s="42" t="n">
        <f aca="false">VALUE(RIGHT(A43,2))</f>
        <v>3</v>
      </c>
      <c r="P43" s="42" t="str">
        <f aca="false">A43&amp;"|"&amp;B43&amp;"|"&amp;C43</f>
        <v>2025-03|West|Home Care</v>
      </c>
    </row>
    <row r="44" customFormat="false" ht="15" hidden="false" customHeight="false" outlineLevel="0" collapsed="false">
      <c r="A44" s="42" t="str">
        <f aca="false">Sales_Budget!A33</f>
        <v>2025-03</v>
      </c>
      <c r="B44" s="42" t="str">
        <f aca="false">Sales_Budget!B33</f>
        <v>West</v>
      </c>
      <c r="C44" s="42" t="str">
        <f aca="false">Sales_Budget!C33</f>
        <v>Personal Care</v>
      </c>
      <c r="D44" s="43" t="n">
        <f aca="false">Sales_Budget!E33</f>
        <v>1195000</v>
      </c>
      <c r="E44" s="43" t="n">
        <f aca="false">Sales_Budget!F33</f>
        <v>740900</v>
      </c>
      <c r="F44" s="43" t="n">
        <f aca="false">Sales_Budget!G33</f>
        <v>454100</v>
      </c>
      <c r="G44" s="42" t="n">
        <f aca="false">VALUE(LEFT(A44,4))</f>
        <v>2025</v>
      </c>
      <c r="H44" s="42" t="n">
        <f aca="false">IF(COUNTIFS(Calc_Actuals!$F$2:$F$865,B44,Calc_Actuals!$H$2:$H$865,C44,Calc_Actuals!$C$2:$C$865,"Actual")&gt;0,1,0)</f>
        <v>1</v>
      </c>
      <c r="I44" s="42" t="str">
        <f aca="false">IFERROR(INDEX(Calendar!$E$2:$E$25,MATCH(A44,Calendar!$A$2:$A$25,0)),"UNMATCHED")</f>
        <v>Actual</v>
      </c>
      <c r="J44" s="43" t="n">
        <f aca="false">D44*$B$7</f>
        <v>303633.752819954</v>
      </c>
      <c r="K44" s="43" t="n">
        <f aca="false">E44*$B$7</f>
        <v>188252.926748372</v>
      </c>
      <c r="L44" s="43" t="n">
        <f aca="false">F44*$B$7</f>
        <v>115380.826071583</v>
      </c>
      <c r="M44" s="43" t="n">
        <f aca="false">IF(I44="Actual",SUMIFS(Calc_Actuals!$N$2:$N$865,Calc_Actuals!$J$2:$J$865,G44,Calc_Actuals!$K$2:$K$865,O44,Calc_Actuals!$F$2:$F$865,B44,Calc_Actuals!$H$2:$H$865,C44,Calc_Actuals!$C$2:$C$865,"Actual"),0)</f>
        <v>257443.87</v>
      </c>
      <c r="N44" s="43" t="n">
        <f aca="false">IF(I44="Actual",SUMIFS(Calc_Actuals!$P$2:$P$865,Calc_Actuals!$J$2:$J$865,G44,Calc_Actuals!$K$2:$K$865,O44,Calc_Actuals!$F$2:$F$865,B44,Calc_Actuals!$H$2:$H$865,C44,Calc_Actuals!$C$2:$C$865,"Actual"),0)</f>
        <v>85762.17</v>
      </c>
      <c r="O44" s="42" t="n">
        <f aca="false">VALUE(RIGHT(A44,2))</f>
        <v>3</v>
      </c>
      <c r="P44" s="42" t="str">
        <f aca="false">A44&amp;"|"&amp;B44&amp;"|"&amp;C44</f>
        <v>2025-03|West|Personal Care</v>
      </c>
    </row>
    <row r="45" customFormat="false" ht="15" hidden="false" customHeight="false" outlineLevel="0" collapsed="false">
      <c r="A45" s="42" t="str">
        <f aca="false">Sales_Budget!A34</f>
        <v>2025-03</v>
      </c>
      <c r="B45" s="42" t="str">
        <f aca="false">Sales_Budget!B34</f>
        <v>West</v>
      </c>
      <c r="C45" s="42" t="str">
        <f aca="false">Sales_Budget!C34</f>
        <v>Foods</v>
      </c>
      <c r="D45" s="43" t="n">
        <f aca="false">Sales_Budget!E34</f>
        <v>1270000</v>
      </c>
      <c r="E45" s="43" t="n">
        <f aca="false">Sales_Budget!F34</f>
        <v>787400</v>
      </c>
      <c r="F45" s="43" t="n">
        <f aca="false">Sales_Budget!G34</f>
        <v>482600</v>
      </c>
      <c r="G45" s="42" t="n">
        <f aca="false">VALUE(LEFT(A45,4))</f>
        <v>2025</v>
      </c>
      <c r="H45" s="42" t="n">
        <f aca="false">IF(COUNTIFS(Calc_Actuals!$F$2:$F$865,B45,Calc_Actuals!$H$2:$H$865,C45,Calc_Actuals!$C$2:$C$865,"Actual")&gt;0,1,0)</f>
        <v>0</v>
      </c>
      <c r="I45" s="42" t="str">
        <f aca="false">IFERROR(INDEX(Calendar!$E$2:$E$25,MATCH(A45,Calendar!$A$2:$A$25,0)),"UNMATCHED")</f>
        <v>Actual</v>
      </c>
      <c r="J45" s="43" t="n">
        <f aca="false">D45*$B$7</f>
        <v>322690.264503215</v>
      </c>
      <c r="K45" s="43" t="n">
        <f aca="false">E45*$B$7</f>
        <v>200067.963991993</v>
      </c>
      <c r="L45" s="43" t="n">
        <f aca="false">F45*$B$7</f>
        <v>122622.300511222</v>
      </c>
      <c r="M45" s="43" t="n">
        <f aca="false">IF(I45="Actual",SUMIFS(Calc_Actuals!$N$2:$N$865,Calc_Actuals!$J$2:$J$865,G45,Calc_Actuals!$K$2:$K$865,O45,Calc_Actuals!$F$2:$F$865,B45,Calc_Actuals!$H$2:$H$865,C45,Calc_Actuals!$C$2:$C$865,"Actual"),0)</f>
        <v>0</v>
      </c>
      <c r="N45" s="43" t="n">
        <f aca="false">IF(I45="Actual",SUMIFS(Calc_Actuals!$P$2:$P$865,Calc_Actuals!$J$2:$J$865,G45,Calc_Actuals!$K$2:$K$865,O45,Calc_Actuals!$F$2:$F$865,B45,Calc_Actuals!$H$2:$H$865,C45,Calc_Actuals!$C$2:$C$865,"Actual"),0)</f>
        <v>0</v>
      </c>
      <c r="O45" s="42" t="n">
        <f aca="false">VALUE(RIGHT(A45,2))</f>
        <v>3</v>
      </c>
      <c r="P45" s="42" t="str">
        <f aca="false">A45&amp;"|"&amp;B45&amp;"|"&amp;C45</f>
        <v>2025-03|West|Foods</v>
      </c>
    </row>
    <row r="46" customFormat="false" ht="15" hidden="false" customHeight="false" outlineLevel="0" collapsed="false">
      <c r="A46" s="42" t="str">
        <f aca="false">Sales_Budget!A35</f>
        <v>2025-03</v>
      </c>
      <c r="B46" s="42" t="str">
        <f aca="false">Sales_Budget!B35</f>
        <v>East</v>
      </c>
      <c r="C46" s="42" t="str">
        <f aca="false">Sales_Budget!C35</f>
        <v>Home Care</v>
      </c>
      <c r="D46" s="43" t="n">
        <f aca="false">Sales_Budget!E35</f>
        <v>1205000</v>
      </c>
      <c r="E46" s="43" t="n">
        <f aca="false">Sales_Budget!F35</f>
        <v>747100</v>
      </c>
      <c r="F46" s="43" t="n">
        <f aca="false">Sales_Budget!G35</f>
        <v>457900</v>
      </c>
      <c r="G46" s="42" t="n">
        <f aca="false">VALUE(LEFT(A46,4))</f>
        <v>2025</v>
      </c>
      <c r="H46" s="42" t="n">
        <f aca="false">IF(COUNTIFS(Calc_Actuals!$F$2:$F$865,B46,Calc_Actuals!$H$2:$H$865,C46,Calc_Actuals!$C$2:$C$865,"Actual")&gt;0,1,0)</f>
        <v>1</v>
      </c>
      <c r="I46" s="42" t="str">
        <f aca="false">IFERROR(INDEX(Calendar!$E$2:$E$25,MATCH(A46,Calendar!$A$2:$A$25,0)),"UNMATCHED")</f>
        <v>Actual</v>
      </c>
      <c r="J46" s="43" t="n">
        <f aca="false">D46*$B$7</f>
        <v>306174.621044389</v>
      </c>
      <c r="K46" s="43" t="n">
        <f aca="false">E46*$B$7</f>
        <v>189828.265047521</v>
      </c>
      <c r="L46" s="43" t="n">
        <f aca="false">F46*$B$7</f>
        <v>116346.355996868</v>
      </c>
      <c r="M46" s="43" t="n">
        <f aca="false">IF(I46="Actual",SUMIFS(Calc_Actuals!$N$2:$N$865,Calc_Actuals!$J$2:$J$865,G46,Calc_Actuals!$K$2:$K$865,O46,Calc_Actuals!$F$2:$F$865,B46,Calc_Actuals!$H$2:$H$865,C46,Calc_Actuals!$C$2:$C$865,"Actual"),0)</f>
        <v>192219.8</v>
      </c>
      <c r="N46" s="43" t="n">
        <f aca="false">IF(I46="Actual",SUMIFS(Calc_Actuals!$P$2:$P$865,Calc_Actuals!$J$2:$J$865,G46,Calc_Actuals!$K$2:$K$865,O46,Calc_Actuals!$F$2:$F$865,B46,Calc_Actuals!$H$2:$H$865,C46,Calc_Actuals!$C$2:$C$865,"Actual"),0)</f>
        <v>72750.15</v>
      </c>
      <c r="O46" s="42" t="n">
        <f aca="false">VALUE(RIGHT(A46,2))</f>
        <v>3</v>
      </c>
      <c r="P46" s="42" t="str">
        <f aca="false">A46&amp;"|"&amp;B46&amp;"|"&amp;C46</f>
        <v>2025-03|East|Home Care</v>
      </c>
    </row>
    <row r="47" customFormat="false" ht="15" hidden="false" customHeight="false" outlineLevel="0" collapsed="false">
      <c r="A47" s="42" t="str">
        <f aca="false">Sales_Budget!A36</f>
        <v>2025-03</v>
      </c>
      <c r="B47" s="42" t="str">
        <f aca="false">Sales_Budget!B36</f>
        <v>East</v>
      </c>
      <c r="C47" s="42" t="str">
        <f aca="false">Sales_Budget!C36</f>
        <v>Personal Care</v>
      </c>
      <c r="D47" s="43" t="n">
        <f aca="false">Sales_Budget!E36</f>
        <v>1280000</v>
      </c>
      <c r="E47" s="43" t="n">
        <f aca="false">Sales_Budget!F36</f>
        <v>793600</v>
      </c>
      <c r="F47" s="43" t="n">
        <f aca="false">Sales_Budget!G36</f>
        <v>486400</v>
      </c>
      <c r="G47" s="42" t="n">
        <f aca="false">VALUE(LEFT(A47,4))</f>
        <v>2025</v>
      </c>
      <c r="H47" s="42" t="n">
        <f aca="false">IF(COUNTIFS(Calc_Actuals!$F$2:$F$865,B47,Calc_Actuals!$H$2:$H$865,C47,Calc_Actuals!$C$2:$C$865,"Actual")&gt;0,1,0)</f>
        <v>0</v>
      </c>
      <c r="I47" s="42" t="str">
        <f aca="false">IFERROR(INDEX(Calendar!$E$2:$E$25,MATCH(A47,Calendar!$A$2:$A$25,0)),"UNMATCHED")</f>
        <v>Actual</v>
      </c>
      <c r="J47" s="43" t="n">
        <f aca="false">D47*$B$7</f>
        <v>325231.13272765</v>
      </c>
      <c r="K47" s="43" t="n">
        <f aca="false">E47*$B$7</f>
        <v>201643.302291143</v>
      </c>
      <c r="L47" s="43" t="n">
        <f aca="false">F47*$B$7</f>
        <v>123587.830436507</v>
      </c>
      <c r="M47" s="43" t="n">
        <f aca="false">IF(I47="Actual",SUMIFS(Calc_Actuals!$N$2:$N$865,Calc_Actuals!$J$2:$J$865,G47,Calc_Actuals!$K$2:$K$865,O47,Calc_Actuals!$F$2:$F$865,B47,Calc_Actuals!$H$2:$H$865,C47,Calc_Actuals!$C$2:$C$865,"Actual"),0)</f>
        <v>0</v>
      </c>
      <c r="N47" s="43" t="n">
        <f aca="false">IF(I47="Actual",SUMIFS(Calc_Actuals!$P$2:$P$865,Calc_Actuals!$J$2:$J$865,G47,Calc_Actuals!$K$2:$K$865,O47,Calc_Actuals!$F$2:$F$865,B47,Calc_Actuals!$H$2:$H$865,C47,Calc_Actuals!$C$2:$C$865,"Actual"),0)</f>
        <v>0</v>
      </c>
      <c r="O47" s="42" t="n">
        <f aca="false">VALUE(RIGHT(A47,2))</f>
        <v>3</v>
      </c>
      <c r="P47" s="42" t="str">
        <f aca="false">A47&amp;"|"&amp;B47&amp;"|"&amp;C47</f>
        <v>2025-03|East|Personal Care</v>
      </c>
    </row>
    <row r="48" customFormat="false" ht="15" hidden="false" customHeight="false" outlineLevel="0" collapsed="false">
      <c r="A48" s="42" t="str">
        <f aca="false">Sales_Budget!A37</f>
        <v>2025-03</v>
      </c>
      <c r="B48" s="42" t="str">
        <f aca="false">Sales_Budget!B37</f>
        <v>East</v>
      </c>
      <c r="C48" s="42" t="str">
        <f aca="false">Sales_Budget!C37</f>
        <v>Foods</v>
      </c>
      <c r="D48" s="43" t="n">
        <f aca="false">Sales_Budget!E37</f>
        <v>1355000</v>
      </c>
      <c r="E48" s="43" t="n">
        <f aca="false">Sales_Budget!F37</f>
        <v>840100</v>
      </c>
      <c r="F48" s="43" t="n">
        <f aca="false">Sales_Budget!G37</f>
        <v>514900</v>
      </c>
      <c r="G48" s="42" t="n">
        <f aca="false">VALUE(LEFT(A48,4))</f>
        <v>2025</v>
      </c>
      <c r="H48" s="42" t="n">
        <f aca="false">IF(COUNTIFS(Calc_Actuals!$F$2:$F$865,B48,Calc_Actuals!$H$2:$H$865,C48,Calc_Actuals!$C$2:$C$865,"Actual")&gt;0,1,0)</f>
        <v>1</v>
      </c>
      <c r="I48" s="42" t="str">
        <f aca="false">IFERROR(INDEX(Calendar!$E$2:$E$25,MATCH(A48,Calendar!$A$2:$A$25,0)),"UNMATCHED")</f>
        <v>Actual</v>
      </c>
      <c r="J48" s="43" t="n">
        <f aca="false">D48*$B$7</f>
        <v>344287.644410911</v>
      </c>
      <c r="K48" s="43" t="n">
        <f aca="false">E48*$B$7</f>
        <v>213458.339534765</v>
      </c>
      <c r="L48" s="43" t="n">
        <f aca="false">F48*$B$7</f>
        <v>130829.304876146</v>
      </c>
      <c r="M48" s="43" t="n">
        <f aca="false">IF(I48="Actual",SUMIFS(Calc_Actuals!$N$2:$N$865,Calc_Actuals!$J$2:$J$865,G48,Calc_Actuals!$K$2:$K$865,O48,Calc_Actuals!$F$2:$F$865,B48,Calc_Actuals!$H$2:$H$865,C48,Calc_Actuals!$C$2:$C$865,"Actual"),0)</f>
        <v>214770.73</v>
      </c>
      <c r="N48" s="43" t="n">
        <f aca="false">IF(I48="Actual",SUMIFS(Calc_Actuals!$P$2:$P$865,Calc_Actuals!$J$2:$J$865,G48,Calc_Actuals!$K$2:$K$865,O48,Calc_Actuals!$F$2:$F$865,B48,Calc_Actuals!$H$2:$H$865,C48,Calc_Actuals!$C$2:$C$865,"Actual"),0)</f>
        <v>69637.35</v>
      </c>
      <c r="O48" s="42" t="n">
        <f aca="false">VALUE(RIGHT(A48,2))</f>
        <v>3</v>
      </c>
      <c r="P48" s="42" t="str">
        <f aca="false">A48&amp;"|"&amp;B48&amp;"|"&amp;C48</f>
        <v>2025-03|East|Foods</v>
      </c>
    </row>
    <row r="49" customFormat="false" ht="15" hidden="false" customHeight="false" outlineLevel="0" collapsed="false">
      <c r="A49" s="42" t="str">
        <f aca="false">Sales_Budget!A38</f>
        <v>2025-04</v>
      </c>
      <c r="B49" s="42" t="str">
        <f aca="false">Sales_Budget!B38</f>
        <v>South</v>
      </c>
      <c r="C49" s="42" t="str">
        <f aca="false">Sales_Budget!C38</f>
        <v>Home Care</v>
      </c>
      <c r="D49" s="43" t="n">
        <f aca="false">Sales_Budget!E38</f>
        <v>950000</v>
      </c>
      <c r="E49" s="43" t="n">
        <f aca="false">Sales_Budget!F38</f>
        <v>589000</v>
      </c>
      <c r="F49" s="43" t="n">
        <f aca="false">Sales_Budget!G38</f>
        <v>361000</v>
      </c>
      <c r="G49" s="42" t="n">
        <f aca="false">VALUE(LEFT(A49,4))</f>
        <v>2025</v>
      </c>
      <c r="H49" s="42" t="n">
        <f aca="false">IF(COUNTIFS(Calc_Actuals!$F$2:$F$865,B49,Calc_Actuals!$H$2:$H$865,C49,Calc_Actuals!$C$2:$C$865,"Actual")&gt;0,1,0)</f>
        <v>1</v>
      </c>
      <c r="I49" s="42" t="str">
        <f aca="false">IFERROR(INDEX(Calendar!$E$2:$E$25,MATCH(A49,Calendar!$A$2:$A$25,0)),"UNMATCHED")</f>
        <v>Actual</v>
      </c>
      <c r="J49" s="43" t="n">
        <f aca="false">D49*$B$7</f>
        <v>241382.481321303</v>
      </c>
      <c r="K49" s="43" t="n">
        <f aca="false">E49*$B$7</f>
        <v>149657.138419208</v>
      </c>
      <c r="L49" s="43" t="n">
        <f aca="false">F49*$B$7</f>
        <v>91725.342902095</v>
      </c>
      <c r="M49" s="43" t="n">
        <f aca="false">IF(I49="Actual",SUMIFS(Calc_Actuals!$N$2:$N$865,Calc_Actuals!$J$2:$J$865,G49,Calc_Actuals!$K$2:$K$865,O49,Calc_Actuals!$F$2:$F$865,B49,Calc_Actuals!$H$2:$H$865,C49,Calc_Actuals!$C$2:$C$865,"Actual"),0)</f>
        <v>192535.28</v>
      </c>
      <c r="N49" s="43" t="n">
        <f aca="false">IF(I49="Actual",SUMIFS(Calc_Actuals!$P$2:$P$865,Calc_Actuals!$J$2:$J$865,G49,Calc_Actuals!$K$2:$K$865,O49,Calc_Actuals!$F$2:$F$865,B49,Calc_Actuals!$H$2:$H$865,C49,Calc_Actuals!$C$2:$C$865,"Actual"),0)</f>
        <v>58731.77</v>
      </c>
      <c r="O49" s="42" t="n">
        <f aca="false">VALUE(RIGHT(A49,2))</f>
        <v>4</v>
      </c>
      <c r="P49" s="42" t="str">
        <f aca="false">A49&amp;"|"&amp;B49&amp;"|"&amp;C49</f>
        <v>2025-04|South|Home Care</v>
      </c>
    </row>
    <row r="50" customFormat="false" ht="15" hidden="false" customHeight="false" outlineLevel="0" collapsed="false">
      <c r="A50" s="42" t="str">
        <f aca="false">Sales_Budget!A39</f>
        <v>2025-04</v>
      </c>
      <c r="B50" s="42" t="str">
        <f aca="false">Sales_Budget!B39</f>
        <v>South</v>
      </c>
      <c r="C50" s="42" t="str">
        <f aca="false">Sales_Budget!C39</f>
        <v>Personal Care</v>
      </c>
      <c r="D50" s="43" t="n">
        <f aca="false">Sales_Budget!E39</f>
        <v>1025000</v>
      </c>
      <c r="E50" s="43" t="n">
        <f aca="false">Sales_Budget!F39</f>
        <v>635500</v>
      </c>
      <c r="F50" s="43" t="n">
        <f aca="false">Sales_Budget!G39</f>
        <v>389500</v>
      </c>
      <c r="G50" s="42" t="n">
        <f aca="false">VALUE(LEFT(A50,4))</f>
        <v>2025</v>
      </c>
      <c r="H50" s="42" t="n">
        <f aca="false">IF(COUNTIFS(Calc_Actuals!$F$2:$F$865,B50,Calc_Actuals!$H$2:$H$865,C50,Calc_Actuals!$C$2:$C$865,"Actual")&gt;0,1,0)</f>
        <v>0</v>
      </c>
      <c r="I50" s="42" t="str">
        <f aca="false">IFERROR(INDEX(Calendar!$E$2:$E$25,MATCH(A50,Calendar!$A$2:$A$25,0)),"UNMATCHED")</f>
        <v>Actual</v>
      </c>
      <c r="J50" s="43" t="n">
        <f aca="false">D50*$B$7</f>
        <v>260438.993004563</v>
      </c>
      <c r="K50" s="43" t="n">
        <f aca="false">E50*$B$7</f>
        <v>161472.175662829</v>
      </c>
      <c r="L50" s="43" t="n">
        <f aca="false">F50*$B$7</f>
        <v>98966.8173417341</v>
      </c>
      <c r="M50" s="43" t="n">
        <f aca="false">IF(I50="Actual",SUMIFS(Calc_Actuals!$N$2:$N$865,Calc_Actuals!$J$2:$J$865,G50,Calc_Actuals!$K$2:$K$865,O50,Calc_Actuals!$F$2:$F$865,B50,Calc_Actuals!$H$2:$H$865,C50,Calc_Actuals!$C$2:$C$865,"Actual"),0)</f>
        <v>0</v>
      </c>
      <c r="N50" s="43" t="n">
        <f aca="false">IF(I50="Actual",SUMIFS(Calc_Actuals!$P$2:$P$865,Calc_Actuals!$J$2:$J$865,G50,Calc_Actuals!$K$2:$K$865,O50,Calc_Actuals!$F$2:$F$865,B50,Calc_Actuals!$H$2:$H$865,C50,Calc_Actuals!$C$2:$C$865,"Actual"),0)</f>
        <v>0</v>
      </c>
      <c r="O50" s="42" t="n">
        <f aca="false">VALUE(RIGHT(A50,2))</f>
        <v>4</v>
      </c>
      <c r="P50" s="42" t="str">
        <f aca="false">A50&amp;"|"&amp;B50&amp;"|"&amp;C50</f>
        <v>2025-04|South|Personal Care</v>
      </c>
    </row>
    <row r="51" customFormat="false" ht="15" hidden="false" customHeight="false" outlineLevel="0" collapsed="false">
      <c r="A51" s="42" t="str">
        <f aca="false">Sales_Budget!A40</f>
        <v>2025-04</v>
      </c>
      <c r="B51" s="42" t="str">
        <f aca="false">Sales_Budget!B40</f>
        <v>South</v>
      </c>
      <c r="C51" s="42" t="str">
        <f aca="false">Sales_Budget!C40</f>
        <v>Foods</v>
      </c>
      <c r="D51" s="43" t="n">
        <f aca="false">Sales_Budget!E40</f>
        <v>1100000</v>
      </c>
      <c r="E51" s="43" t="n">
        <f aca="false">Sales_Budget!F40</f>
        <v>682000</v>
      </c>
      <c r="F51" s="43" t="n">
        <f aca="false">Sales_Budget!G40</f>
        <v>418000</v>
      </c>
      <c r="G51" s="42" t="n">
        <f aca="false">VALUE(LEFT(A51,4))</f>
        <v>2025</v>
      </c>
      <c r="H51" s="42" t="n">
        <f aca="false">IF(COUNTIFS(Calc_Actuals!$F$2:$F$865,B51,Calc_Actuals!$H$2:$H$865,C51,Calc_Actuals!$C$2:$C$865,"Actual")&gt;0,1,0)</f>
        <v>1</v>
      </c>
      <c r="I51" s="42" t="str">
        <f aca="false">IFERROR(INDEX(Calendar!$E$2:$E$25,MATCH(A51,Calendar!$A$2:$A$25,0)),"UNMATCHED")</f>
        <v>Actual</v>
      </c>
      <c r="J51" s="43" t="n">
        <f aca="false">D51*$B$7</f>
        <v>279495.504687824</v>
      </c>
      <c r="K51" s="43" t="n">
        <f aca="false">E51*$B$7</f>
        <v>173287.212906451</v>
      </c>
      <c r="L51" s="43" t="n">
        <f aca="false">F51*$B$7</f>
        <v>106208.291781373</v>
      </c>
      <c r="M51" s="43" t="n">
        <f aca="false">IF(I51="Actual",SUMIFS(Calc_Actuals!$N$2:$N$865,Calc_Actuals!$J$2:$J$865,G51,Calc_Actuals!$K$2:$K$865,O51,Calc_Actuals!$F$2:$F$865,B51,Calc_Actuals!$H$2:$H$865,C51,Calc_Actuals!$C$2:$C$865,"Actual"),0)</f>
        <v>86332.45</v>
      </c>
      <c r="N51" s="43" t="n">
        <f aca="false">IF(I51="Actual",SUMIFS(Calc_Actuals!$P$2:$P$865,Calc_Actuals!$J$2:$J$865,G51,Calc_Actuals!$K$2:$K$865,O51,Calc_Actuals!$F$2:$F$865,B51,Calc_Actuals!$H$2:$H$865,C51,Calc_Actuals!$C$2:$C$865,"Actual"),0)</f>
        <v>26312.62</v>
      </c>
      <c r="O51" s="42" t="n">
        <f aca="false">VALUE(RIGHT(A51,2))</f>
        <v>4</v>
      </c>
      <c r="P51" s="42" t="str">
        <f aca="false">A51&amp;"|"&amp;B51&amp;"|"&amp;C51</f>
        <v>2025-04|South|Foods</v>
      </c>
    </row>
    <row r="52" customFormat="false" ht="15" hidden="false" customHeight="false" outlineLevel="0" collapsed="false">
      <c r="A52" s="42" t="str">
        <f aca="false">Sales_Budget!A41</f>
        <v>2025-04</v>
      </c>
      <c r="B52" s="42" t="str">
        <f aca="false">Sales_Budget!B41</f>
        <v>North</v>
      </c>
      <c r="C52" s="42" t="str">
        <f aca="false">Sales_Budget!C41</f>
        <v>Home Care</v>
      </c>
      <c r="D52" s="43" t="n">
        <f aca="false">Sales_Budget!E41</f>
        <v>1035000</v>
      </c>
      <c r="E52" s="43" t="n">
        <f aca="false">Sales_Budget!F41</f>
        <v>641700</v>
      </c>
      <c r="F52" s="43" t="n">
        <f aca="false">Sales_Budget!G41</f>
        <v>393300</v>
      </c>
      <c r="G52" s="42" t="n">
        <f aca="false">VALUE(LEFT(A52,4))</f>
        <v>2025</v>
      </c>
      <c r="H52" s="42" t="n">
        <f aca="false">IF(COUNTIFS(Calc_Actuals!$F$2:$F$865,B52,Calc_Actuals!$H$2:$H$865,C52,Calc_Actuals!$C$2:$C$865,"Actual")&gt;0,1,0)</f>
        <v>0</v>
      </c>
      <c r="I52" s="42" t="str">
        <f aca="false">IFERROR(INDEX(Calendar!$E$2:$E$25,MATCH(A52,Calendar!$A$2:$A$25,0)),"UNMATCHED")</f>
        <v>Actual</v>
      </c>
      <c r="J52" s="43" t="n">
        <f aca="false">D52*$B$7</f>
        <v>262979.861228998</v>
      </c>
      <c r="K52" s="43" t="n">
        <f aca="false">E52*$B$7</f>
        <v>163047.513961979</v>
      </c>
      <c r="L52" s="43" t="n">
        <f aca="false">F52*$B$7</f>
        <v>99932.3472670193</v>
      </c>
      <c r="M52" s="43" t="n">
        <f aca="false">IF(I52="Actual",SUMIFS(Calc_Actuals!$N$2:$N$865,Calc_Actuals!$J$2:$J$865,G52,Calc_Actuals!$K$2:$K$865,O52,Calc_Actuals!$F$2:$F$865,B52,Calc_Actuals!$H$2:$H$865,C52,Calc_Actuals!$C$2:$C$865,"Actual"),0)</f>
        <v>0</v>
      </c>
      <c r="N52" s="43" t="n">
        <f aca="false">IF(I52="Actual",SUMIFS(Calc_Actuals!$P$2:$P$865,Calc_Actuals!$J$2:$J$865,G52,Calc_Actuals!$K$2:$K$865,O52,Calc_Actuals!$F$2:$F$865,B52,Calc_Actuals!$H$2:$H$865,C52,Calc_Actuals!$C$2:$C$865,"Actual"),0)</f>
        <v>0</v>
      </c>
      <c r="O52" s="42" t="n">
        <f aca="false">VALUE(RIGHT(A52,2))</f>
        <v>4</v>
      </c>
      <c r="P52" s="42" t="str">
        <f aca="false">A52&amp;"|"&amp;B52&amp;"|"&amp;C52</f>
        <v>2025-04|North|Home Care</v>
      </c>
    </row>
    <row r="53" customFormat="false" ht="15" hidden="false" customHeight="false" outlineLevel="0" collapsed="false">
      <c r="A53" s="42" t="str">
        <f aca="false">Sales_Budget!A42</f>
        <v>2025-04</v>
      </c>
      <c r="B53" s="42" t="str">
        <f aca="false">Sales_Budget!B42</f>
        <v>North</v>
      </c>
      <c r="C53" s="42" t="str">
        <f aca="false">Sales_Budget!C42</f>
        <v>Personal Care</v>
      </c>
      <c r="D53" s="43" t="n">
        <f aca="false">Sales_Budget!E42</f>
        <v>1110000</v>
      </c>
      <c r="E53" s="43" t="n">
        <f aca="false">Sales_Budget!F42</f>
        <v>688200</v>
      </c>
      <c r="F53" s="43" t="n">
        <f aca="false">Sales_Budget!G42</f>
        <v>421800</v>
      </c>
      <c r="G53" s="42" t="n">
        <f aca="false">VALUE(LEFT(A53,4))</f>
        <v>2025</v>
      </c>
      <c r="H53" s="42" t="n">
        <f aca="false">IF(COUNTIFS(Calc_Actuals!$F$2:$F$865,B53,Calc_Actuals!$H$2:$H$865,C53,Calc_Actuals!$C$2:$C$865,"Actual")&gt;0,1,0)</f>
        <v>1</v>
      </c>
      <c r="I53" s="42" t="str">
        <f aca="false">IFERROR(INDEX(Calendar!$E$2:$E$25,MATCH(A53,Calendar!$A$2:$A$25,0)),"UNMATCHED")</f>
        <v>Actual</v>
      </c>
      <c r="J53" s="43" t="n">
        <f aca="false">D53*$B$7</f>
        <v>282036.372912259</v>
      </c>
      <c r="K53" s="43" t="n">
        <f aca="false">E53*$B$7</f>
        <v>174862.551205601</v>
      </c>
      <c r="L53" s="43" t="n">
        <f aca="false">F53*$B$7</f>
        <v>107173.821706658</v>
      </c>
      <c r="M53" s="43" t="n">
        <f aca="false">IF(I53="Actual",SUMIFS(Calc_Actuals!$N$2:$N$865,Calc_Actuals!$J$2:$J$865,G53,Calc_Actuals!$K$2:$K$865,O53,Calc_Actuals!$F$2:$F$865,B53,Calc_Actuals!$H$2:$H$865,C53,Calc_Actuals!$C$2:$C$865,"Actual"),0)</f>
        <v>741614.98</v>
      </c>
      <c r="N53" s="43" t="n">
        <f aca="false">IF(I53="Actual",SUMIFS(Calc_Actuals!$P$2:$P$865,Calc_Actuals!$J$2:$J$865,G53,Calc_Actuals!$K$2:$K$865,O53,Calc_Actuals!$F$2:$F$865,B53,Calc_Actuals!$H$2:$H$865,C53,Calc_Actuals!$C$2:$C$865,"Actual"),0)</f>
        <v>275264.5</v>
      </c>
      <c r="O53" s="42" t="n">
        <f aca="false">VALUE(RIGHT(A53,2))</f>
        <v>4</v>
      </c>
      <c r="P53" s="42" t="str">
        <f aca="false">A53&amp;"|"&amp;B53&amp;"|"&amp;C53</f>
        <v>2025-04|North|Personal Care</v>
      </c>
    </row>
    <row r="54" customFormat="false" ht="15" hidden="false" customHeight="false" outlineLevel="0" collapsed="false">
      <c r="A54" s="42" t="str">
        <f aca="false">Sales_Budget!A43</f>
        <v>2025-04</v>
      </c>
      <c r="B54" s="42" t="str">
        <f aca="false">Sales_Budget!B43</f>
        <v>North</v>
      </c>
      <c r="C54" s="42" t="str">
        <f aca="false">Sales_Budget!C43</f>
        <v>Foods</v>
      </c>
      <c r="D54" s="43" t="n">
        <f aca="false">Sales_Budget!E43</f>
        <v>1185000</v>
      </c>
      <c r="E54" s="43" t="n">
        <f aca="false">Sales_Budget!F43</f>
        <v>734700</v>
      </c>
      <c r="F54" s="43" t="n">
        <f aca="false">Sales_Budget!G43</f>
        <v>450300</v>
      </c>
      <c r="G54" s="42" t="n">
        <f aca="false">VALUE(LEFT(A54,4))</f>
        <v>2025</v>
      </c>
      <c r="H54" s="42" t="n">
        <f aca="false">IF(COUNTIFS(Calc_Actuals!$F$2:$F$865,B54,Calc_Actuals!$H$2:$H$865,C54,Calc_Actuals!$C$2:$C$865,"Actual")&gt;0,1,0)</f>
        <v>0</v>
      </c>
      <c r="I54" s="42" t="str">
        <f aca="false">IFERROR(INDEX(Calendar!$E$2:$E$25,MATCH(A54,Calendar!$A$2:$A$25,0)),"UNMATCHED")</f>
        <v>Actual</v>
      </c>
      <c r="J54" s="43" t="n">
        <f aca="false">D54*$B$7</f>
        <v>301092.88459552</v>
      </c>
      <c r="K54" s="43" t="n">
        <f aca="false">E54*$B$7</f>
        <v>186677.588449222</v>
      </c>
      <c r="L54" s="43" t="n">
        <f aca="false">F54*$B$7</f>
        <v>114415.296146297</v>
      </c>
      <c r="M54" s="43" t="n">
        <f aca="false">IF(I54="Actual",SUMIFS(Calc_Actuals!$N$2:$N$865,Calc_Actuals!$J$2:$J$865,G54,Calc_Actuals!$K$2:$K$865,O54,Calc_Actuals!$F$2:$F$865,B54,Calc_Actuals!$H$2:$H$865,C54,Calc_Actuals!$C$2:$C$865,"Actual"),0)</f>
        <v>0</v>
      </c>
      <c r="N54" s="43" t="n">
        <f aca="false">IF(I54="Actual",SUMIFS(Calc_Actuals!$P$2:$P$865,Calc_Actuals!$J$2:$J$865,G54,Calc_Actuals!$K$2:$K$865,O54,Calc_Actuals!$F$2:$F$865,B54,Calc_Actuals!$H$2:$H$865,C54,Calc_Actuals!$C$2:$C$865,"Actual"),0)</f>
        <v>0</v>
      </c>
      <c r="O54" s="42" t="n">
        <f aca="false">VALUE(RIGHT(A54,2))</f>
        <v>4</v>
      </c>
      <c r="P54" s="42" t="str">
        <f aca="false">A54&amp;"|"&amp;B54&amp;"|"&amp;C54</f>
        <v>2025-04|North|Foods</v>
      </c>
    </row>
    <row r="55" customFormat="false" ht="15" hidden="false" customHeight="false" outlineLevel="0" collapsed="false">
      <c r="A55" s="42" t="str">
        <f aca="false">Sales_Budget!A44</f>
        <v>2025-04</v>
      </c>
      <c r="B55" s="42" t="str">
        <f aca="false">Sales_Budget!B44</f>
        <v>West</v>
      </c>
      <c r="C55" s="42" t="str">
        <f aca="false">Sales_Budget!C44</f>
        <v>Home Care</v>
      </c>
      <c r="D55" s="43" t="n">
        <f aca="false">Sales_Budget!E44</f>
        <v>1120000</v>
      </c>
      <c r="E55" s="43" t="n">
        <f aca="false">Sales_Budget!F44</f>
        <v>694400</v>
      </c>
      <c r="F55" s="43" t="n">
        <f aca="false">Sales_Budget!G44</f>
        <v>425600</v>
      </c>
      <c r="G55" s="42" t="n">
        <f aca="false">VALUE(LEFT(A55,4))</f>
        <v>2025</v>
      </c>
      <c r="H55" s="42" t="n">
        <f aca="false">IF(COUNTIFS(Calc_Actuals!$F$2:$F$865,B55,Calc_Actuals!$H$2:$H$865,C55,Calc_Actuals!$C$2:$C$865,"Actual")&gt;0,1,0)</f>
        <v>1</v>
      </c>
      <c r="I55" s="42" t="str">
        <f aca="false">IFERROR(INDEX(Calendar!$E$2:$E$25,MATCH(A55,Calendar!$A$2:$A$25,0)),"UNMATCHED")</f>
        <v>Actual</v>
      </c>
      <c r="J55" s="43" t="n">
        <f aca="false">D55*$B$7</f>
        <v>284577.241136694</v>
      </c>
      <c r="K55" s="43" t="n">
        <f aca="false">E55*$B$7</f>
        <v>176437.88950475</v>
      </c>
      <c r="L55" s="43" t="n">
        <f aca="false">F55*$B$7</f>
        <v>108139.351631944</v>
      </c>
      <c r="M55" s="43" t="n">
        <f aca="false">IF(I55="Actual",SUMIFS(Calc_Actuals!$N$2:$N$865,Calc_Actuals!$J$2:$J$865,G55,Calc_Actuals!$K$2:$K$865,O55,Calc_Actuals!$F$2:$F$865,B55,Calc_Actuals!$H$2:$H$865,C55,Calc_Actuals!$C$2:$C$865,"Actual"),0)</f>
        <v>154142.05</v>
      </c>
      <c r="N55" s="43" t="n">
        <f aca="false">IF(I55="Actual",SUMIFS(Calc_Actuals!$P$2:$P$865,Calc_Actuals!$J$2:$J$865,G55,Calc_Actuals!$K$2:$K$865,O55,Calc_Actuals!$F$2:$F$865,B55,Calc_Actuals!$H$2:$H$865,C55,Calc_Actuals!$C$2:$C$865,"Actual"),0)</f>
        <v>59285.97</v>
      </c>
      <c r="O55" s="42" t="n">
        <f aca="false">VALUE(RIGHT(A55,2))</f>
        <v>4</v>
      </c>
      <c r="P55" s="42" t="str">
        <f aca="false">A55&amp;"|"&amp;B55&amp;"|"&amp;C55</f>
        <v>2025-04|West|Home Care</v>
      </c>
    </row>
    <row r="56" customFormat="false" ht="15" hidden="false" customHeight="false" outlineLevel="0" collapsed="false">
      <c r="A56" s="42" t="str">
        <f aca="false">Sales_Budget!A45</f>
        <v>2025-04</v>
      </c>
      <c r="B56" s="42" t="str">
        <f aca="false">Sales_Budget!B45</f>
        <v>West</v>
      </c>
      <c r="C56" s="42" t="str">
        <f aca="false">Sales_Budget!C45</f>
        <v>Personal Care</v>
      </c>
      <c r="D56" s="43" t="n">
        <f aca="false">Sales_Budget!E45</f>
        <v>1195000</v>
      </c>
      <c r="E56" s="43" t="n">
        <f aca="false">Sales_Budget!F45</f>
        <v>740900</v>
      </c>
      <c r="F56" s="43" t="n">
        <f aca="false">Sales_Budget!G45</f>
        <v>454100</v>
      </c>
      <c r="G56" s="42" t="n">
        <f aca="false">VALUE(LEFT(A56,4))</f>
        <v>2025</v>
      </c>
      <c r="H56" s="42" t="n">
        <f aca="false">IF(COUNTIFS(Calc_Actuals!$F$2:$F$865,B56,Calc_Actuals!$H$2:$H$865,C56,Calc_Actuals!$C$2:$C$865,"Actual")&gt;0,1,0)</f>
        <v>1</v>
      </c>
      <c r="I56" s="42" t="str">
        <f aca="false">IFERROR(INDEX(Calendar!$E$2:$E$25,MATCH(A56,Calendar!$A$2:$A$25,0)),"UNMATCHED")</f>
        <v>Actual</v>
      </c>
      <c r="J56" s="43" t="n">
        <f aca="false">D56*$B$7</f>
        <v>303633.752819954</v>
      </c>
      <c r="K56" s="43" t="n">
        <f aca="false">E56*$B$7</f>
        <v>188252.926748372</v>
      </c>
      <c r="L56" s="43" t="n">
        <f aca="false">F56*$B$7</f>
        <v>115380.826071583</v>
      </c>
      <c r="M56" s="43" t="n">
        <f aca="false">IF(I56="Actual",SUMIFS(Calc_Actuals!$N$2:$N$865,Calc_Actuals!$J$2:$J$865,G56,Calc_Actuals!$K$2:$K$865,O56,Calc_Actuals!$F$2:$F$865,B56,Calc_Actuals!$H$2:$H$865,C56,Calc_Actuals!$C$2:$C$865,"Actual"),0)</f>
        <v>417325.8</v>
      </c>
      <c r="N56" s="43" t="n">
        <f aca="false">IF(I56="Actual",SUMIFS(Calc_Actuals!$P$2:$P$865,Calc_Actuals!$J$2:$J$865,G56,Calc_Actuals!$K$2:$K$865,O56,Calc_Actuals!$F$2:$F$865,B56,Calc_Actuals!$H$2:$H$865,C56,Calc_Actuals!$C$2:$C$865,"Actual"),0)</f>
        <v>154391.4</v>
      </c>
      <c r="O56" s="42" t="n">
        <f aca="false">VALUE(RIGHT(A56,2))</f>
        <v>4</v>
      </c>
      <c r="P56" s="42" t="str">
        <f aca="false">A56&amp;"|"&amp;B56&amp;"|"&amp;C56</f>
        <v>2025-04|West|Personal Care</v>
      </c>
    </row>
    <row r="57" customFormat="false" ht="15" hidden="false" customHeight="false" outlineLevel="0" collapsed="false">
      <c r="A57" s="42" t="str">
        <f aca="false">Sales_Budget!A46</f>
        <v>2025-04</v>
      </c>
      <c r="B57" s="42" t="str">
        <f aca="false">Sales_Budget!B46</f>
        <v>West</v>
      </c>
      <c r="C57" s="42" t="str">
        <f aca="false">Sales_Budget!C46</f>
        <v>Foods</v>
      </c>
      <c r="D57" s="43" t="n">
        <f aca="false">Sales_Budget!E46</f>
        <v>1270000</v>
      </c>
      <c r="E57" s="43" t="n">
        <f aca="false">Sales_Budget!F46</f>
        <v>787400</v>
      </c>
      <c r="F57" s="43" t="n">
        <f aca="false">Sales_Budget!G46</f>
        <v>482600</v>
      </c>
      <c r="G57" s="42" t="n">
        <f aca="false">VALUE(LEFT(A57,4))</f>
        <v>2025</v>
      </c>
      <c r="H57" s="42" t="n">
        <f aca="false">IF(COUNTIFS(Calc_Actuals!$F$2:$F$865,B57,Calc_Actuals!$H$2:$H$865,C57,Calc_Actuals!$C$2:$C$865,"Actual")&gt;0,1,0)</f>
        <v>0</v>
      </c>
      <c r="I57" s="42" t="str">
        <f aca="false">IFERROR(INDEX(Calendar!$E$2:$E$25,MATCH(A57,Calendar!$A$2:$A$25,0)),"UNMATCHED")</f>
        <v>Actual</v>
      </c>
      <c r="J57" s="43" t="n">
        <f aca="false">D57*$B$7</f>
        <v>322690.264503215</v>
      </c>
      <c r="K57" s="43" t="n">
        <f aca="false">E57*$B$7</f>
        <v>200067.963991993</v>
      </c>
      <c r="L57" s="43" t="n">
        <f aca="false">F57*$B$7</f>
        <v>122622.300511222</v>
      </c>
      <c r="M57" s="43" t="n">
        <f aca="false">IF(I57="Actual",SUMIFS(Calc_Actuals!$N$2:$N$865,Calc_Actuals!$J$2:$J$865,G57,Calc_Actuals!$K$2:$K$865,O57,Calc_Actuals!$F$2:$F$865,B57,Calc_Actuals!$H$2:$H$865,C57,Calc_Actuals!$C$2:$C$865,"Actual"),0)</f>
        <v>0</v>
      </c>
      <c r="N57" s="43" t="n">
        <f aca="false">IF(I57="Actual",SUMIFS(Calc_Actuals!$P$2:$P$865,Calc_Actuals!$J$2:$J$865,G57,Calc_Actuals!$K$2:$K$865,O57,Calc_Actuals!$F$2:$F$865,B57,Calc_Actuals!$H$2:$H$865,C57,Calc_Actuals!$C$2:$C$865,"Actual"),0)</f>
        <v>0</v>
      </c>
      <c r="O57" s="42" t="n">
        <f aca="false">VALUE(RIGHT(A57,2))</f>
        <v>4</v>
      </c>
      <c r="P57" s="42" t="str">
        <f aca="false">A57&amp;"|"&amp;B57&amp;"|"&amp;C57</f>
        <v>2025-04|West|Foods</v>
      </c>
    </row>
    <row r="58" customFormat="false" ht="15" hidden="false" customHeight="false" outlineLevel="0" collapsed="false">
      <c r="A58" s="42" t="str">
        <f aca="false">Sales_Budget!A47</f>
        <v>2025-04</v>
      </c>
      <c r="B58" s="42" t="str">
        <f aca="false">Sales_Budget!B47</f>
        <v>East</v>
      </c>
      <c r="C58" s="42" t="str">
        <f aca="false">Sales_Budget!C47</f>
        <v>Home Care</v>
      </c>
      <c r="D58" s="43" t="n">
        <f aca="false">Sales_Budget!E47</f>
        <v>1205000</v>
      </c>
      <c r="E58" s="43" t="n">
        <f aca="false">Sales_Budget!F47</f>
        <v>747100</v>
      </c>
      <c r="F58" s="43" t="n">
        <f aca="false">Sales_Budget!G47</f>
        <v>457900</v>
      </c>
      <c r="G58" s="42" t="n">
        <f aca="false">VALUE(LEFT(A58,4))</f>
        <v>2025</v>
      </c>
      <c r="H58" s="42" t="n">
        <f aca="false">IF(COUNTIFS(Calc_Actuals!$F$2:$F$865,B58,Calc_Actuals!$H$2:$H$865,C58,Calc_Actuals!$C$2:$C$865,"Actual")&gt;0,1,0)</f>
        <v>1</v>
      </c>
      <c r="I58" s="42" t="str">
        <f aca="false">IFERROR(INDEX(Calendar!$E$2:$E$25,MATCH(A58,Calendar!$A$2:$A$25,0)),"UNMATCHED")</f>
        <v>Actual</v>
      </c>
      <c r="J58" s="43" t="n">
        <f aca="false">D58*$B$7</f>
        <v>306174.621044389</v>
      </c>
      <c r="K58" s="43" t="n">
        <f aca="false">E58*$B$7</f>
        <v>189828.265047521</v>
      </c>
      <c r="L58" s="43" t="n">
        <f aca="false">F58*$B$7</f>
        <v>116346.355996868</v>
      </c>
      <c r="M58" s="43" t="n">
        <f aca="false">IF(I58="Actual",SUMIFS(Calc_Actuals!$N$2:$N$865,Calc_Actuals!$J$2:$J$865,G58,Calc_Actuals!$K$2:$K$865,O58,Calc_Actuals!$F$2:$F$865,B58,Calc_Actuals!$H$2:$H$865,C58,Calc_Actuals!$C$2:$C$865,"Actual"),0)</f>
        <v>152922.98</v>
      </c>
      <c r="N58" s="43" t="n">
        <f aca="false">IF(I58="Actual",SUMIFS(Calc_Actuals!$P$2:$P$865,Calc_Actuals!$J$2:$J$865,G58,Calc_Actuals!$K$2:$K$865,O58,Calc_Actuals!$F$2:$F$865,B58,Calc_Actuals!$H$2:$H$865,C58,Calc_Actuals!$C$2:$C$865,"Actual"),0)</f>
        <v>61468.51</v>
      </c>
      <c r="O58" s="42" t="n">
        <f aca="false">VALUE(RIGHT(A58,2))</f>
        <v>4</v>
      </c>
      <c r="P58" s="42" t="str">
        <f aca="false">A58&amp;"|"&amp;B58&amp;"|"&amp;C58</f>
        <v>2025-04|East|Home Care</v>
      </c>
    </row>
    <row r="59" customFormat="false" ht="15" hidden="false" customHeight="false" outlineLevel="0" collapsed="false">
      <c r="A59" s="42" t="str">
        <f aca="false">Sales_Budget!A48</f>
        <v>2025-04</v>
      </c>
      <c r="B59" s="42" t="str">
        <f aca="false">Sales_Budget!B48</f>
        <v>East</v>
      </c>
      <c r="C59" s="42" t="str">
        <f aca="false">Sales_Budget!C48</f>
        <v>Personal Care</v>
      </c>
      <c r="D59" s="43" t="n">
        <f aca="false">Sales_Budget!E48</f>
        <v>1280000</v>
      </c>
      <c r="E59" s="43" t="n">
        <f aca="false">Sales_Budget!F48</f>
        <v>793600</v>
      </c>
      <c r="F59" s="43" t="n">
        <f aca="false">Sales_Budget!G48</f>
        <v>486400</v>
      </c>
      <c r="G59" s="42" t="n">
        <f aca="false">VALUE(LEFT(A59,4))</f>
        <v>2025</v>
      </c>
      <c r="H59" s="42" t="n">
        <f aca="false">IF(COUNTIFS(Calc_Actuals!$F$2:$F$865,B59,Calc_Actuals!$H$2:$H$865,C59,Calc_Actuals!$C$2:$C$865,"Actual")&gt;0,1,0)</f>
        <v>0</v>
      </c>
      <c r="I59" s="42" t="str">
        <f aca="false">IFERROR(INDEX(Calendar!$E$2:$E$25,MATCH(A59,Calendar!$A$2:$A$25,0)),"UNMATCHED")</f>
        <v>Actual</v>
      </c>
      <c r="J59" s="43" t="n">
        <f aca="false">D59*$B$7</f>
        <v>325231.13272765</v>
      </c>
      <c r="K59" s="43" t="n">
        <f aca="false">E59*$B$7</f>
        <v>201643.302291143</v>
      </c>
      <c r="L59" s="43" t="n">
        <f aca="false">F59*$B$7</f>
        <v>123587.830436507</v>
      </c>
      <c r="M59" s="43" t="n">
        <f aca="false">IF(I59="Actual",SUMIFS(Calc_Actuals!$N$2:$N$865,Calc_Actuals!$J$2:$J$865,G59,Calc_Actuals!$K$2:$K$865,O59,Calc_Actuals!$F$2:$F$865,B59,Calc_Actuals!$H$2:$H$865,C59,Calc_Actuals!$C$2:$C$865,"Actual"),0)</f>
        <v>0</v>
      </c>
      <c r="N59" s="43" t="n">
        <f aca="false">IF(I59="Actual",SUMIFS(Calc_Actuals!$P$2:$P$865,Calc_Actuals!$J$2:$J$865,G59,Calc_Actuals!$K$2:$K$865,O59,Calc_Actuals!$F$2:$F$865,B59,Calc_Actuals!$H$2:$H$865,C59,Calc_Actuals!$C$2:$C$865,"Actual"),0)</f>
        <v>0</v>
      </c>
      <c r="O59" s="42" t="n">
        <f aca="false">VALUE(RIGHT(A59,2))</f>
        <v>4</v>
      </c>
      <c r="P59" s="42" t="str">
        <f aca="false">A59&amp;"|"&amp;B59&amp;"|"&amp;C59</f>
        <v>2025-04|East|Personal Care</v>
      </c>
    </row>
    <row r="60" customFormat="false" ht="15" hidden="false" customHeight="false" outlineLevel="0" collapsed="false">
      <c r="A60" s="42" t="str">
        <f aca="false">Sales_Budget!A49</f>
        <v>2025-04</v>
      </c>
      <c r="B60" s="42" t="str">
        <f aca="false">Sales_Budget!B49</f>
        <v>East</v>
      </c>
      <c r="C60" s="42" t="str">
        <f aca="false">Sales_Budget!C49</f>
        <v>Foods</v>
      </c>
      <c r="D60" s="43" t="n">
        <f aca="false">Sales_Budget!E49</f>
        <v>1355000</v>
      </c>
      <c r="E60" s="43" t="n">
        <f aca="false">Sales_Budget!F49</f>
        <v>840100</v>
      </c>
      <c r="F60" s="43" t="n">
        <f aca="false">Sales_Budget!G49</f>
        <v>514900</v>
      </c>
      <c r="G60" s="42" t="n">
        <f aca="false">VALUE(LEFT(A60,4))</f>
        <v>2025</v>
      </c>
      <c r="H60" s="42" t="n">
        <f aca="false">IF(COUNTIFS(Calc_Actuals!$F$2:$F$865,B60,Calc_Actuals!$H$2:$H$865,C60,Calc_Actuals!$C$2:$C$865,"Actual")&gt;0,1,0)</f>
        <v>1</v>
      </c>
      <c r="I60" s="42" t="str">
        <f aca="false">IFERROR(INDEX(Calendar!$E$2:$E$25,MATCH(A60,Calendar!$A$2:$A$25,0)),"UNMATCHED")</f>
        <v>Actual</v>
      </c>
      <c r="J60" s="43" t="n">
        <f aca="false">D60*$B$7</f>
        <v>344287.644410911</v>
      </c>
      <c r="K60" s="43" t="n">
        <f aca="false">E60*$B$7</f>
        <v>213458.339534765</v>
      </c>
      <c r="L60" s="43" t="n">
        <f aca="false">F60*$B$7</f>
        <v>130829.304876146</v>
      </c>
      <c r="M60" s="43" t="n">
        <f aca="false">IF(I60="Actual",SUMIFS(Calc_Actuals!$N$2:$N$865,Calc_Actuals!$J$2:$J$865,G60,Calc_Actuals!$K$2:$K$865,O60,Calc_Actuals!$F$2:$F$865,B60,Calc_Actuals!$H$2:$H$865,C60,Calc_Actuals!$C$2:$C$865,"Actual"),0)</f>
        <v>301493.96</v>
      </c>
      <c r="N60" s="43" t="n">
        <f aca="false">IF(I60="Actual",SUMIFS(Calc_Actuals!$P$2:$P$865,Calc_Actuals!$J$2:$J$865,G60,Calc_Actuals!$K$2:$K$865,O60,Calc_Actuals!$F$2:$F$865,B60,Calc_Actuals!$H$2:$H$865,C60,Calc_Actuals!$C$2:$C$865,"Actual"),0)</f>
        <v>106133.93</v>
      </c>
      <c r="O60" s="42" t="n">
        <f aca="false">VALUE(RIGHT(A60,2))</f>
        <v>4</v>
      </c>
      <c r="P60" s="42" t="str">
        <f aca="false">A60&amp;"|"&amp;B60&amp;"|"&amp;C60</f>
        <v>2025-04|East|Foods</v>
      </c>
    </row>
    <row r="61" customFormat="false" ht="15" hidden="false" customHeight="false" outlineLevel="0" collapsed="false">
      <c r="A61" s="42" t="str">
        <f aca="false">Sales_Budget!A50</f>
        <v>2025-05</v>
      </c>
      <c r="B61" s="42" t="str">
        <f aca="false">Sales_Budget!B50</f>
        <v>South</v>
      </c>
      <c r="C61" s="42" t="str">
        <f aca="false">Sales_Budget!C50</f>
        <v>Home Care</v>
      </c>
      <c r="D61" s="43" t="n">
        <f aca="false">Sales_Budget!E50</f>
        <v>950000</v>
      </c>
      <c r="E61" s="43" t="n">
        <f aca="false">Sales_Budget!F50</f>
        <v>589000</v>
      </c>
      <c r="F61" s="43" t="n">
        <f aca="false">Sales_Budget!G50</f>
        <v>361000</v>
      </c>
      <c r="G61" s="42" t="n">
        <f aca="false">VALUE(LEFT(A61,4))</f>
        <v>2025</v>
      </c>
      <c r="H61" s="42" t="n">
        <f aca="false">IF(COUNTIFS(Calc_Actuals!$F$2:$F$865,B61,Calc_Actuals!$H$2:$H$865,C61,Calc_Actuals!$C$2:$C$865,"Actual")&gt;0,1,0)</f>
        <v>1</v>
      </c>
      <c r="I61" s="42" t="str">
        <f aca="false">IFERROR(INDEX(Calendar!$E$2:$E$25,MATCH(A61,Calendar!$A$2:$A$25,0)),"UNMATCHED")</f>
        <v>Actual</v>
      </c>
      <c r="J61" s="43" t="n">
        <f aca="false">D61*$B$7</f>
        <v>241382.481321303</v>
      </c>
      <c r="K61" s="43" t="n">
        <f aca="false">E61*$B$7</f>
        <v>149657.138419208</v>
      </c>
      <c r="L61" s="43" t="n">
        <f aca="false">F61*$B$7</f>
        <v>91725.342902095</v>
      </c>
      <c r="M61" s="43" t="n">
        <f aca="false">IF(I61="Actual",SUMIFS(Calc_Actuals!$N$2:$N$865,Calc_Actuals!$J$2:$J$865,G61,Calc_Actuals!$K$2:$K$865,O61,Calc_Actuals!$F$2:$F$865,B61,Calc_Actuals!$H$2:$H$865,C61,Calc_Actuals!$C$2:$C$865,"Actual"),0)</f>
        <v>229355.85</v>
      </c>
      <c r="N61" s="43" t="n">
        <f aca="false">IF(I61="Actual",SUMIFS(Calc_Actuals!$P$2:$P$865,Calc_Actuals!$J$2:$J$865,G61,Calc_Actuals!$K$2:$K$865,O61,Calc_Actuals!$F$2:$F$865,B61,Calc_Actuals!$H$2:$H$865,C61,Calc_Actuals!$C$2:$C$865,"Actual"),0)</f>
        <v>81472.16</v>
      </c>
      <c r="O61" s="42" t="n">
        <f aca="false">VALUE(RIGHT(A61,2))</f>
        <v>5</v>
      </c>
      <c r="P61" s="42" t="str">
        <f aca="false">A61&amp;"|"&amp;B61&amp;"|"&amp;C61</f>
        <v>2025-05|South|Home Care</v>
      </c>
    </row>
    <row r="62" customFormat="false" ht="15" hidden="false" customHeight="false" outlineLevel="0" collapsed="false">
      <c r="A62" s="42" t="str">
        <f aca="false">Sales_Budget!A51</f>
        <v>2025-05</v>
      </c>
      <c r="B62" s="42" t="str">
        <f aca="false">Sales_Budget!B51</f>
        <v>South</v>
      </c>
      <c r="C62" s="42" t="str">
        <f aca="false">Sales_Budget!C51</f>
        <v>Personal Care</v>
      </c>
      <c r="D62" s="43" t="n">
        <f aca="false">Sales_Budget!E51</f>
        <v>1025000</v>
      </c>
      <c r="E62" s="43" t="n">
        <f aca="false">Sales_Budget!F51</f>
        <v>635500</v>
      </c>
      <c r="F62" s="43" t="n">
        <f aca="false">Sales_Budget!G51</f>
        <v>389500</v>
      </c>
      <c r="G62" s="42" t="n">
        <f aca="false">VALUE(LEFT(A62,4))</f>
        <v>2025</v>
      </c>
      <c r="H62" s="42" t="n">
        <f aca="false">IF(COUNTIFS(Calc_Actuals!$F$2:$F$865,B62,Calc_Actuals!$H$2:$H$865,C62,Calc_Actuals!$C$2:$C$865,"Actual")&gt;0,1,0)</f>
        <v>0</v>
      </c>
      <c r="I62" s="42" t="str">
        <f aca="false">IFERROR(INDEX(Calendar!$E$2:$E$25,MATCH(A62,Calendar!$A$2:$A$25,0)),"UNMATCHED")</f>
        <v>Actual</v>
      </c>
      <c r="J62" s="43" t="n">
        <f aca="false">D62*$B$7</f>
        <v>260438.993004563</v>
      </c>
      <c r="K62" s="43" t="n">
        <f aca="false">E62*$B$7</f>
        <v>161472.175662829</v>
      </c>
      <c r="L62" s="43" t="n">
        <f aca="false">F62*$B$7</f>
        <v>98966.8173417341</v>
      </c>
      <c r="M62" s="43" t="n">
        <f aca="false">IF(I62="Actual",SUMIFS(Calc_Actuals!$N$2:$N$865,Calc_Actuals!$J$2:$J$865,G62,Calc_Actuals!$K$2:$K$865,O62,Calc_Actuals!$F$2:$F$865,B62,Calc_Actuals!$H$2:$H$865,C62,Calc_Actuals!$C$2:$C$865,"Actual"),0)</f>
        <v>0</v>
      </c>
      <c r="N62" s="43" t="n">
        <f aca="false">IF(I62="Actual",SUMIFS(Calc_Actuals!$P$2:$P$865,Calc_Actuals!$J$2:$J$865,G62,Calc_Actuals!$K$2:$K$865,O62,Calc_Actuals!$F$2:$F$865,B62,Calc_Actuals!$H$2:$H$865,C62,Calc_Actuals!$C$2:$C$865,"Actual"),0)</f>
        <v>0</v>
      </c>
      <c r="O62" s="42" t="n">
        <f aca="false">VALUE(RIGHT(A62,2))</f>
        <v>5</v>
      </c>
      <c r="P62" s="42" t="str">
        <f aca="false">A62&amp;"|"&amp;B62&amp;"|"&amp;C62</f>
        <v>2025-05|South|Personal Care</v>
      </c>
    </row>
    <row r="63" customFormat="false" ht="15" hidden="false" customHeight="false" outlineLevel="0" collapsed="false">
      <c r="A63" s="42" t="str">
        <f aca="false">Sales_Budget!A52</f>
        <v>2025-05</v>
      </c>
      <c r="B63" s="42" t="str">
        <f aca="false">Sales_Budget!B52</f>
        <v>South</v>
      </c>
      <c r="C63" s="42" t="str">
        <f aca="false">Sales_Budget!C52</f>
        <v>Foods</v>
      </c>
      <c r="D63" s="43" t="n">
        <f aca="false">Sales_Budget!E52</f>
        <v>1100000</v>
      </c>
      <c r="E63" s="43" t="n">
        <f aca="false">Sales_Budget!F52</f>
        <v>682000</v>
      </c>
      <c r="F63" s="43" t="n">
        <f aca="false">Sales_Budget!G52</f>
        <v>418000</v>
      </c>
      <c r="G63" s="42" t="n">
        <f aca="false">VALUE(LEFT(A63,4))</f>
        <v>2025</v>
      </c>
      <c r="H63" s="42" t="n">
        <f aca="false">IF(COUNTIFS(Calc_Actuals!$F$2:$F$865,B63,Calc_Actuals!$H$2:$H$865,C63,Calc_Actuals!$C$2:$C$865,"Actual")&gt;0,1,0)</f>
        <v>1</v>
      </c>
      <c r="I63" s="42" t="str">
        <f aca="false">IFERROR(INDEX(Calendar!$E$2:$E$25,MATCH(A63,Calendar!$A$2:$A$25,0)),"UNMATCHED")</f>
        <v>Actual</v>
      </c>
      <c r="J63" s="43" t="n">
        <f aca="false">D63*$B$7</f>
        <v>279495.504687824</v>
      </c>
      <c r="K63" s="43" t="n">
        <f aca="false">E63*$B$7</f>
        <v>173287.212906451</v>
      </c>
      <c r="L63" s="43" t="n">
        <f aca="false">F63*$B$7</f>
        <v>106208.291781373</v>
      </c>
      <c r="M63" s="43" t="n">
        <f aca="false">IF(I63="Actual",SUMIFS(Calc_Actuals!$N$2:$N$865,Calc_Actuals!$J$2:$J$865,G63,Calc_Actuals!$K$2:$K$865,O63,Calc_Actuals!$F$2:$F$865,B63,Calc_Actuals!$H$2:$H$865,C63,Calc_Actuals!$C$2:$C$865,"Actual"),0)</f>
        <v>143328.16</v>
      </c>
      <c r="N63" s="43" t="n">
        <f aca="false">IF(I63="Actual",SUMIFS(Calc_Actuals!$P$2:$P$865,Calc_Actuals!$J$2:$J$865,G63,Calc_Actuals!$K$2:$K$865,O63,Calc_Actuals!$F$2:$F$865,B63,Calc_Actuals!$H$2:$H$865,C63,Calc_Actuals!$C$2:$C$865,"Actual"),0)</f>
        <v>47944.58</v>
      </c>
      <c r="O63" s="42" t="n">
        <f aca="false">VALUE(RIGHT(A63,2))</f>
        <v>5</v>
      </c>
      <c r="P63" s="42" t="str">
        <f aca="false">A63&amp;"|"&amp;B63&amp;"|"&amp;C63</f>
        <v>2025-05|South|Foods</v>
      </c>
    </row>
    <row r="64" customFormat="false" ht="15" hidden="false" customHeight="false" outlineLevel="0" collapsed="false">
      <c r="A64" s="42" t="str">
        <f aca="false">Sales_Budget!A53</f>
        <v>2025-05</v>
      </c>
      <c r="B64" s="42" t="str">
        <f aca="false">Sales_Budget!B53</f>
        <v>North</v>
      </c>
      <c r="C64" s="42" t="str">
        <f aca="false">Sales_Budget!C53</f>
        <v>Home Care</v>
      </c>
      <c r="D64" s="43" t="n">
        <f aca="false">Sales_Budget!E53</f>
        <v>1035000</v>
      </c>
      <c r="E64" s="43" t="n">
        <f aca="false">Sales_Budget!F53</f>
        <v>641700</v>
      </c>
      <c r="F64" s="43" t="n">
        <f aca="false">Sales_Budget!G53</f>
        <v>393300</v>
      </c>
      <c r="G64" s="42" t="n">
        <f aca="false">VALUE(LEFT(A64,4))</f>
        <v>2025</v>
      </c>
      <c r="H64" s="42" t="n">
        <f aca="false">IF(COUNTIFS(Calc_Actuals!$F$2:$F$865,B64,Calc_Actuals!$H$2:$H$865,C64,Calc_Actuals!$C$2:$C$865,"Actual")&gt;0,1,0)</f>
        <v>0</v>
      </c>
      <c r="I64" s="42" t="str">
        <f aca="false">IFERROR(INDEX(Calendar!$E$2:$E$25,MATCH(A64,Calendar!$A$2:$A$25,0)),"UNMATCHED")</f>
        <v>Actual</v>
      </c>
      <c r="J64" s="43" t="n">
        <f aca="false">D64*$B$7</f>
        <v>262979.861228998</v>
      </c>
      <c r="K64" s="43" t="n">
        <f aca="false">E64*$B$7</f>
        <v>163047.513961979</v>
      </c>
      <c r="L64" s="43" t="n">
        <f aca="false">F64*$B$7</f>
        <v>99932.3472670193</v>
      </c>
      <c r="M64" s="43" t="n">
        <f aca="false">IF(I64="Actual",SUMIFS(Calc_Actuals!$N$2:$N$865,Calc_Actuals!$J$2:$J$865,G64,Calc_Actuals!$K$2:$K$865,O64,Calc_Actuals!$F$2:$F$865,B64,Calc_Actuals!$H$2:$H$865,C64,Calc_Actuals!$C$2:$C$865,"Actual"),0)</f>
        <v>0</v>
      </c>
      <c r="N64" s="43" t="n">
        <f aca="false">IF(I64="Actual",SUMIFS(Calc_Actuals!$P$2:$P$865,Calc_Actuals!$J$2:$J$865,G64,Calc_Actuals!$K$2:$K$865,O64,Calc_Actuals!$F$2:$F$865,B64,Calc_Actuals!$H$2:$H$865,C64,Calc_Actuals!$C$2:$C$865,"Actual"),0)</f>
        <v>0</v>
      </c>
      <c r="O64" s="42" t="n">
        <f aca="false">VALUE(RIGHT(A64,2))</f>
        <v>5</v>
      </c>
      <c r="P64" s="42" t="str">
        <f aca="false">A64&amp;"|"&amp;B64&amp;"|"&amp;C64</f>
        <v>2025-05|North|Home Care</v>
      </c>
    </row>
    <row r="65" customFormat="false" ht="15" hidden="false" customHeight="false" outlineLevel="0" collapsed="false">
      <c r="A65" s="42" t="str">
        <f aca="false">Sales_Budget!A54</f>
        <v>2025-05</v>
      </c>
      <c r="B65" s="42" t="str">
        <f aca="false">Sales_Budget!B54</f>
        <v>North</v>
      </c>
      <c r="C65" s="42" t="str">
        <f aca="false">Sales_Budget!C54</f>
        <v>Personal Care</v>
      </c>
      <c r="D65" s="43" t="n">
        <f aca="false">Sales_Budget!E54</f>
        <v>1110000</v>
      </c>
      <c r="E65" s="43" t="n">
        <f aca="false">Sales_Budget!F54</f>
        <v>688200</v>
      </c>
      <c r="F65" s="43" t="n">
        <f aca="false">Sales_Budget!G54</f>
        <v>421800</v>
      </c>
      <c r="G65" s="42" t="n">
        <f aca="false">VALUE(LEFT(A65,4))</f>
        <v>2025</v>
      </c>
      <c r="H65" s="42" t="n">
        <f aca="false">IF(COUNTIFS(Calc_Actuals!$F$2:$F$865,B65,Calc_Actuals!$H$2:$H$865,C65,Calc_Actuals!$C$2:$C$865,"Actual")&gt;0,1,0)</f>
        <v>1</v>
      </c>
      <c r="I65" s="42" t="str">
        <f aca="false">IFERROR(INDEX(Calendar!$E$2:$E$25,MATCH(A65,Calendar!$A$2:$A$25,0)),"UNMATCHED")</f>
        <v>Actual</v>
      </c>
      <c r="J65" s="43" t="n">
        <f aca="false">D65*$B$7</f>
        <v>282036.372912259</v>
      </c>
      <c r="K65" s="43" t="n">
        <f aca="false">E65*$B$7</f>
        <v>174862.551205601</v>
      </c>
      <c r="L65" s="43" t="n">
        <f aca="false">F65*$B$7</f>
        <v>107173.821706658</v>
      </c>
      <c r="M65" s="43" t="n">
        <f aca="false">IF(I65="Actual",SUMIFS(Calc_Actuals!$N$2:$N$865,Calc_Actuals!$J$2:$J$865,G65,Calc_Actuals!$K$2:$K$865,O65,Calc_Actuals!$F$2:$F$865,B65,Calc_Actuals!$H$2:$H$865,C65,Calc_Actuals!$C$2:$C$865,"Actual"),0)</f>
        <v>589779.17</v>
      </c>
      <c r="N65" s="43" t="n">
        <f aca="false">IF(I65="Actual",SUMIFS(Calc_Actuals!$P$2:$P$865,Calc_Actuals!$J$2:$J$865,G65,Calc_Actuals!$K$2:$K$865,O65,Calc_Actuals!$F$2:$F$865,B65,Calc_Actuals!$H$2:$H$865,C65,Calc_Actuals!$C$2:$C$865,"Actual"),0)</f>
        <v>227261.38</v>
      </c>
      <c r="O65" s="42" t="n">
        <f aca="false">VALUE(RIGHT(A65,2))</f>
        <v>5</v>
      </c>
      <c r="P65" s="42" t="str">
        <f aca="false">A65&amp;"|"&amp;B65&amp;"|"&amp;C65</f>
        <v>2025-05|North|Personal Care</v>
      </c>
    </row>
    <row r="66" customFormat="false" ht="15" hidden="false" customHeight="false" outlineLevel="0" collapsed="false">
      <c r="A66" s="42" t="str">
        <f aca="false">Sales_Budget!A55</f>
        <v>2025-05</v>
      </c>
      <c r="B66" s="42" t="str">
        <f aca="false">Sales_Budget!B55</f>
        <v>North</v>
      </c>
      <c r="C66" s="42" t="str">
        <f aca="false">Sales_Budget!C55</f>
        <v>Foods</v>
      </c>
      <c r="D66" s="43" t="n">
        <f aca="false">Sales_Budget!E55</f>
        <v>1185000</v>
      </c>
      <c r="E66" s="43" t="n">
        <f aca="false">Sales_Budget!F55</f>
        <v>734700</v>
      </c>
      <c r="F66" s="43" t="n">
        <f aca="false">Sales_Budget!G55</f>
        <v>450300</v>
      </c>
      <c r="G66" s="42" t="n">
        <f aca="false">VALUE(LEFT(A66,4))</f>
        <v>2025</v>
      </c>
      <c r="H66" s="42" t="n">
        <f aca="false">IF(COUNTIFS(Calc_Actuals!$F$2:$F$865,B66,Calc_Actuals!$H$2:$H$865,C66,Calc_Actuals!$C$2:$C$865,"Actual")&gt;0,1,0)</f>
        <v>0</v>
      </c>
      <c r="I66" s="42" t="str">
        <f aca="false">IFERROR(INDEX(Calendar!$E$2:$E$25,MATCH(A66,Calendar!$A$2:$A$25,0)),"UNMATCHED")</f>
        <v>Actual</v>
      </c>
      <c r="J66" s="43" t="n">
        <f aca="false">D66*$B$7</f>
        <v>301092.88459552</v>
      </c>
      <c r="K66" s="43" t="n">
        <f aca="false">E66*$B$7</f>
        <v>186677.588449222</v>
      </c>
      <c r="L66" s="43" t="n">
        <f aca="false">F66*$B$7</f>
        <v>114415.296146297</v>
      </c>
      <c r="M66" s="43" t="n">
        <f aca="false">IF(I66="Actual",SUMIFS(Calc_Actuals!$N$2:$N$865,Calc_Actuals!$J$2:$J$865,G66,Calc_Actuals!$K$2:$K$865,O66,Calc_Actuals!$F$2:$F$865,B66,Calc_Actuals!$H$2:$H$865,C66,Calc_Actuals!$C$2:$C$865,"Actual"),0)</f>
        <v>0</v>
      </c>
      <c r="N66" s="43" t="n">
        <f aca="false">IF(I66="Actual",SUMIFS(Calc_Actuals!$P$2:$P$865,Calc_Actuals!$J$2:$J$865,G66,Calc_Actuals!$K$2:$K$865,O66,Calc_Actuals!$F$2:$F$865,B66,Calc_Actuals!$H$2:$H$865,C66,Calc_Actuals!$C$2:$C$865,"Actual"),0)</f>
        <v>0</v>
      </c>
      <c r="O66" s="42" t="n">
        <f aca="false">VALUE(RIGHT(A66,2))</f>
        <v>5</v>
      </c>
      <c r="P66" s="42" t="str">
        <f aca="false">A66&amp;"|"&amp;B66&amp;"|"&amp;C66</f>
        <v>2025-05|North|Foods</v>
      </c>
    </row>
    <row r="67" customFormat="false" ht="15" hidden="false" customHeight="false" outlineLevel="0" collapsed="false">
      <c r="A67" s="42" t="str">
        <f aca="false">Sales_Budget!A56</f>
        <v>2025-05</v>
      </c>
      <c r="B67" s="42" t="str">
        <f aca="false">Sales_Budget!B56</f>
        <v>West</v>
      </c>
      <c r="C67" s="42" t="str">
        <f aca="false">Sales_Budget!C56</f>
        <v>Home Care</v>
      </c>
      <c r="D67" s="43" t="n">
        <f aca="false">Sales_Budget!E56</f>
        <v>1120000</v>
      </c>
      <c r="E67" s="43" t="n">
        <f aca="false">Sales_Budget!F56</f>
        <v>694400</v>
      </c>
      <c r="F67" s="43" t="n">
        <f aca="false">Sales_Budget!G56</f>
        <v>425600</v>
      </c>
      <c r="G67" s="42" t="n">
        <f aca="false">VALUE(LEFT(A67,4))</f>
        <v>2025</v>
      </c>
      <c r="H67" s="42" t="n">
        <f aca="false">IF(COUNTIFS(Calc_Actuals!$F$2:$F$865,B67,Calc_Actuals!$H$2:$H$865,C67,Calc_Actuals!$C$2:$C$865,"Actual")&gt;0,1,0)</f>
        <v>1</v>
      </c>
      <c r="I67" s="42" t="str">
        <f aca="false">IFERROR(INDEX(Calendar!$E$2:$E$25,MATCH(A67,Calendar!$A$2:$A$25,0)),"UNMATCHED")</f>
        <v>Actual</v>
      </c>
      <c r="J67" s="43" t="n">
        <f aca="false">D67*$B$7</f>
        <v>284577.241136694</v>
      </c>
      <c r="K67" s="43" t="n">
        <f aca="false">E67*$B$7</f>
        <v>176437.88950475</v>
      </c>
      <c r="L67" s="43" t="n">
        <f aca="false">F67*$B$7</f>
        <v>108139.351631944</v>
      </c>
      <c r="M67" s="43" t="n">
        <f aca="false">IF(I67="Actual",SUMIFS(Calc_Actuals!$N$2:$N$865,Calc_Actuals!$J$2:$J$865,G67,Calc_Actuals!$K$2:$K$865,O67,Calc_Actuals!$F$2:$F$865,B67,Calc_Actuals!$H$2:$H$865,C67,Calc_Actuals!$C$2:$C$865,"Actual"),0)</f>
        <v>209899.91</v>
      </c>
      <c r="N67" s="43" t="n">
        <f aca="false">IF(I67="Actual",SUMIFS(Calc_Actuals!$P$2:$P$865,Calc_Actuals!$J$2:$J$865,G67,Calc_Actuals!$K$2:$K$865,O67,Calc_Actuals!$F$2:$F$865,B67,Calc_Actuals!$H$2:$H$865,C67,Calc_Actuals!$C$2:$C$865,"Actual"),0)</f>
        <v>77873.41</v>
      </c>
      <c r="O67" s="42" t="n">
        <f aca="false">VALUE(RIGHT(A67,2))</f>
        <v>5</v>
      </c>
      <c r="P67" s="42" t="str">
        <f aca="false">A67&amp;"|"&amp;B67&amp;"|"&amp;C67</f>
        <v>2025-05|West|Home Care</v>
      </c>
    </row>
    <row r="68" customFormat="false" ht="15" hidden="false" customHeight="false" outlineLevel="0" collapsed="false">
      <c r="A68" s="42" t="str">
        <f aca="false">Sales_Budget!A57</f>
        <v>2025-05</v>
      </c>
      <c r="B68" s="42" t="str">
        <f aca="false">Sales_Budget!B57</f>
        <v>West</v>
      </c>
      <c r="C68" s="42" t="str">
        <f aca="false">Sales_Budget!C57</f>
        <v>Personal Care</v>
      </c>
      <c r="D68" s="43" t="n">
        <f aca="false">Sales_Budget!E57</f>
        <v>1195000</v>
      </c>
      <c r="E68" s="43" t="n">
        <f aca="false">Sales_Budget!F57</f>
        <v>740900</v>
      </c>
      <c r="F68" s="43" t="n">
        <f aca="false">Sales_Budget!G57</f>
        <v>454100</v>
      </c>
      <c r="G68" s="42" t="n">
        <f aca="false">VALUE(LEFT(A68,4))</f>
        <v>2025</v>
      </c>
      <c r="H68" s="42" t="n">
        <f aca="false">IF(COUNTIFS(Calc_Actuals!$F$2:$F$865,B68,Calc_Actuals!$H$2:$H$865,C68,Calc_Actuals!$C$2:$C$865,"Actual")&gt;0,1,0)</f>
        <v>1</v>
      </c>
      <c r="I68" s="42" t="str">
        <f aca="false">IFERROR(INDEX(Calendar!$E$2:$E$25,MATCH(A68,Calendar!$A$2:$A$25,0)),"UNMATCHED")</f>
        <v>Actual</v>
      </c>
      <c r="J68" s="43" t="n">
        <f aca="false">D68*$B$7</f>
        <v>303633.752819954</v>
      </c>
      <c r="K68" s="43" t="n">
        <f aca="false">E68*$B$7</f>
        <v>188252.926748372</v>
      </c>
      <c r="L68" s="43" t="n">
        <f aca="false">F68*$B$7</f>
        <v>115380.826071583</v>
      </c>
      <c r="M68" s="43" t="n">
        <f aca="false">IF(I68="Actual",SUMIFS(Calc_Actuals!$N$2:$N$865,Calc_Actuals!$J$2:$J$865,G68,Calc_Actuals!$K$2:$K$865,O68,Calc_Actuals!$F$2:$F$865,B68,Calc_Actuals!$H$2:$H$865,C68,Calc_Actuals!$C$2:$C$865,"Actual"),0)</f>
        <v>354669.71</v>
      </c>
      <c r="N68" s="43" t="n">
        <f aca="false">IF(I68="Actual",SUMIFS(Calc_Actuals!$P$2:$P$865,Calc_Actuals!$J$2:$J$865,G68,Calc_Actuals!$K$2:$K$865,O68,Calc_Actuals!$F$2:$F$865,B68,Calc_Actuals!$H$2:$H$865,C68,Calc_Actuals!$C$2:$C$865,"Actual"),0)</f>
        <v>120299.31</v>
      </c>
      <c r="O68" s="42" t="n">
        <f aca="false">VALUE(RIGHT(A68,2))</f>
        <v>5</v>
      </c>
      <c r="P68" s="42" t="str">
        <f aca="false">A68&amp;"|"&amp;B68&amp;"|"&amp;C68</f>
        <v>2025-05|West|Personal Care</v>
      </c>
    </row>
    <row r="69" customFormat="false" ht="15" hidden="false" customHeight="false" outlineLevel="0" collapsed="false">
      <c r="A69" s="42" t="str">
        <f aca="false">Sales_Budget!A58</f>
        <v>2025-05</v>
      </c>
      <c r="B69" s="42" t="str">
        <f aca="false">Sales_Budget!B58</f>
        <v>West</v>
      </c>
      <c r="C69" s="42" t="str">
        <f aca="false">Sales_Budget!C58</f>
        <v>Foods</v>
      </c>
      <c r="D69" s="43" t="n">
        <f aca="false">Sales_Budget!E58</f>
        <v>1270000</v>
      </c>
      <c r="E69" s="43" t="n">
        <f aca="false">Sales_Budget!F58</f>
        <v>787400</v>
      </c>
      <c r="F69" s="43" t="n">
        <f aca="false">Sales_Budget!G58</f>
        <v>482600</v>
      </c>
      <c r="G69" s="42" t="n">
        <f aca="false">VALUE(LEFT(A69,4))</f>
        <v>2025</v>
      </c>
      <c r="H69" s="42" t="n">
        <f aca="false">IF(COUNTIFS(Calc_Actuals!$F$2:$F$865,B69,Calc_Actuals!$H$2:$H$865,C69,Calc_Actuals!$C$2:$C$865,"Actual")&gt;0,1,0)</f>
        <v>0</v>
      </c>
      <c r="I69" s="42" t="str">
        <f aca="false">IFERROR(INDEX(Calendar!$E$2:$E$25,MATCH(A69,Calendar!$A$2:$A$25,0)),"UNMATCHED")</f>
        <v>Actual</v>
      </c>
      <c r="J69" s="43" t="n">
        <f aca="false">D69*$B$7</f>
        <v>322690.264503215</v>
      </c>
      <c r="K69" s="43" t="n">
        <f aca="false">E69*$B$7</f>
        <v>200067.963991993</v>
      </c>
      <c r="L69" s="43" t="n">
        <f aca="false">F69*$B$7</f>
        <v>122622.300511222</v>
      </c>
      <c r="M69" s="43" t="n">
        <f aca="false">IF(I69="Actual",SUMIFS(Calc_Actuals!$N$2:$N$865,Calc_Actuals!$J$2:$J$865,G69,Calc_Actuals!$K$2:$K$865,O69,Calc_Actuals!$F$2:$F$865,B69,Calc_Actuals!$H$2:$H$865,C69,Calc_Actuals!$C$2:$C$865,"Actual"),0)</f>
        <v>0</v>
      </c>
      <c r="N69" s="43" t="n">
        <f aca="false">IF(I69="Actual",SUMIFS(Calc_Actuals!$P$2:$P$865,Calc_Actuals!$J$2:$J$865,G69,Calc_Actuals!$K$2:$K$865,O69,Calc_Actuals!$F$2:$F$865,B69,Calc_Actuals!$H$2:$H$865,C69,Calc_Actuals!$C$2:$C$865,"Actual"),0)</f>
        <v>0</v>
      </c>
      <c r="O69" s="42" t="n">
        <f aca="false">VALUE(RIGHT(A69,2))</f>
        <v>5</v>
      </c>
      <c r="P69" s="42" t="str">
        <f aca="false">A69&amp;"|"&amp;B69&amp;"|"&amp;C69</f>
        <v>2025-05|West|Foods</v>
      </c>
    </row>
    <row r="70" customFormat="false" ht="15" hidden="false" customHeight="false" outlineLevel="0" collapsed="false">
      <c r="A70" s="42" t="str">
        <f aca="false">Sales_Budget!A59</f>
        <v>2025-05</v>
      </c>
      <c r="B70" s="42" t="str">
        <f aca="false">Sales_Budget!B59</f>
        <v>East</v>
      </c>
      <c r="C70" s="42" t="str">
        <f aca="false">Sales_Budget!C59</f>
        <v>Home Care</v>
      </c>
      <c r="D70" s="43" t="n">
        <f aca="false">Sales_Budget!E59</f>
        <v>1205000</v>
      </c>
      <c r="E70" s="43" t="n">
        <f aca="false">Sales_Budget!F59</f>
        <v>747100</v>
      </c>
      <c r="F70" s="43" t="n">
        <f aca="false">Sales_Budget!G59</f>
        <v>457900</v>
      </c>
      <c r="G70" s="42" t="n">
        <f aca="false">VALUE(LEFT(A70,4))</f>
        <v>2025</v>
      </c>
      <c r="H70" s="42" t="n">
        <f aca="false">IF(COUNTIFS(Calc_Actuals!$F$2:$F$865,B70,Calc_Actuals!$H$2:$H$865,C70,Calc_Actuals!$C$2:$C$865,"Actual")&gt;0,1,0)</f>
        <v>1</v>
      </c>
      <c r="I70" s="42" t="str">
        <f aca="false">IFERROR(INDEX(Calendar!$E$2:$E$25,MATCH(A70,Calendar!$A$2:$A$25,0)),"UNMATCHED")</f>
        <v>Actual</v>
      </c>
      <c r="J70" s="43" t="n">
        <f aca="false">D70*$B$7</f>
        <v>306174.621044389</v>
      </c>
      <c r="K70" s="43" t="n">
        <f aca="false">E70*$B$7</f>
        <v>189828.265047521</v>
      </c>
      <c r="L70" s="43" t="n">
        <f aca="false">F70*$B$7</f>
        <v>116346.355996868</v>
      </c>
      <c r="M70" s="43" t="n">
        <f aca="false">IF(I70="Actual",SUMIFS(Calc_Actuals!$N$2:$N$865,Calc_Actuals!$J$2:$J$865,G70,Calc_Actuals!$K$2:$K$865,O70,Calc_Actuals!$F$2:$F$865,B70,Calc_Actuals!$H$2:$H$865,C70,Calc_Actuals!$C$2:$C$865,"Actual"),0)</f>
        <v>156641.66</v>
      </c>
      <c r="N70" s="43" t="n">
        <f aca="false">IF(I70="Actual",SUMIFS(Calc_Actuals!$P$2:$P$865,Calc_Actuals!$J$2:$J$865,G70,Calc_Actuals!$K$2:$K$865,O70,Calc_Actuals!$F$2:$F$865,B70,Calc_Actuals!$H$2:$H$865,C70,Calc_Actuals!$C$2:$C$865,"Actual"),0)</f>
        <v>63209.74</v>
      </c>
      <c r="O70" s="42" t="n">
        <f aca="false">VALUE(RIGHT(A70,2))</f>
        <v>5</v>
      </c>
      <c r="P70" s="42" t="str">
        <f aca="false">A70&amp;"|"&amp;B70&amp;"|"&amp;C70</f>
        <v>2025-05|East|Home Care</v>
      </c>
    </row>
    <row r="71" customFormat="false" ht="15" hidden="false" customHeight="false" outlineLevel="0" collapsed="false">
      <c r="A71" s="42" t="str">
        <f aca="false">Sales_Budget!A60</f>
        <v>2025-05</v>
      </c>
      <c r="B71" s="42" t="str">
        <f aca="false">Sales_Budget!B60</f>
        <v>East</v>
      </c>
      <c r="C71" s="42" t="str">
        <f aca="false">Sales_Budget!C60</f>
        <v>Personal Care</v>
      </c>
      <c r="D71" s="43" t="n">
        <f aca="false">Sales_Budget!E60</f>
        <v>1280000</v>
      </c>
      <c r="E71" s="43" t="n">
        <f aca="false">Sales_Budget!F60</f>
        <v>793600</v>
      </c>
      <c r="F71" s="43" t="n">
        <f aca="false">Sales_Budget!G60</f>
        <v>486400</v>
      </c>
      <c r="G71" s="42" t="n">
        <f aca="false">VALUE(LEFT(A71,4))</f>
        <v>2025</v>
      </c>
      <c r="H71" s="42" t="n">
        <f aca="false">IF(COUNTIFS(Calc_Actuals!$F$2:$F$865,B71,Calc_Actuals!$H$2:$H$865,C71,Calc_Actuals!$C$2:$C$865,"Actual")&gt;0,1,0)</f>
        <v>0</v>
      </c>
      <c r="I71" s="42" t="str">
        <f aca="false">IFERROR(INDEX(Calendar!$E$2:$E$25,MATCH(A71,Calendar!$A$2:$A$25,0)),"UNMATCHED")</f>
        <v>Actual</v>
      </c>
      <c r="J71" s="43" t="n">
        <f aca="false">D71*$B$7</f>
        <v>325231.13272765</v>
      </c>
      <c r="K71" s="43" t="n">
        <f aca="false">E71*$B$7</f>
        <v>201643.302291143</v>
      </c>
      <c r="L71" s="43" t="n">
        <f aca="false">F71*$B$7</f>
        <v>123587.830436507</v>
      </c>
      <c r="M71" s="43" t="n">
        <f aca="false">IF(I71="Actual",SUMIFS(Calc_Actuals!$N$2:$N$865,Calc_Actuals!$J$2:$J$865,G71,Calc_Actuals!$K$2:$K$865,O71,Calc_Actuals!$F$2:$F$865,B71,Calc_Actuals!$H$2:$H$865,C71,Calc_Actuals!$C$2:$C$865,"Actual"),0)</f>
        <v>0</v>
      </c>
      <c r="N71" s="43" t="n">
        <f aca="false">IF(I71="Actual",SUMIFS(Calc_Actuals!$P$2:$P$865,Calc_Actuals!$J$2:$J$865,G71,Calc_Actuals!$K$2:$K$865,O71,Calc_Actuals!$F$2:$F$865,B71,Calc_Actuals!$H$2:$H$865,C71,Calc_Actuals!$C$2:$C$865,"Actual"),0)</f>
        <v>0</v>
      </c>
      <c r="O71" s="42" t="n">
        <f aca="false">VALUE(RIGHT(A71,2))</f>
        <v>5</v>
      </c>
      <c r="P71" s="42" t="str">
        <f aca="false">A71&amp;"|"&amp;B71&amp;"|"&amp;C71</f>
        <v>2025-05|East|Personal Care</v>
      </c>
    </row>
    <row r="72" customFormat="false" ht="15" hidden="false" customHeight="false" outlineLevel="0" collapsed="false">
      <c r="A72" s="42" t="str">
        <f aca="false">Sales_Budget!A61</f>
        <v>2025-05</v>
      </c>
      <c r="B72" s="42" t="str">
        <f aca="false">Sales_Budget!B61</f>
        <v>East</v>
      </c>
      <c r="C72" s="42" t="str">
        <f aca="false">Sales_Budget!C61</f>
        <v>Foods</v>
      </c>
      <c r="D72" s="43" t="n">
        <f aca="false">Sales_Budget!E61</f>
        <v>1355000</v>
      </c>
      <c r="E72" s="43" t="n">
        <f aca="false">Sales_Budget!F61</f>
        <v>840100</v>
      </c>
      <c r="F72" s="43" t="n">
        <f aca="false">Sales_Budget!G61</f>
        <v>514900</v>
      </c>
      <c r="G72" s="42" t="n">
        <f aca="false">VALUE(LEFT(A72,4))</f>
        <v>2025</v>
      </c>
      <c r="H72" s="42" t="n">
        <f aca="false">IF(COUNTIFS(Calc_Actuals!$F$2:$F$865,B72,Calc_Actuals!$H$2:$H$865,C72,Calc_Actuals!$C$2:$C$865,"Actual")&gt;0,1,0)</f>
        <v>1</v>
      </c>
      <c r="I72" s="42" t="str">
        <f aca="false">IFERROR(INDEX(Calendar!$E$2:$E$25,MATCH(A72,Calendar!$A$2:$A$25,0)),"UNMATCHED")</f>
        <v>Actual</v>
      </c>
      <c r="J72" s="43" t="n">
        <f aca="false">D72*$B$7</f>
        <v>344287.644410911</v>
      </c>
      <c r="K72" s="43" t="n">
        <f aca="false">E72*$B$7</f>
        <v>213458.339534765</v>
      </c>
      <c r="L72" s="43" t="n">
        <f aca="false">F72*$B$7</f>
        <v>130829.304876146</v>
      </c>
      <c r="M72" s="43" t="n">
        <f aca="false">IF(I72="Actual",SUMIFS(Calc_Actuals!$N$2:$N$865,Calc_Actuals!$J$2:$J$865,G72,Calc_Actuals!$K$2:$K$865,O72,Calc_Actuals!$F$2:$F$865,B72,Calc_Actuals!$H$2:$H$865,C72,Calc_Actuals!$C$2:$C$865,"Actual"),0)</f>
        <v>171094.54</v>
      </c>
      <c r="N72" s="43" t="n">
        <f aca="false">IF(I72="Actual",SUMIFS(Calc_Actuals!$P$2:$P$865,Calc_Actuals!$J$2:$J$865,G72,Calc_Actuals!$K$2:$K$865,O72,Calc_Actuals!$F$2:$F$865,B72,Calc_Actuals!$H$2:$H$865,C72,Calc_Actuals!$C$2:$C$865,"Actual"),0)</f>
        <v>60249.31</v>
      </c>
      <c r="O72" s="42" t="n">
        <f aca="false">VALUE(RIGHT(A72,2))</f>
        <v>5</v>
      </c>
      <c r="P72" s="42" t="str">
        <f aca="false">A72&amp;"|"&amp;B72&amp;"|"&amp;C72</f>
        <v>2025-05|East|Foods</v>
      </c>
    </row>
    <row r="73" customFormat="false" ht="15" hidden="false" customHeight="false" outlineLevel="0" collapsed="false">
      <c r="A73" s="42" t="str">
        <f aca="false">Sales_Budget!A62</f>
        <v>2025-06</v>
      </c>
      <c r="B73" s="42" t="str">
        <f aca="false">Sales_Budget!B62</f>
        <v>South</v>
      </c>
      <c r="C73" s="42" t="str">
        <f aca="false">Sales_Budget!C62</f>
        <v>Home Care</v>
      </c>
      <c r="D73" s="43" t="n">
        <f aca="false">Sales_Budget!E62</f>
        <v>950000</v>
      </c>
      <c r="E73" s="43" t="n">
        <f aca="false">Sales_Budget!F62</f>
        <v>589000</v>
      </c>
      <c r="F73" s="43" t="n">
        <f aca="false">Sales_Budget!G62</f>
        <v>361000</v>
      </c>
      <c r="G73" s="42" t="n">
        <f aca="false">VALUE(LEFT(A73,4))</f>
        <v>2025</v>
      </c>
      <c r="H73" s="42" t="n">
        <f aca="false">IF(COUNTIFS(Calc_Actuals!$F$2:$F$865,B73,Calc_Actuals!$H$2:$H$865,C73,Calc_Actuals!$C$2:$C$865,"Actual")&gt;0,1,0)</f>
        <v>1</v>
      </c>
      <c r="I73" s="42" t="str">
        <f aca="false">IFERROR(INDEX(Calendar!$E$2:$E$25,MATCH(A73,Calendar!$A$2:$A$25,0)),"UNMATCHED")</f>
        <v>Actual</v>
      </c>
      <c r="J73" s="43" t="n">
        <f aca="false">D73*$B$7</f>
        <v>241382.481321303</v>
      </c>
      <c r="K73" s="43" t="n">
        <f aca="false">E73*$B$7</f>
        <v>149657.138419208</v>
      </c>
      <c r="L73" s="43" t="n">
        <f aca="false">F73*$B$7</f>
        <v>91725.342902095</v>
      </c>
      <c r="M73" s="43" t="n">
        <f aca="false">IF(I73="Actual",SUMIFS(Calc_Actuals!$N$2:$N$865,Calc_Actuals!$J$2:$J$865,G73,Calc_Actuals!$K$2:$K$865,O73,Calc_Actuals!$F$2:$F$865,B73,Calc_Actuals!$H$2:$H$865,C73,Calc_Actuals!$C$2:$C$865,"Actual"),0)</f>
        <v>210958.7</v>
      </c>
      <c r="N73" s="43" t="n">
        <f aca="false">IF(I73="Actual",SUMIFS(Calc_Actuals!$P$2:$P$865,Calc_Actuals!$J$2:$J$865,G73,Calc_Actuals!$K$2:$K$865,O73,Calc_Actuals!$F$2:$F$865,B73,Calc_Actuals!$H$2:$H$865,C73,Calc_Actuals!$C$2:$C$865,"Actual"),0)</f>
        <v>67605.26</v>
      </c>
      <c r="O73" s="42" t="n">
        <f aca="false">VALUE(RIGHT(A73,2))</f>
        <v>6</v>
      </c>
      <c r="P73" s="42" t="str">
        <f aca="false">A73&amp;"|"&amp;B73&amp;"|"&amp;C73</f>
        <v>2025-06|South|Home Care</v>
      </c>
    </row>
    <row r="74" customFormat="false" ht="15" hidden="false" customHeight="false" outlineLevel="0" collapsed="false">
      <c r="A74" s="42" t="str">
        <f aca="false">Sales_Budget!A63</f>
        <v>2025-06</v>
      </c>
      <c r="B74" s="42" t="str">
        <f aca="false">Sales_Budget!B63</f>
        <v>South</v>
      </c>
      <c r="C74" s="42" t="str">
        <f aca="false">Sales_Budget!C63</f>
        <v>Personal Care</v>
      </c>
      <c r="D74" s="43" t="n">
        <f aca="false">Sales_Budget!E63</f>
        <v>1025000</v>
      </c>
      <c r="E74" s="43" t="n">
        <f aca="false">Sales_Budget!F63</f>
        <v>635500</v>
      </c>
      <c r="F74" s="43" t="n">
        <f aca="false">Sales_Budget!G63</f>
        <v>389500</v>
      </c>
      <c r="G74" s="42" t="n">
        <f aca="false">VALUE(LEFT(A74,4))</f>
        <v>2025</v>
      </c>
      <c r="H74" s="42" t="n">
        <f aca="false">IF(COUNTIFS(Calc_Actuals!$F$2:$F$865,B74,Calc_Actuals!$H$2:$H$865,C74,Calc_Actuals!$C$2:$C$865,"Actual")&gt;0,1,0)</f>
        <v>0</v>
      </c>
      <c r="I74" s="42" t="str">
        <f aca="false">IFERROR(INDEX(Calendar!$E$2:$E$25,MATCH(A74,Calendar!$A$2:$A$25,0)),"UNMATCHED")</f>
        <v>Actual</v>
      </c>
      <c r="J74" s="43" t="n">
        <f aca="false">D74*$B$7</f>
        <v>260438.993004563</v>
      </c>
      <c r="K74" s="43" t="n">
        <f aca="false">E74*$B$7</f>
        <v>161472.175662829</v>
      </c>
      <c r="L74" s="43" t="n">
        <f aca="false">F74*$B$7</f>
        <v>98966.8173417341</v>
      </c>
      <c r="M74" s="43" t="n">
        <f aca="false">IF(I74="Actual",SUMIFS(Calc_Actuals!$N$2:$N$865,Calc_Actuals!$J$2:$J$865,G74,Calc_Actuals!$K$2:$K$865,O74,Calc_Actuals!$F$2:$F$865,B74,Calc_Actuals!$H$2:$H$865,C74,Calc_Actuals!$C$2:$C$865,"Actual"),0)</f>
        <v>0</v>
      </c>
      <c r="N74" s="43" t="n">
        <f aca="false">IF(I74="Actual",SUMIFS(Calc_Actuals!$P$2:$P$865,Calc_Actuals!$J$2:$J$865,G74,Calc_Actuals!$K$2:$K$865,O74,Calc_Actuals!$F$2:$F$865,B74,Calc_Actuals!$H$2:$H$865,C74,Calc_Actuals!$C$2:$C$865,"Actual"),0)</f>
        <v>0</v>
      </c>
      <c r="O74" s="42" t="n">
        <f aca="false">VALUE(RIGHT(A74,2))</f>
        <v>6</v>
      </c>
      <c r="P74" s="42" t="str">
        <f aca="false">A74&amp;"|"&amp;B74&amp;"|"&amp;C74</f>
        <v>2025-06|South|Personal Care</v>
      </c>
    </row>
    <row r="75" customFormat="false" ht="15" hidden="false" customHeight="false" outlineLevel="0" collapsed="false">
      <c r="A75" s="42" t="str">
        <f aca="false">Sales_Budget!A64</f>
        <v>2025-06</v>
      </c>
      <c r="B75" s="42" t="str">
        <f aca="false">Sales_Budget!B64</f>
        <v>South</v>
      </c>
      <c r="C75" s="42" t="str">
        <f aca="false">Sales_Budget!C64</f>
        <v>Foods</v>
      </c>
      <c r="D75" s="43" t="n">
        <f aca="false">Sales_Budget!E64</f>
        <v>1100000</v>
      </c>
      <c r="E75" s="43" t="n">
        <f aca="false">Sales_Budget!F64</f>
        <v>682000</v>
      </c>
      <c r="F75" s="43" t="n">
        <f aca="false">Sales_Budget!G64</f>
        <v>418000</v>
      </c>
      <c r="G75" s="42" t="n">
        <f aca="false">VALUE(LEFT(A75,4))</f>
        <v>2025</v>
      </c>
      <c r="H75" s="42" t="n">
        <f aca="false">IF(COUNTIFS(Calc_Actuals!$F$2:$F$865,B75,Calc_Actuals!$H$2:$H$865,C75,Calc_Actuals!$C$2:$C$865,"Actual")&gt;0,1,0)</f>
        <v>1</v>
      </c>
      <c r="I75" s="42" t="str">
        <f aca="false">IFERROR(INDEX(Calendar!$E$2:$E$25,MATCH(A75,Calendar!$A$2:$A$25,0)),"UNMATCHED")</f>
        <v>Actual</v>
      </c>
      <c r="J75" s="43" t="n">
        <f aca="false">D75*$B$7</f>
        <v>279495.504687824</v>
      </c>
      <c r="K75" s="43" t="n">
        <f aca="false">E75*$B$7</f>
        <v>173287.212906451</v>
      </c>
      <c r="L75" s="43" t="n">
        <f aca="false">F75*$B$7</f>
        <v>106208.291781373</v>
      </c>
      <c r="M75" s="43" t="n">
        <f aca="false">IF(I75="Actual",SUMIFS(Calc_Actuals!$N$2:$N$865,Calc_Actuals!$J$2:$J$865,G75,Calc_Actuals!$K$2:$K$865,O75,Calc_Actuals!$F$2:$F$865,B75,Calc_Actuals!$H$2:$H$865,C75,Calc_Actuals!$C$2:$C$865,"Actual"),0)</f>
        <v>147409.38</v>
      </c>
      <c r="N75" s="43" t="n">
        <f aca="false">IF(I75="Actual",SUMIFS(Calc_Actuals!$P$2:$P$865,Calc_Actuals!$J$2:$J$865,G75,Calc_Actuals!$K$2:$K$865,O75,Calc_Actuals!$F$2:$F$865,B75,Calc_Actuals!$H$2:$H$865,C75,Calc_Actuals!$C$2:$C$865,"Actual"),0)</f>
        <v>49924.19</v>
      </c>
      <c r="O75" s="42" t="n">
        <f aca="false">VALUE(RIGHT(A75,2))</f>
        <v>6</v>
      </c>
      <c r="P75" s="42" t="str">
        <f aca="false">A75&amp;"|"&amp;B75&amp;"|"&amp;C75</f>
        <v>2025-06|South|Foods</v>
      </c>
    </row>
    <row r="76" customFormat="false" ht="15" hidden="false" customHeight="false" outlineLevel="0" collapsed="false">
      <c r="A76" s="42" t="str">
        <f aca="false">Sales_Budget!A65</f>
        <v>2025-06</v>
      </c>
      <c r="B76" s="42" t="str">
        <f aca="false">Sales_Budget!B65</f>
        <v>North</v>
      </c>
      <c r="C76" s="42" t="str">
        <f aca="false">Sales_Budget!C65</f>
        <v>Home Care</v>
      </c>
      <c r="D76" s="43" t="n">
        <f aca="false">Sales_Budget!E65</f>
        <v>1035000</v>
      </c>
      <c r="E76" s="43" t="n">
        <f aca="false">Sales_Budget!F65</f>
        <v>641700</v>
      </c>
      <c r="F76" s="43" t="n">
        <f aca="false">Sales_Budget!G65</f>
        <v>393300</v>
      </c>
      <c r="G76" s="42" t="n">
        <f aca="false">VALUE(LEFT(A76,4))</f>
        <v>2025</v>
      </c>
      <c r="H76" s="42" t="n">
        <f aca="false">IF(COUNTIFS(Calc_Actuals!$F$2:$F$865,B76,Calc_Actuals!$H$2:$H$865,C76,Calc_Actuals!$C$2:$C$865,"Actual")&gt;0,1,0)</f>
        <v>0</v>
      </c>
      <c r="I76" s="42" t="str">
        <f aca="false">IFERROR(INDEX(Calendar!$E$2:$E$25,MATCH(A76,Calendar!$A$2:$A$25,0)),"UNMATCHED")</f>
        <v>Actual</v>
      </c>
      <c r="J76" s="43" t="n">
        <f aca="false">D76*$B$7</f>
        <v>262979.861228998</v>
      </c>
      <c r="K76" s="43" t="n">
        <f aca="false">E76*$B$7</f>
        <v>163047.513961979</v>
      </c>
      <c r="L76" s="43" t="n">
        <f aca="false">F76*$B$7</f>
        <v>99932.3472670193</v>
      </c>
      <c r="M76" s="43" t="n">
        <f aca="false">IF(I76="Actual",SUMIFS(Calc_Actuals!$N$2:$N$865,Calc_Actuals!$J$2:$J$865,G76,Calc_Actuals!$K$2:$K$865,O76,Calc_Actuals!$F$2:$F$865,B76,Calc_Actuals!$H$2:$H$865,C76,Calc_Actuals!$C$2:$C$865,"Actual"),0)</f>
        <v>0</v>
      </c>
      <c r="N76" s="43" t="n">
        <f aca="false">IF(I76="Actual",SUMIFS(Calc_Actuals!$P$2:$P$865,Calc_Actuals!$J$2:$J$865,G76,Calc_Actuals!$K$2:$K$865,O76,Calc_Actuals!$F$2:$F$865,B76,Calc_Actuals!$H$2:$H$865,C76,Calc_Actuals!$C$2:$C$865,"Actual"),0)</f>
        <v>0</v>
      </c>
      <c r="O76" s="42" t="n">
        <f aca="false">VALUE(RIGHT(A76,2))</f>
        <v>6</v>
      </c>
      <c r="P76" s="42" t="str">
        <f aca="false">A76&amp;"|"&amp;B76&amp;"|"&amp;C76</f>
        <v>2025-06|North|Home Care</v>
      </c>
    </row>
    <row r="77" customFormat="false" ht="15" hidden="false" customHeight="false" outlineLevel="0" collapsed="false">
      <c r="A77" s="42" t="str">
        <f aca="false">Sales_Budget!A66</f>
        <v>2025-06</v>
      </c>
      <c r="B77" s="42" t="str">
        <f aca="false">Sales_Budget!B66</f>
        <v>North</v>
      </c>
      <c r="C77" s="42" t="str">
        <f aca="false">Sales_Budget!C66</f>
        <v>Personal Care</v>
      </c>
      <c r="D77" s="43" t="n">
        <f aca="false">Sales_Budget!E66</f>
        <v>1110000</v>
      </c>
      <c r="E77" s="43" t="n">
        <f aca="false">Sales_Budget!F66</f>
        <v>688200</v>
      </c>
      <c r="F77" s="43" t="n">
        <f aca="false">Sales_Budget!G66</f>
        <v>421800</v>
      </c>
      <c r="G77" s="42" t="n">
        <f aca="false">VALUE(LEFT(A77,4))</f>
        <v>2025</v>
      </c>
      <c r="H77" s="42" t="n">
        <f aca="false">IF(COUNTIFS(Calc_Actuals!$F$2:$F$865,B77,Calc_Actuals!$H$2:$H$865,C77,Calc_Actuals!$C$2:$C$865,"Actual")&gt;0,1,0)</f>
        <v>1</v>
      </c>
      <c r="I77" s="42" t="str">
        <f aca="false">IFERROR(INDEX(Calendar!$E$2:$E$25,MATCH(A77,Calendar!$A$2:$A$25,0)),"UNMATCHED")</f>
        <v>Actual</v>
      </c>
      <c r="J77" s="43" t="n">
        <f aca="false">D77*$B$7</f>
        <v>282036.372912259</v>
      </c>
      <c r="K77" s="43" t="n">
        <f aca="false">E77*$B$7</f>
        <v>174862.551205601</v>
      </c>
      <c r="L77" s="43" t="n">
        <f aca="false">F77*$B$7</f>
        <v>107173.821706658</v>
      </c>
      <c r="M77" s="43" t="n">
        <f aca="false">IF(I77="Actual",SUMIFS(Calc_Actuals!$N$2:$N$865,Calc_Actuals!$J$2:$J$865,G77,Calc_Actuals!$K$2:$K$865,O77,Calc_Actuals!$F$2:$F$865,B77,Calc_Actuals!$H$2:$H$865,C77,Calc_Actuals!$C$2:$C$865,"Actual"),0)</f>
        <v>491732.37</v>
      </c>
      <c r="N77" s="43" t="n">
        <f aca="false">IF(I77="Actual",SUMIFS(Calc_Actuals!$P$2:$P$865,Calc_Actuals!$J$2:$J$865,G77,Calc_Actuals!$K$2:$K$865,O77,Calc_Actuals!$F$2:$F$865,B77,Calc_Actuals!$H$2:$H$865,C77,Calc_Actuals!$C$2:$C$865,"Actual"),0)</f>
        <v>175028.1</v>
      </c>
      <c r="O77" s="42" t="n">
        <f aca="false">VALUE(RIGHT(A77,2))</f>
        <v>6</v>
      </c>
      <c r="P77" s="42" t="str">
        <f aca="false">A77&amp;"|"&amp;B77&amp;"|"&amp;C77</f>
        <v>2025-06|North|Personal Care</v>
      </c>
    </row>
    <row r="78" customFormat="false" ht="15" hidden="false" customHeight="false" outlineLevel="0" collapsed="false">
      <c r="A78" s="42" t="str">
        <f aca="false">Sales_Budget!A67</f>
        <v>2025-06</v>
      </c>
      <c r="B78" s="42" t="str">
        <f aca="false">Sales_Budget!B67</f>
        <v>North</v>
      </c>
      <c r="C78" s="42" t="str">
        <f aca="false">Sales_Budget!C67</f>
        <v>Foods</v>
      </c>
      <c r="D78" s="43" t="n">
        <f aca="false">Sales_Budget!E67</f>
        <v>1185000</v>
      </c>
      <c r="E78" s="43" t="n">
        <f aca="false">Sales_Budget!F67</f>
        <v>734700</v>
      </c>
      <c r="F78" s="43" t="n">
        <f aca="false">Sales_Budget!G67</f>
        <v>450300</v>
      </c>
      <c r="G78" s="42" t="n">
        <f aca="false">VALUE(LEFT(A78,4))</f>
        <v>2025</v>
      </c>
      <c r="H78" s="42" t="n">
        <f aca="false">IF(COUNTIFS(Calc_Actuals!$F$2:$F$865,B78,Calc_Actuals!$H$2:$H$865,C78,Calc_Actuals!$C$2:$C$865,"Actual")&gt;0,1,0)</f>
        <v>0</v>
      </c>
      <c r="I78" s="42" t="str">
        <f aca="false">IFERROR(INDEX(Calendar!$E$2:$E$25,MATCH(A78,Calendar!$A$2:$A$25,0)),"UNMATCHED")</f>
        <v>Actual</v>
      </c>
      <c r="J78" s="43" t="n">
        <f aca="false">D78*$B$7</f>
        <v>301092.88459552</v>
      </c>
      <c r="K78" s="43" t="n">
        <f aca="false">E78*$B$7</f>
        <v>186677.588449222</v>
      </c>
      <c r="L78" s="43" t="n">
        <f aca="false">F78*$B$7</f>
        <v>114415.296146297</v>
      </c>
      <c r="M78" s="43" t="n">
        <f aca="false">IF(I78="Actual",SUMIFS(Calc_Actuals!$N$2:$N$865,Calc_Actuals!$J$2:$J$865,G78,Calc_Actuals!$K$2:$K$865,O78,Calc_Actuals!$F$2:$F$865,B78,Calc_Actuals!$H$2:$H$865,C78,Calc_Actuals!$C$2:$C$865,"Actual"),0)</f>
        <v>0</v>
      </c>
      <c r="N78" s="43" t="n">
        <f aca="false">IF(I78="Actual",SUMIFS(Calc_Actuals!$P$2:$P$865,Calc_Actuals!$J$2:$J$865,G78,Calc_Actuals!$K$2:$K$865,O78,Calc_Actuals!$F$2:$F$865,B78,Calc_Actuals!$H$2:$H$865,C78,Calc_Actuals!$C$2:$C$865,"Actual"),0)</f>
        <v>0</v>
      </c>
      <c r="O78" s="42" t="n">
        <f aca="false">VALUE(RIGHT(A78,2))</f>
        <v>6</v>
      </c>
      <c r="P78" s="42" t="str">
        <f aca="false">A78&amp;"|"&amp;B78&amp;"|"&amp;C78</f>
        <v>2025-06|North|Foods</v>
      </c>
    </row>
    <row r="79" customFormat="false" ht="15" hidden="false" customHeight="false" outlineLevel="0" collapsed="false">
      <c r="A79" s="42" t="str">
        <f aca="false">Sales_Budget!A68</f>
        <v>2025-06</v>
      </c>
      <c r="B79" s="42" t="str">
        <f aca="false">Sales_Budget!B68</f>
        <v>West</v>
      </c>
      <c r="C79" s="42" t="str">
        <f aca="false">Sales_Budget!C68</f>
        <v>Home Care</v>
      </c>
      <c r="D79" s="43" t="n">
        <f aca="false">Sales_Budget!E68</f>
        <v>1120000</v>
      </c>
      <c r="E79" s="43" t="n">
        <f aca="false">Sales_Budget!F68</f>
        <v>694400</v>
      </c>
      <c r="F79" s="43" t="n">
        <f aca="false">Sales_Budget!G68</f>
        <v>425600</v>
      </c>
      <c r="G79" s="42" t="n">
        <f aca="false">VALUE(LEFT(A79,4))</f>
        <v>2025</v>
      </c>
      <c r="H79" s="42" t="n">
        <f aca="false">IF(COUNTIFS(Calc_Actuals!$F$2:$F$865,B79,Calc_Actuals!$H$2:$H$865,C79,Calc_Actuals!$C$2:$C$865,"Actual")&gt;0,1,0)</f>
        <v>1</v>
      </c>
      <c r="I79" s="42" t="str">
        <f aca="false">IFERROR(INDEX(Calendar!$E$2:$E$25,MATCH(A79,Calendar!$A$2:$A$25,0)),"UNMATCHED")</f>
        <v>Actual</v>
      </c>
      <c r="J79" s="43" t="n">
        <f aca="false">D79*$B$7</f>
        <v>284577.241136694</v>
      </c>
      <c r="K79" s="43" t="n">
        <f aca="false">E79*$B$7</f>
        <v>176437.88950475</v>
      </c>
      <c r="L79" s="43" t="n">
        <f aca="false">F79*$B$7</f>
        <v>108139.351631944</v>
      </c>
      <c r="M79" s="43" t="n">
        <f aca="false">IF(I79="Actual",SUMIFS(Calc_Actuals!$N$2:$N$865,Calc_Actuals!$J$2:$J$865,G79,Calc_Actuals!$K$2:$K$865,O79,Calc_Actuals!$F$2:$F$865,B79,Calc_Actuals!$H$2:$H$865,C79,Calc_Actuals!$C$2:$C$865,"Actual"),0)</f>
        <v>243495.66</v>
      </c>
      <c r="N79" s="43" t="n">
        <f aca="false">IF(I79="Actual",SUMIFS(Calc_Actuals!$P$2:$P$865,Calc_Actuals!$J$2:$J$865,G79,Calc_Actuals!$K$2:$K$865,O79,Calc_Actuals!$F$2:$F$865,B79,Calc_Actuals!$H$2:$H$865,C79,Calc_Actuals!$C$2:$C$865,"Actual"),0)</f>
        <v>92120.2</v>
      </c>
      <c r="O79" s="42" t="n">
        <f aca="false">VALUE(RIGHT(A79,2))</f>
        <v>6</v>
      </c>
      <c r="P79" s="42" t="str">
        <f aca="false">A79&amp;"|"&amp;B79&amp;"|"&amp;C79</f>
        <v>2025-06|West|Home Care</v>
      </c>
    </row>
    <row r="80" customFormat="false" ht="15" hidden="false" customHeight="false" outlineLevel="0" collapsed="false">
      <c r="A80" s="42" t="str">
        <f aca="false">Sales_Budget!A69</f>
        <v>2025-06</v>
      </c>
      <c r="B80" s="42" t="str">
        <f aca="false">Sales_Budget!B69</f>
        <v>West</v>
      </c>
      <c r="C80" s="42" t="str">
        <f aca="false">Sales_Budget!C69</f>
        <v>Personal Care</v>
      </c>
      <c r="D80" s="43" t="n">
        <f aca="false">Sales_Budget!E69</f>
        <v>1195000</v>
      </c>
      <c r="E80" s="43" t="n">
        <f aca="false">Sales_Budget!F69</f>
        <v>740900</v>
      </c>
      <c r="F80" s="43" t="n">
        <f aca="false">Sales_Budget!G69</f>
        <v>454100</v>
      </c>
      <c r="G80" s="42" t="n">
        <f aca="false">VALUE(LEFT(A80,4))</f>
        <v>2025</v>
      </c>
      <c r="H80" s="42" t="n">
        <f aca="false">IF(COUNTIFS(Calc_Actuals!$F$2:$F$865,B80,Calc_Actuals!$H$2:$H$865,C80,Calc_Actuals!$C$2:$C$865,"Actual")&gt;0,1,0)</f>
        <v>1</v>
      </c>
      <c r="I80" s="42" t="str">
        <f aca="false">IFERROR(INDEX(Calendar!$E$2:$E$25,MATCH(A80,Calendar!$A$2:$A$25,0)),"UNMATCHED")</f>
        <v>Actual</v>
      </c>
      <c r="J80" s="43" t="n">
        <f aca="false">D80*$B$7</f>
        <v>303633.752819954</v>
      </c>
      <c r="K80" s="43" t="n">
        <f aca="false">E80*$B$7</f>
        <v>188252.926748372</v>
      </c>
      <c r="L80" s="43" t="n">
        <f aca="false">F80*$B$7</f>
        <v>115380.826071583</v>
      </c>
      <c r="M80" s="43" t="n">
        <f aca="false">IF(I80="Actual",SUMIFS(Calc_Actuals!$N$2:$N$865,Calc_Actuals!$J$2:$J$865,G80,Calc_Actuals!$K$2:$K$865,O80,Calc_Actuals!$F$2:$F$865,B80,Calc_Actuals!$H$2:$H$865,C80,Calc_Actuals!$C$2:$C$865,"Actual"),0)</f>
        <v>346156.59</v>
      </c>
      <c r="N80" s="43" t="n">
        <f aca="false">IF(I80="Actual",SUMIFS(Calc_Actuals!$P$2:$P$865,Calc_Actuals!$J$2:$J$865,G80,Calc_Actuals!$K$2:$K$865,O80,Calc_Actuals!$F$2:$F$865,B80,Calc_Actuals!$H$2:$H$865,C80,Calc_Actuals!$C$2:$C$865,"Actual"),0)</f>
        <v>123898.62</v>
      </c>
      <c r="O80" s="42" t="n">
        <f aca="false">VALUE(RIGHT(A80,2))</f>
        <v>6</v>
      </c>
      <c r="P80" s="42" t="str">
        <f aca="false">A80&amp;"|"&amp;B80&amp;"|"&amp;C80</f>
        <v>2025-06|West|Personal Care</v>
      </c>
    </row>
    <row r="81" customFormat="false" ht="15" hidden="false" customHeight="false" outlineLevel="0" collapsed="false">
      <c r="A81" s="42" t="str">
        <f aca="false">Sales_Budget!A70</f>
        <v>2025-06</v>
      </c>
      <c r="B81" s="42" t="str">
        <f aca="false">Sales_Budget!B70</f>
        <v>West</v>
      </c>
      <c r="C81" s="42" t="str">
        <f aca="false">Sales_Budget!C70</f>
        <v>Foods</v>
      </c>
      <c r="D81" s="43" t="n">
        <f aca="false">Sales_Budget!E70</f>
        <v>1270000</v>
      </c>
      <c r="E81" s="43" t="n">
        <f aca="false">Sales_Budget!F70</f>
        <v>787400</v>
      </c>
      <c r="F81" s="43" t="n">
        <f aca="false">Sales_Budget!G70</f>
        <v>482600</v>
      </c>
      <c r="G81" s="42" t="n">
        <f aca="false">VALUE(LEFT(A81,4))</f>
        <v>2025</v>
      </c>
      <c r="H81" s="42" t="n">
        <f aca="false">IF(COUNTIFS(Calc_Actuals!$F$2:$F$865,B81,Calc_Actuals!$H$2:$H$865,C81,Calc_Actuals!$C$2:$C$865,"Actual")&gt;0,1,0)</f>
        <v>0</v>
      </c>
      <c r="I81" s="42" t="str">
        <f aca="false">IFERROR(INDEX(Calendar!$E$2:$E$25,MATCH(A81,Calendar!$A$2:$A$25,0)),"UNMATCHED")</f>
        <v>Actual</v>
      </c>
      <c r="J81" s="43" t="n">
        <f aca="false">D81*$B$7</f>
        <v>322690.264503215</v>
      </c>
      <c r="K81" s="43" t="n">
        <f aca="false">E81*$B$7</f>
        <v>200067.963991993</v>
      </c>
      <c r="L81" s="43" t="n">
        <f aca="false">F81*$B$7</f>
        <v>122622.300511222</v>
      </c>
      <c r="M81" s="43" t="n">
        <f aca="false">IF(I81="Actual",SUMIFS(Calc_Actuals!$N$2:$N$865,Calc_Actuals!$J$2:$J$865,G81,Calc_Actuals!$K$2:$K$865,O81,Calc_Actuals!$F$2:$F$865,B81,Calc_Actuals!$H$2:$H$865,C81,Calc_Actuals!$C$2:$C$865,"Actual"),0)</f>
        <v>0</v>
      </c>
      <c r="N81" s="43" t="n">
        <f aca="false">IF(I81="Actual",SUMIFS(Calc_Actuals!$P$2:$P$865,Calc_Actuals!$J$2:$J$865,G81,Calc_Actuals!$K$2:$K$865,O81,Calc_Actuals!$F$2:$F$865,B81,Calc_Actuals!$H$2:$H$865,C81,Calc_Actuals!$C$2:$C$865,"Actual"),0)</f>
        <v>0</v>
      </c>
      <c r="O81" s="42" t="n">
        <f aca="false">VALUE(RIGHT(A81,2))</f>
        <v>6</v>
      </c>
      <c r="P81" s="42" t="str">
        <f aca="false">A81&amp;"|"&amp;B81&amp;"|"&amp;C81</f>
        <v>2025-06|West|Foods</v>
      </c>
    </row>
    <row r="82" customFormat="false" ht="15" hidden="false" customHeight="false" outlineLevel="0" collapsed="false">
      <c r="A82" s="42" t="str">
        <f aca="false">Sales_Budget!A71</f>
        <v>2025-06</v>
      </c>
      <c r="B82" s="42" t="str">
        <f aca="false">Sales_Budget!B71</f>
        <v>East</v>
      </c>
      <c r="C82" s="42" t="str">
        <f aca="false">Sales_Budget!C71</f>
        <v>Home Care</v>
      </c>
      <c r="D82" s="43" t="n">
        <f aca="false">Sales_Budget!E71</f>
        <v>1205000</v>
      </c>
      <c r="E82" s="43" t="n">
        <f aca="false">Sales_Budget!F71</f>
        <v>747100</v>
      </c>
      <c r="F82" s="43" t="n">
        <f aca="false">Sales_Budget!G71</f>
        <v>457900</v>
      </c>
      <c r="G82" s="42" t="n">
        <f aca="false">VALUE(LEFT(A82,4))</f>
        <v>2025</v>
      </c>
      <c r="H82" s="42" t="n">
        <f aca="false">IF(COUNTIFS(Calc_Actuals!$F$2:$F$865,B82,Calc_Actuals!$H$2:$H$865,C82,Calc_Actuals!$C$2:$C$865,"Actual")&gt;0,1,0)</f>
        <v>1</v>
      </c>
      <c r="I82" s="42" t="str">
        <f aca="false">IFERROR(INDEX(Calendar!$E$2:$E$25,MATCH(A82,Calendar!$A$2:$A$25,0)),"UNMATCHED")</f>
        <v>Actual</v>
      </c>
      <c r="J82" s="43" t="n">
        <f aca="false">D82*$B$7</f>
        <v>306174.621044389</v>
      </c>
      <c r="K82" s="43" t="n">
        <f aca="false">E82*$B$7</f>
        <v>189828.265047521</v>
      </c>
      <c r="L82" s="43" t="n">
        <f aca="false">F82*$B$7</f>
        <v>116346.355996868</v>
      </c>
      <c r="M82" s="43" t="n">
        <f aca="false">IF(I82="Actual",SUMIFS(Calc_Actuals!$N$2:$N$865,Calc_Actuals!$J$2:$J$865,G82,Calc_Actuals!$K$2:$K$865,O82,Calc_Actuals!$F$2:$F$865,B82,Calc_Actuals!$H$2:$H$865,C82,Calc_Actuals!$C$2:$C$865,"Actual"),0)</f>
        <v>188587.97</v>
      </c>
      <c r="N82" s="43" t="n">
        <f aca="false">IF(I82="Actual",SUMIFS(Calc_Actuals!$P$2:$P$865,Calc_Actuals!$J$2:$J$865,G82,Calc_Actuals!$K$2:$K$865,O82,Calc_Actuals!$F$2:$F$865,B82,Calc_Actuals!$H$2:$H$865,C82,Calc_Actuals!$C$2:$C$865,"Actual"),0)</f>
        <v>75073.51</v>
      </c>
      <c r="O82" s="42" t="n">
        <f aca="false">VALUE(RIGHT(A82,2))</f>
        <v>6</v>
      </c>
      <c r="P82" s="42" t="str">
        <f aca="false">A82&amp;"|"&amp;B82&amp;"|"&amp;C82</f>
        <v>2025-06|East|Home Care</v>
      </c>
    </row>
    <row r="83" customFormat="false" ht="15" hidden="false" customHeight="false" outlineLevel="0" collapsed="false">
      <c r="A83" s="42" t="str">
        <f aca="false">Sales_Budget!A72</f>
        <v>2025-06</v>
      </c>
      <c r="B83" s="42" t="str">
        <f aca="false">Sales_Budget!B72</f>
        <v>East</v>
      </c>
      <c r="C83" s="42" t="str">
        <f aca="false">Sales_Budget!C72</f>
        <v>Personal Care</v>
      </c>
      <c r="D83" s="43" t="n">
        <f aca="false">Sales_Budget!E72</f>
        <v>1280000</v>
      </c>
      <c r="E83" s="43" t="n">
        <f aca="false">Sales_Budget!F72</f>
        <v>793600</v>
      </c>
      <c r="F83" s="43" t="n">
        <f aca="false">Sales_Budget!G72</f>
        <v>486400</v>
      </c>
      <c r="G83" s="42" t="n">
        <f aca="false">VALUE(LEFT(A83,4))</f>
        <v>2025</v>
      </c>
      <c r="H83" s="42" t="n">
        <f aca="false">IF(COUNTIFS(Calc_Actuals!$F$2:$F$865,B83,Calc_Actuals!$H$2:$H$865,C83,Calc_Actuals!$C$2:$C$865,"Actual")&gt;0,1,0)</f>
        <v>0</v>
      </c>
      <c r="I83" s="42" t="str">
        <f aca="false">IFERROR(INDEX(Calendar!$E$2:$E$25,MATCH(A83,Calendar!$A$2:$A$25,0)),"UNMATCHED")</f>
        <v>Actual</v>
      </c>
      <c r="J83" s="43" t="n">
        <f aca="false">D83*$B$7</f>
        <v>325231.13272765</v>
      </c>
      <c r="K83" s="43" t="n">
        <f aca="false">E83*$B$7</f>
        <v>201643.302291143</v>
      </c>
      <c r="L83" s="43" t="n">
        <f aca="false">F83*$B$7</f>
        <v>123587.830436507</v>
      </c>
      <c r="M83" s="43" t="n">
        <f aca="false">IF(I83="Actual",SUMIFS(Calc_Actuals!$N$2:$N$865,Calc_Actuals!$J$2:$J$865,G83,Calc_Actuals!$K$2:$K$865,O83,Calc_Actuals!$F$2:$F$865,B83,Calc_Actuals!$H$2:$H$865,C83,Calc_Actuals!$C$2:$C$865,"Actual"),0)</f>
        <v>0</v>
      </c>
      <c r="N83" s="43" t="n">
        <f aca="false">IF(I83="Actual",SUMIFS(Calc_Actuals!$P$2:$P$865,Calc_Actuals!$J$2:$J$865,G83,Calc_Actuals!$K$2:$K$865,O83,Calc_Actuals!$F$2:$F$865,B83,Calc_Actuals!$H$2:$H$865,C83,Calc_Actuals!$C$2:$C$865,"Actual"),0)</f>
        <v>0</v>
      </c>
      <c r="O83" s="42" t="n">
        <f aca="false">VALUE(RIGHT(A83,2))</f>
        <v>6</v>
      </c>
      <c r="P83" s="42" t="str">
        <f aca="false">A83&amp;"|"&amp;B83&amp;"|"&amp;C83</f>
        <v>2025-06|East|Personal Care</v>
      </c>
    </row>
    <row r="84" customFormat="false" ht="15" hidden="false" customHeight="false" outlineLevel="0" collapsed="false">
      <c r="A84" s="42" t="str">
        <f aca="false">Sales_Budget!A73</f>
        <v>2025-06</v>
      </c>
      <c r="B84" s="42" t="str">
        <f aca="false">Sales_Budget!B73</f>
        <v>East</v>
      </c>
      <c r="C84" s="42" t="str">
        <f aca="false">Sales_Budget!C73</f>
        <v>Foods</v>
      </c>
      <c r="D84" s="43" t="n">
        <f aca="false">Sales_Budget!E73</f>
        <v>1355000</v>
      </c>
      <c r="E84" s="43" t="n">
        <f aca="false">Sales_Budget!F73</f>
        <v>840100</v>
      </c>
      <c r="F84" s="43" t="n">
        <f aca="false">Sales_Budget!G73</f>
        <v>514900</v>
      </c>
      <c r="G84" s="42" t="n">
        <f aca="false">VALUE(LEFT(A84,4))</f>
        <v>2025</v>
      </c>
      <c r="H84" s="42" t="n">
        <f aca="false">IF(COUNTIFS(Calc_Actuals!$F$2:$F$865,B84,Calc_Actuals!$H$2:$H$865,C84,Calc_Actuals!$C$2:$C$865,"Actual")&gt;0,1,0)</f>
        <v>1</v>
      </c>
      <c r="I84" s="42" t="str">
        <f aca="false">IFERROR(INDEX(Calendar!$E$2:$E$25,MATCH(A84,Calendar!$A$2:$A$25,0)),"UNMATCHED")</f>
        <v>Actual</v>
      </c>
      <c r="J84" s="43" t="n">
        <f aca="false">D84*$B$7</f>
        <v>344287.644410911</v>
      </c>
      <c r="K84" s="43" t="n">
        <f aca="false">E84*$B$7</f>
        <v>213458.339534765</v>
      </c>
      <c r="L84" s="43" t="n">
        <f aca="false">F84*$B$7</f>
        <v>130829.304876146</v>
      </c>
      <c r="M84" s="43" t="n">
        <f aca="false">IF(I84="Actual",SUMIFS(Calc_Actuals!$N$2:$N$865,Calc_Actuals!$J$2:$J$865,G84,Calc_Actuals!$K$2:$K$865,O84,Calc_Actuals!$F$2:$F$865,B84,Calc_Actuals!$H$2:$H$865,C84,Calc_Actuals!$C$2:$C$865,"Actual"),0)</f>
        <v>393967.81</v>
      </c>
      <c r="N84" s="43" t="n">
        <f aca="false">IF(I84="Actual",SUMIFS(Calc_Actuals!$P$2:$P$865,Calc_Actuals!$J$2:$J$865,G84,Calc_Actuals!$K$2:$K$865,O84,Calc_Actuals!$F$2:$F$865,B84,Calc_Actuals!$H$2:$H$865,C84,Calc_Actuals!$C$2:$C$865,"Actual"),0)</f>
        <v>131058.65</v>
      </c>
      <c r="O84" s="42" t="n">
        <f aca="false">VALUE(RIGHT(A84,2))</f>
        <v>6</v>
      </c>
      <c r="P84" s="42" t="str">
        <f aca="false">A84&amp;"|"&amp;B84&amp;"|"&amp;C84</f>
        <v>2025-06|East|Foods</v>
      </c>
    </row>
    <row r="85" customFormat="false" ht="15" hidden="false" customHeight="false" outlineLevel="0" collapsed="false">
      <c r="A85" s="42" t="str">
        <f aca="false">Sales_Budget!A74</f>
        <v>2025-07</v>
      </c>
      <c r="B85" s="42" t="str">
        <f aca="false">Sales_Budget!B74</f>
        <v>South</v>
      </c>
      <c r="C85" s="42" t="str">
        <f aca="false">Sales_Budget!C74</f>
        <v>Home Care</v>
      </c>
      <c r="D85" s="43" t="n">
        <f aca="false">Sales_Budget!E74</f>
        <v>950000</v>
      </c>
      <c r="E85" s="43" t="n">
        <f aca="false">Sales_Budget!F74</f>
        <v>589000</v>
      </c>
      <c r="F85" s="43" t="n">
        <f aca="false">Sales_Budget!G74</f>
        <v>361000</v>
      </c>
      <c r="G85" s="42" t="n">
        <f aca="false">VALUE(LEFT(A85,4))</f>
        <v>2025</v>
      </c>
      <c r="H85" s="42" t="n">
        <f aca="false">IF(COUNTIFS(Calc_Actuals!$F$2:$F$865,B85,Calc_Actuals!$H$2:$H$865,C85,Calc_Actuals!$C$2:$C$865,"Actual")&gt;0,1,0)</f>
        <v>1</v>
      </c>
      <c r="I85" s="42" t="str">
        <f aca="false">IFERROR(INDEX(Calendar!$E$2:$E$25,MATCH(A85,Calendar!$A$2:$A$25,0)),"UNMATCHED")</f>
        <v>Actual</v>
      </c>
      <c r="J85" s="43" t="n">
        <f aca="false">D85*$B$7</f>
        <v>241382.481321303</v>
      </c>
      <c r="K85" s="43" t="n">
        <f aca="false">E85*$B$7</f>
        <v>149657.138419208</v>
      </c>
      <c r="L85" s="43" t="n">
        <f aca="false">F85*$B$7</f>
        <v>91725.342902095</v>
      </c>
      <c r="M85" s="43" t="n">
        <f aca="false">IF(I85="Actual",SUMIFS(Calc_Actuals!$N$2:$N$865,Calc_Actuals!$J$2:$J$865,G85,Calc_Actuals!$K$2:$K$865,O85,Calc_Actuals!$F$2:$F$865,B85,Calc_Actuals!$H$2:$H$865,C85,Calc_Actuals!$C$2:$C$865,"Actual"),0)</f>
        <v>299637.52</v>
      </c>
      <c r="N85" s="43" t="n">
        <f aca="false">IF(I85="Actual",SUMIFS(Calc_Actuals!$P$2:$P$865,Calc_Actuals!$J$2:$J$865,G85,Calc_Actuals!$K$2:$K$865,O85,Calc_Actuals!$F$2:$F$865,B85,Calc_Actuals!$H$2:$H$865,C85,Calc_Actuals!$C$2:$C$865,"Actual"),0)</f>
        <v>98972.65</v>
      </c>
      <c r="O85" s="42" t="n">
        <f aca="false">VALUE(RIGHT(A85,2))</f>
        <v>7</v>
      </c>
      <c r="P85" s="42" t="str">
        <f aca="false">A85&amp;"|"&amp;B85&amp;"|"&amp;C85</f>
        <v>2025-07|South|Home Care</v>
      </c>
    </row>
    <row r="86" customFormat="false" ht="15" hidden="false" customHeight="false" outlineLevel="0" collapsed="false">
      <c r="A86" s="42" t="str">
        <f aca="false">Sales_Budget!A75</f>
        <v>2025-07</v>
      </c>
      <c r="B86" s="42" t="str">
        <f aca="false">Sales_Budget!B75</f>
        <v>South</v>
      </c>
      <c r="C86" s="42" t="str">
        <f aca="false">Sales_Budget!C75</f>
        <v>Personal Care</v>
      </c>
      <c r="D86" s="43" t="n">
        <f aca="false">Sales_Budget!E75</f>
        <v>1025000</v>
      </c>
      <c r="E86" s="43" t="n">
        <f aca="false">Sales_Budget!F75</f>
        <v>635500</v>
      </c>
      <c r="F86" s="43" t="n">
        <f aca="false">Sales_Budget!G75</f>
        <v>389500</v>
      </c>
      <c r="G86" s="42" t="n">
        <f aca="false">VALUE(LEFT(A86,4))</f>
        <v>2025</v>
      </c>
      <c r="H86" s="42" t="n">
        <f aca="false">IF(COUNTIFS(Calc_Actuals!$F$2:$F$865,B86,Calc_Actuals!$H$2:$H$865,C86,Calc_Actuals!$C$2:$C$865,"Actual")&gt;0,1,0)</f>
        <v>0</v>
      </c>
      <c r="I86" s="42" t="str">
        <f aca="false">IFERROR(INDEX(Calendar!$E$2:$E$25,MATCH(A86,Calendar!$A$2:$A$25,0)),"UNMATCHED")</f>
        <v>Actual</v>
      </c>
      <c r="J86" s="43" t="n">
        <f aca="false">D86*$B$7</f>
        <v>260438.993004563</v>
      </c>
      <c r="K86" s="43" t="n">
        <f aca="false">E86*$B$7</f>
        <v>161472.175662829</v>
      </c>
      <c r="L86" s="43" t="n">
        <f aca="false">F86*$B$7</f>
        <v>98966.8173417341</v>
      </c>
      <c r="M86" s="43" t="n">
        <f aca="false">IF(I86="Actual",SUMIFS(Calc_Actuals!$N$2:$N$865,Calc_Actuals!$J$2:$J$865,G86,Calc_Actuals!$K$2:$K$865,O86,Calc_Actuals!$F$2:$F$865,B86,Calc_Actuals!$H$2:$H$865,C86,Calc_Actuals!$C$2:$C$865,"Actual"),0)</f>
        <v>0</v>
      </c>
      <c r="N86" s="43" t="n">
        <f aca="false">IF(I86="Actual",SUMIFS(Calc_Actuals!$P$2:$P$865,Calc_Actuals!$J$2:$J$865,G86,Calc_Actuals!$K$2:$K$865,O86,Calc_Actuals!$F$2:$F$865,B86,Calc_Actuals!$H$2:$H$865,C86,Calc_Actuals!$C$2:$C$865,"Actual"),0)</f>
        <v>0</v>
      </c>
      <c r="O86" s="42" t="n">
        <f aca="false">VALUE(RIGHT(A86,2))</f>
        <v>7</v>
      </c>
      <c r="P86" s="42" t="str">
        <f aca="false">A86&amp;"|"&amp;B86&amp;"|"&amp;C86</f>
        <v>2025-07|South|Personal Care</v>
      </c>
    </row>
    <row r="87" customFormat="false" ht="15" hidden="false" customHeight="false" outlineLevel="0" collapsed="false">
      <c r="A87" s="42" t="str">
        <f aca="false">Sales_Budget!A76</f>
        <v>2025-07</v>
      </c>
      <c r="B87" s="42" t="str">
        <f aca="false">Sales_Budget!B76</f>
        <v>South</v>
      </c>
      <c r="C87" s="42" t="str">
        <f aca="false">Sales_Budget!C76</f>
        <v>Foods</v>
      </c>
      <c r="D87" s="43" t="n">
        <f aca="false">Sales_Budget!E76</f>
        <v>1100000</v>
      </c>
      <c r="E87" s="43" t="n">
        <f aca="false">Sales_Budget!F76</f>
        <v>682000</v>
      </c>
      <c r="F87" s="43" t="n">
        <f aca="false">Sales_Budget!G76</f>
        <v>418000</v>
      </c>
      <c r="G87" s="42" t="n">
        <f aca="false">VALUE(LEFT(A87,4))</f>
        <v>2025</v>
      </c>
      <c r="H87" s="42" t="n">
        <f aca="false">IF(COUNTIFS(Calc_Actuals!$F$2:$F$865,B87,Calc_Actuals!$H$2:$H$865,C87,Calc_Actuals!$C$2:$C$865,"Actual")&gt;0,1,0)</f>
        <v>1</v>
      </c>
      <c r="I87" s="42" t="str">
        <f aca="false">IFERROR(INDEX(Calendar!$E$2:$E$25,MATCH(A87,Calendar!$A$2:$A$25,0)),"UNMATCHED")</f>
        <v>Actual</v>
      </c>
      <c r="J87" s="43" t="n">
        <f aca="false">D87*$B$7</f>
        <v>279495.504687824</v>
      </c>
      <c r="K87" s="43" t="n">
        <f aca="false">E87*$B$7</f>
        <v>173287.212906451</v>
      </c>
      <c r="L87" s="43" t="n">
        <f aca="false">F87*$B$7</f>
        <v>106208.291781373</v>
      </c>
      <c r="M87" s="43" t="n">
        <f aca="false">IF(I87="Actual",SUMIFS(Calc_Actuals!$N$2:$N$865,Calc_Actuals!$J$2:$J$865,G87,Calc_Actuals!$K$2:$K$865,O87,Calc_Actuals!$F$2:$F$865,B87,Calc_Actuals!$H$2:$H$865,C87,Calc_Actuals!$C$2:$C$865,"Actual"),0)</f>
        <v>100492.44</v>
      </c>
      <c r="N87" s="43" t="n">
        <f aca="false">IF(I87="Actual",SUMIFS(Calc_Actuals!$P$2:$P$865,Calc_Actuals!$J$2:$J$865,G87,Calc_Actuals!$K$2:$K$865,O87,Calc_Actuals!$F$2:$F$865,B87,Calc_Actuals!$H$2:$H$865,C87,Calc_Actuals!$C$2:$C$865,"Actual"),0)</f>
        <v>33272.01</v>
      </c>
      <c r="O87" s="42" t="n">
        <f aca="false">VALUE(RIGHT(A87,2))</f>
        <v>7</v>
      </c>
      <c r="P87" s="42" t="str">
        <f aca="false">A87&amp;"|"&amp;B87&amp;"|"&amp;C87</f>
        <v>2025-07|South|Foods</v>
      </c>
    </row>
    <row r="88" customFormat="false" ht="15" hidden="false" customHeight="false" outlineLevel="0" collapsed="false">
      <c r="A88" s="42" t="str">
        <f aca="false">Sales_Budget!A77</f>
        <v>2025-07</v>
      </c>
      <c r="B88" s="42" t="str">
        <f aca="false">Sales_Budget!B77</f>
        <v>North</v>
      </c>
      <c r="C88" s="42" t="str">
        <f aca="false">Sales_Budget!C77</f>
        <v>Home Care</v>
      </c>
      <c r="D88" s="43" t="n">
        <f aca="false">Sales_Budget!E77</f>
        <v>1035000</v>
      </c>
      <c r="E88" s="43" t="n">
        <f aca="false">Sales_Budget!F77</f>
        <v>641700</v>
      </c>
      <c r="F88" s="43" t="n">
        <f aca="false">Sales_Budget!G77</f>
        <v>393300</v>
      </c>
      <c r="G88" s="42" t="n">
        <f aca="false">VALUE(LEFT(A88,4))</f>
        <v>2025</v>
      </c>
      <c r="H88" s="42" t="n">
        <f aca="false">IF(COUNTIFS(Calc_Actuals!$F$2:$F$865,B88,Calc_Actuals!$H$2:$H$865,C88,Calc_Actuals!$C$2:$C$865,"Actual")&gt;0,1,0)</f>
        <v>0</v>
      </c>
      <c r="I88" s="42" t="str">
        <f aca="false">IFERROR(INDEX(Calendar!$E$2:$E$25,MATCH(A88,Calendar!$A$2:$A$25,0)),"UNMATCHED")</f>
        <v>Actual</v>
      </c>
      <c r="J88" s="43" t="n">
        <f aca="false">D88*$B$7</f>
        <v>262979.861228998</v>
      </c>
      <c r="K88" s="43" t="n">
        <f aca="false">E88*$B$7</f>
        <v>163047.513961979</v>
      </c>
      <c r="L88" s="43" t="n">
        <f aca="false">F88*$B$7</f>
        <v>99932.3472670193</v>
      </c>
      <c r="M88" s="43" t="n">
        <f aca="false">IF(I88="Actual",SUMIFS(Calc_Actuals!$N$2:$N$865,Calc_Actuals!$J$2:$J$865,G88,Calc_Actuals!$K$2:$K$865,O88,Calc_Actuals!$F$2:$F$865,B88,Calc_Actuals!$H$2:$H$865,C88,Calc_Actuals!$C$2:$C$865,"Actual"),0)</f>
        <v>0</v>
      </c>
      <c r="N88" s="43" t="n">
        <f aca="false">IF(I88="Actual",SUMIFS(Calc_Actuals!$P$2:$P$865,Calc_Actuals!$J$2:$J$865,G88,Calc_Actuals!$K$2:$K$865,O88,Calc_Actuals!$F$2:$F$865,B88,Calc_Actuals!$H$2:$H$865,C88,Calc_Actuals!$C$2:$C$865,"Actual"),0)</f>
        <v>0</v>
      </c>
      <c r="O88" s="42" t="n">
        <f aca="false">VALUE(RIGHT(A88,2))</f>
        <v>7</v>
      </c>
      <c r="P88" s="42" t="str">
        <f aca="false">A88&amp;"|"&amp;B88&amp;"|"&amp;C88</f>
        <v>2025-07|North|Home Care</v>
      </c>
    </row>
    <row r="89" customFormat="false" ht="15" hidden="false" customHeight="false" outlineLevel="0" collapsed="false">
      <c r="A89" s="42" t="str">
        <f aca="false">Sales_Budget!A78</f>
        <v>2025-07</v>
      </c>
      <c r="B89" s="42" t="str">
        <f aca="false">Sales_Budget!B78</f>
        <v>North</v>
      </c>
      <c r="C89" s="42" t="str">
        <f aca="false">Sales_Budget!C78</f>
        <v>Personal Care</v>
      </c>
      <c r="D89" s="43" t="n">
        <f aca="false">Sales_Budget!E78</f>
        <v>1110000</v>
      </c>
      <c r="E89" s="43" t="n">
        <f aca="false">Sales_Budget!F78</f>
        <v>688200</v>
      </c>
      <c r="F89" s="43" t="n">
        <f aca="false">Sales_Budget!G78</f>
        <v>421800</v>
      </c>
      <c r="G89" s="42" t="n">
        <f aca="false">VALUE(LEFT(A89,4))</f>
        <v>2025</v>
      </c>
      <c r="H89" s="42" t="n">
        <f aca="false">IF(COUNTIFS(Calc_Actuals!$F$2:$F$865,B89,Calc_Actuals!$H$2:$H$865,C89,Calc_Actuals!$C$2:$C$865,"Actual")&gt;0,1,0)</f>
        <v>1</v>
      </c>
      <c r="I89" s="42" t="str">
        <f aca="false">IFERROR(INDEX(Calendar!$E$2:$E$25,MATCH(A89,Calendar!$A$2:$A$25,0)),"UNMATCHED")</f>
        <v>Actual</v>
      </c>
      <c r="J89" s="43" t="n">
        <f aca="false">D89*$B$7</f>
        <v>282036.372912259</v>
      </c>
      <c r="K89" s="43" t="n">
        <f aca="false">E89*$B$7</f>
        <v>174862.551205601</v>
      </c>
      <c r="L89" s="43" t="n">
        <f aca="false">F89*$B$7</f>
        <v>107173.821706658</v>
      </c>
      <c r="M89" s="43" t="n">
        <f aca="false">IF(I89="Actual",SUMIFS(Calc_Actuals!$N$2:$N$865,Calc_Actuals!$J$2:$J$865,G89,Calc_Actuals!$K$2:$K$865,O89,Calc_Actuals!$F$2:$F$865,B89,Calc_Actuals!$H$2:$H$865,C89,Calc_Actuals!$C$2:$C$865,"Actual"),0)</f>
        <v>694054.4</v>
      </c>
      <c r="N89" s="43" t="n">
        <f aca="false">IF(I89="Actual",SUMIFS(Calc_Actuals!$P$2:$P$865,Calc_Actuals!$J$2:$J$865,G89,Calc_Actuals!$K$2:$K$865,O89,Calc_Actuals!$F$2:$F$865,B89,Calc_Actuals!$H$2:$H$865,C89,Calc_Actuals!$C$2:$C$865,"Actual"),0)</f>
        <v>251385.7</v>
      </c>
      <c r="O89" s="42" t="n">
        <f aca="false">VALUE(RIGHT(A89,2))</f>
        <v>7</v>
      </c>
      <c r="P89" s="42" t="str">
        <f aca="false">A89&amp;"|"&amp;B89&amp;"|"&amp;C89</f>
        <v>2025-07|North|Personal Care</v>
      </c>
    </row>
    <row r="90" customFormat="false" ht="15" hidden="false" customHeight="false" outlineLevel="0" collapsed="false">
      <c r="A90" s="42" t="str">
        <f aca="false">Sales_Budget!A79</f>
        <v>2025-07</v>
      </c>
      <c r="B90" s="42" t="str">
        <f aca="false">Sales_Budget!B79</f>
        <v>North</v>
      </c>
      <c r="C90" s="42" t="str">
        <f aca="false">Sales_Budget!C79</f>
        <v>Foods</v>
      </c>
      <c r="D90" s="43" t="n">
        <f aca="false">Sales_Budget!E79</f>
        <v>1185000</v>
      </c>
      <c r="E90" s="43" t="n">
        <f aca="false">Sales_Budget!F79</f>
        <v>734700</v>
      </c>
      <c r="F90" s="43" t="n">
        <f aca="false">Sales_Budget!G79</f>
        <v>450300</v>
      </c>
      <c r="G90" s="42" t="n">
        <f aca="false">VALUE(LEFT(A90,4))</f>
        <v>2025</v>
      </c>
      <c r="H90" s="42" t="n">
        <f aca="false">IF(COUNTIFS(Calc_Actuals!$F$2:$F$865,B90,Calc_Actuals!$H$2:$H$865,C90,Calc_Actuals!$C$2:$C$865,"Actual")&gt;0,1,0)</f>
        <v>0</v>
      </c>
      <c r="I90" s="42" t="str">
        <f aca="false">IFERROR(INDEX(Calendar!$E$2:$E$25,MATCH(A90,Calendar!$A$2:$A$25,0)),"UNMATCHED")</f>
        <v>Actual</v>
      </c>
      <c r="J90" s="43" t="n">
        <f aca="false">D90*$B$7</f>
        <v>301092.88459552</v>
      </c>
      <c r="K90" s="43" t="n">
        <f aca="false">E90*$B$7</f>
        <v>186677.588449222</v>
      </c>
      <c r="L90" s="43" t="n">
        <f aca="false">F90*$B$7</f>
        <v>114415.296146297</v>
      </c>
      <c r="M90" s="43" t="n">
        <f aca="false">IF(I90="Actual",SUMIFS(Calc_Actuals!$N$2:$N$865,Calc_Actuals!$J$2:$J$865,G90,Calc_Actuals!$K$2:$K$865,O90,Calc_Actuals!$F$2:$F$865,B90,Calc_Actuals!$H$2:$H$865,C90,Calc_Actuals!$C$2:$C$865,"Actual"),0)</f>
        <v>0</v>
      </c>
      <c r="N90" s="43" t="n">
        <f aca="false">IF(I90="Actual",SUMIFS(Calc_Actuals!$P$2:$P$865,Calc_Actuals!$J$2:$J$865,G90,Calc_Actuals!$K$2:$K$865,O90,Calc_Actuals!$F$2:$F$865,B90,Calc_Actuals!$H$2:$H$865,C90,Calc_Actuals!$C$2:$C$865,"Actual"),0)</f>
        <v>0</v>
      </c>
      <c r="O90" s="42" t="n">
        <f aca="false">VALUE(RIGHT(A90,2))</f>
        <v>7</v>
      </c>
      <c r="P90" s="42" t="str">
        <f aca="false">A90&amp;"|"&amp;B90&amp;"|"&amp;C90</f>
        <v>2025-07|North|Foods</v>
      </c>
    </row>
    <row r="91" customFormat="false" ht="15" hidden="false" customHeight="false" outlineLevel="0" collapsed="false">
      <c r="A91" s="42" t="str">
        <f aca="false">Sales_Budget!A80</f>
        <v>2025-07</v>
      </c>
      <c r="B91" s="42" t="str">
        <f aca="false">Sales_Budget!B80</f>
        <v>West</v>
      </c>
      <c r="C91" s="42" t="str">
        <f aca="false">Sales_Budget!C80</f>
        <v>Home Care</v>
      </c>
      <c r="D91" s="43" t="n">
        <f aca="false">Sales_Budget!E80</f>
        <v>1120000</v>
      </c>
      <c r="E91" s="43" t="n">
        <f aca="false">Sales_Budget!F80</f>
        <v>694400</v>
      </c>
      <c r="F91" s="43" t="n">
        <f aca="false">Sales_Budget!G80</f>
        <v>425600</v>
      </c>
      <c r="G91" s="42" t="n">
        <f aca="false">VALUE(LEFT(A91,4))</f>
        <v>2025</v>
      </c>
      <c r="H91" s="42" t="n">
        <f aca="false">IF(COUNTIFS(Calc_Actuals!$F$2:$F$865,B91,Calc_Actuals!$H$2:$H$865,C91,Calc_Actuals!$C$2:$C$865,"Actual")&gt;0,1,0)</f>
        <v>1</v>
      </c>
      <c r="I91" s="42" t="str">
        <f aca="false">IFERROR(INDEX(Calendar!$E$2:$E$25,MATCH(A91,Calendar!$A$2:$A$25,0)),"UNMATCHED")</f>
        <v>Actual</v>
      </c>
      <c r="J91" s="43" t="n">
        <f aca="false">D91*$B$7</f>
        <v>284577.241136694</v>
      </c>
      <c r="K91" s="43" t="n">
        <f aca="false">E91*$B$7</f>
        <v>176437.88950475</v>
      </c>
      <c r="L91" s="43" t="n">
        <f aca="false">F91*$B$7</f>
        <v>108139.351631944</v>
      </c>
      <c r="M91" s="43" t="n">
        <f aca="false">IF(I91="Actual",SUMIFS(Calc_Actuals!$N$2:$N$865,Calc_Actuals!$J$2:$J$865,G91,Calc_Actuals!$K$2:$K$865,O91,Calc_Actuals!$F$2:$F$865,B91,Calc_Actuals!$H$2:$H$865,C91,Calc_Actuals!$C$2:$C$865,"Actual"),0)</f>
        <v>237881.78</v>
      </c>
      <c r="N91" s="43" t="n">
        <f aca="false">IF(I91="Actual",SUMIFS(Calc_Actuals!$P$2:$P$865,Calc_Actuals!$J$2:$J$865,G91,Calc_Actuals!$K$2:$K$865,O91,Calc_Actuals!$F$2:$F$865,B91,Calc_Actuals!$H$2:$H$865,C91,Calc_Actuals!$C$2:$C$865,"Actual"),0)</f>
        <v>90636.57</v>
      </c>
      <c r="O91" s="42" t="n">
        <f aca="false">VALUE(RIGHT(A91,2))</f>
        <v>7</v>
      </c>
      <c r="P91" s="42" t="str">
        <f aca="false">A91&amp;"|"&amp;B91&amp;"|"&amp;C91</f>
        <v>2025-07|West|Home Care</v>
      </c>
    </row>
    <row r="92" customFormat="false" ht="15" hidden="false" customHeight="false" outlineLevel="0" collapsed="false">
      <c r="A92" s="42" t="str">
        <f aca="false">Sales_Budget!A81</f>
        <v>2025-07</v>
      </c>
      <c r="B92" s="42" t="str">
        <f aca="false">Sales_Budget!B81</f>
        <v>West</v>
      </c>
      <c r="C92" s="42" t="str">
        <f aca="false">Sales_Budget!C81</f>
        <v>Personal Care</v>
      </c>
      <c r="D92" s="43" t="n">
        <f aca="false">Sales_Budget!E81</f>
        <v>1195000</v>
      </c>
      <c r="E92" s="43" t="n">
        <f aca="false">Sales_Budget!F81</f>
        <v>740900</v>
      </c>
      <c r="F92" s="43" t="n">
        <f aca="false">Sales_Budget!G81</f>
        <v>454100</v>
      </c>
      <c r="G92" s="42" t="n">
        <f aca="false">VALUE(LEFT(A92,4))</f>
        <v>2025</v>
      </c>
      <c r="H92" s="42" t="n">
        <f aca="false">IF(COUNTIFS(Calc_Actuals!$F$2:$F$865,B92,Calc_Actuals!$H$2:$H$865,C92,Calc_Actuals!$C$2:$C$865,"Actual")&gt;0,1,0)</f>
        <v>1</v>
      </c>
      <c r="I92" s="42" t="str">
        <f aca="false">IFERROR(INDEX(Calendar!$E$2:$E$25,MATCH(A92,Calendar!$A$2:$A$25,0)),"UNMATCHED")</f>
        <v>Actual</v>
      </c>
      <c r="J92" s="43" t="n">
        <f aca="false">D92*$B$7</f>
        <v>303633.752819954</v>
      </c>
      <c r="K92" s="43" t="n">
        <f aca="false">E92*$B$7</f>
        <v>188252.926748372</v>
      </c>
      <c r="L92" s="43" t="n">
        <f aca="false">F92*$B$7</f>
        <v>115380.826071583</v>
      </c>
      <c r="M92" s="43" t="n">
        <f aca="false">IF(I92="Actual",SUMIFS(Calc_Actuals!$N$2:$N$865,Calc_Actuals!$J$2:$J$865,G92,Calc_Actuals!$K$2:$K$865,O92,Calc_Actuals!$F$2:$F$865,B92,Calc_Actuals!$H$2:$H$865,C92,Calc_Actuals!$C$2:$C$865,"Actual"),0)</f>
        <v>269049.49</v>
      </c>
      <c r="N92" s="43" t="n">
        <f aca="false">IF(I92="Actual",SUMIFS(Calc_Actuals!$P$2:$P$865,Calc_Actuals!$J$2:$J$865,G92,Calc_Actuals!$K$2:$K$865,O92,Calc_Actuals!$F$2:$F$865,B92,Calc_Actuals!$H$2:$H$865,C92,Calc_Actuals!$C$2:$C$865,"Actual"),0)</f>
        <v>96618.46</v>
      </c>
      <c r="O92" s="42" t="n">
        <f aca="false">VALUE(RIGHT(A92,2))</f>
        <v>7</v>
      </c>
      <c r="P92" s="42" t="str">
        <f aca="false">A92&amp;"|"&amp;B92&amp;"|"&amp;C92</f>
        <v>2025-07|West|Personal Care</v>
      </c>
    </row>
    <row r="93" customFormat="false" ht="15" hidden="false" customHeight="false" outlineLevel="0" collapsed="false">
      <c r="A93" s="42" t="str">
        <f aca="false">Sales_Budget!A82</f>
        <v>2025-07</v>
      </c>
      <c r="B93" s="42" t="str">
        <f aca="false">Sales_Budget!B82</f>
        <v>West</v>
      </c>
      <c r="C93" s="42" t="str">
        <f aca="false">Sales_Budget!C82</f>
        <v>Foods</v>
      </c>
      <c r="D93" s="43" t="n">
        <f aca="false">Sales_Budget!E82</f>
        <v>1270000</v>
      </c>
      <c r="E93" s="43" t="n">
        <f aca="false">Sales_Budget!F82</f>
        <v>787400</v>
      </c>
      <c r="F93" s="43" t="n">
        <f aca="false">Sales_Budget!G82</f>
        <v>482600</v>
      </c>
      <c r="G93" s="42" t="n">
        <f aca="false">VALUE(LEFT(A93,4))</f>
        <v>2025</v>
      </c>
      <c r="H93" s="42" t="n">
        <f aca="false">IF(COUNTIFS(Calc_Actuals!$F$2:$F$865,B93,Calc_Actuals!$H$2:$H$865,C93,Calc_Actuals!$C$2:$C$865,"Actual")&gt;0,1,0)</f>
        <v>0</v>
      </c>
      <c r="I93" s="42" t="str">
        <f aca="false">IFERROR(INDEX(Calendar!$E$2:$E$25,MATCH(A93,Calendar!$A$2:$A$25,0)),"UNMATCHED")</f>
        <v>Actual</v>
      </c>
      <c r="J93" s="43" t="n">
        <f aca="false">D93*$B$7</f>
        <v>322690.264503215</v>
      </c>
      <c r="K93" s="43" t="n">
        <f aca="false">E93*$B$7</f>
        <v>200067.963991993</v>
      </c>
      <c r="L93" s="43" t="n">
        <f aca="false">F93*$B$7</f>
        <v>122622.300511222</v>
      </c>
      <c r="M93" s="43" t="n">
        <f aca="false">IF(I93="Actual",SUMIFS(Calc_Actuals!$N$2:$N$865,Calc_Actuals!$J$2:$J$865,G93,Calc_Actuals!$K$2:$K$865,O93,Calc_Actuals!$F$2:$F$865,B93,Calc_Actuals!$H$2:$H$865,C93,Calc_Actuals!$C$2:$C$865,"Actual"),0)</f>
        <v>0</v>
      </c>
      <c r="N93" s="43" t="n">
        <f aca="false">IF(I93="Actual",SUMIFS(Calc_Actuals!$P$2:$P$865,Calc_Actuals!$J$2:$J$865,G93,Calc_Actuals!$K$2:$K$865,O93,Calc_Actuals!$F$2:$F$865,B93,Calc_Actuals!$H$2:$H$865,C93,Calc_Actuals!$C$2:$C$865,"Actual"),0)</f>
        <v>0</v>
      </c>
      <c r="O93" s="42" t="n">
        <f aca="false">VALUE(RIGHT(A93,2))</f>
        <v>7</v>
      </c>
      <c r="P93" s="42" t="str">
        <f aca="false">A93&amp;"|"&amp;B93&amp;"|"&amp;C93</f>
        <v>2025-07|West|Foods</v>
      </c>
    </row>
    <row r="94" customFormat="false" ht="15" hidden="false" customHeight="false" outlineLevel="0" collapsed="false">
      <c r="A94" s="42" t="str">
        <f aca="false">Sales_Budget!A83</f>
        <v>2025-07</v>
      </c>
      <c r="B94" s="42" t="str">
        <f aca="false">Sales_Budget!B83</f>
        <v>East</v>
      </c>
      <c r="C94" s="42" t="str">
        <f aca="false">Sales_Budget!C83</f>
        <v>Home Care</v>
      </c>
      <c r="D94" s="43" t="n">
        <f aca="false">Sales_Budget!E83</f>
        <v>1205000</v>
      </c>
      <c r="E94" s="43" t="n">
        <f aca="false">Sales_Budget!F83</f>
        <v>747100</v>
      </c>
      <c r="F94" s="43" t="n">
        <f aca="false">Sales_Budget!G83</f>
        <v>457900</v>
      </c>
      <c r="G94" s="42" t="n">
        <f aca="false">VALUE(LEFT(A94,4))</f>
        <v>2025</v>
      </c>
      <c r="H94" s="42" t="n">
        <f aca="false">IF(COUNTIFS(Calc_Actuals!$F$2:$F$865,B94,Calc_Actuals!$H$2:$H$865,C94,Calc_Actuals!$C$2:$C$865,"Actual")&gt;0,1,0)</f>
        <v>1</v>
      </c>
      <c r="I94" s="42" t="str">
        <f aca="false">IFERROR(INDEX(Calendar!$E$2:$E$25,MATCH(A94,Calendar!$A$2:$A$25,0)),"UNMATCHED")</f>
        <v>Actual</v>
      </c>
      <c r="J94" s="43" t="n">
        <f aca="false">D94*$B$7</f>
        <v>306174.621044389</v>
      </c>
      <c r="K94" s="43" t="n">
        <f aca="false">E94*$B$7</f>
        <v>189828.265047521</v>
      </c>
      <c r="L94" s="43" t="n">
        <f aca="false">F94*$B$7</f>
        <v>116346.355996868</v>
      </c>
      <c r="M94" s="43" t="n">
        <f aca="false">IF(I94="Actual",SUMIFS(Calc_Actuals!$N$2:$N$865,Calc_Actuals!$J$2:$J$865,G94,Calc_Actuals!$K$2:$K$865,O94,Calc_Actuals!$F$2:$F$865,B94,Calc_Actuals!$H$2:$H$865,C94,Calc_Actuals!$C$2:$C$865,"Actual"),0)</f>
        <v>123535</v>
      </c>
      <c r="N94" s="43" t="n">
        <f aca="false">IF(I94="Actual",SUMIFS(Calc_Actuals!$P$2:$P$865,Calc_Actuals!$J$2:$J$865,G94,Calc_Actuals!$K$2:$K$865,O94,Calc_Actuals!$F$2:$F$865,B94,Calc_Actuals!$H$2:$H$865,C94,Calc_Actuals!$C$2:$C$865,"Actual"),0)</f>
        <v>48821.74</v>
      </c>
      <c r="O94" s="42" t="n">
        <f aca="false">VALUE(RIGHT(A94,2))</f>
        <v>7</v>
      </c>
      <c r="P94" s="42" t="str">
        <f aca="false">A94&amp;"|"&amp;B94&amp;"|"&amp;C94</f>
        <v>2025-07|East|Home Care</v>
      </c>
    </row>
    <row r="95" customFormat="false" ht="15" hidden="false" customHeight="false" outlineLevel="0" collapsed="false">
      <c r="A95" s="42" t="str">
        <f aca="false">Sales_Budget!A84</f>
        <v>2025-07</v>
      </c>
      <c r="B95" s="42" t="str">
        <f aca="false">Sales_Budget!B84</f>
        <v>East</v>
      </c>
      <c r="C95" s="42" t="str">
        <f aca="false">Sales_Budget!C84</f>
        <v>Personal Care</v>
      </c>
      <c r="D95" s="43" t="n">
        <f aca="false">Sales_Budget!E84</f>
        <v>1280000</v>
      </c>
      <c r="E95" s="43" t="n">
        <f aca="false">Sales_Budget!F84</f>
        <v>793600</v>
      </c>
      <c r="F95" s="43" t="n">
        <f aca="false">Sales_Budget!G84</f>
        <v>486400</v>
      </c>
      <c r="G95" s="42" t="n">
        <f aca="false">VALUE(LEFT(A95,4))</f>
        <v>2025</v>
      </c>
      <c r="H95" s="42" t="n">
        <f aca="false">IF(COUNTIFS(Calc_Actuals!$F$2:$F$865,B95,Calc_Actuals!$H$2:$H$865,C95,Calc_Actuals!$C$2:$C$865,"Actual")&gt;0,1,0)</f>
        <v>0</v>
      </c>
      <c r="I95" s="42" t="str">
        <f aca="false">IFERROR(INDEX(Calendar!$E$2:$E$25,MATCH(A95,Calendar!$A$2:$A$25,0)),"UNMATCHED")</f>
        <v>Actual</v>
      </c>
      <c r="J95" s="43" t="n">
        <f aca="false">D95*$B$7</f>
        <v>325231.13272765</v>
      </c>
      <c r="K95" s="43" t="n">
        <f aca="false">E95*$B$7</f>
        <v>201643.302291143</v>
      </c>
      <c r="L95" s="43" t="n">
        <f aca="false">F95*$B$7</f>
        <v>123587.830436507</v>
      </c>
      <c r="M95" s="43" t="n">
        <f aca="false">IF(I95="Actual",SUMIFS(Calc_Actuals!$N$2:$N$865,Calc_Actuals!$J$2:$J$865,G95,Calc_Actuals!$K$2:$K$865,O95,Calc_Actuals!$F$2:$F$865,B95,Calc_Actuals!$H$2:$H$865,C95,Calc_Actuals!$C$2:$C$865,"Actual"),0)</f>
        <v>0</v>
      </c>
      <c r="N95" s="43" t="n">
        <f aca="false">IF(I95="Actual",SUMIFS(Calc_Actuals!$P$2:$P$865,Calc_Actuals!$J$2:$J$865,G95,Calc_Actuals!$K$2:$K$865,O95,Calc_Actuals!$F$2:$F$865,B95,Calc_Actuals!$H$2:$H$865,C95,Calc_Actuals!$C$2:$C$865,"Actual"),0)</f>
        <v>0</v>
      </c>
      <c r="O95" s="42" t="n">
        <f aca="false">VALUE(RIGHT(A95,2))</f>
        <v>7</v>
      </c>
      <c r="P95" s="42" t="str">
        <f aca="false">A95&amp;"|"&amp;B95&amp;"|"&amp;C95</f>
        <v>2025-07|East|Personal Care</v>
      </c>
    </row>
    <row r="96" customFormat="false" ht="15" hidden="false" customHeight="false" outlineLevel="0" collapsed="false">
      <c r="A96" s="42" t="str">
        <f aca="false">Sales_Budget!A85</f>
        <v>2025-07</v>
      </c>
      <c r="B96" s="42" t="str">
        <f aca="false">Sales_Budget!B85</f>
        <v>East</v>
      </c>
      <c r="C96" s="42" t="str">
        <f aca="false">Sales_Budget!C85</f>
        <v>Foods</v>
      </c>
      <c r="D96" s="43" t="n">
        <f aca="false">Sales_Budget!E85</f>
        <v>1355000</v>
      </c>
      <c r="E96" s="43" t="n">
        <f aca="false">Sales_Budget!F85</f>
        <v>840100</v>
      </c>
      <c r="F96" s="43" t="n">
        <f aca="false">Sales_Budget!G85</f>
        <v>514900</v>
      </c>
      <c r="G96" s="42" t="n">
        <f aca="false">VALUE(LEFT(A96,4))</f>
        <v>2025</v>
      </c>
      <c r="H96" s="42" t="n">
        <f aca="false">IF(COUNTIFS(Calc_Actuals!$F$2:$F$865,B96,Calc_Actuals!$H$2:$H$865,C96,Calc_Actuals!$C$2:$C$865,"Actual")&gt;0,1,0)</f>
        <v>1</v>
      </c>
      <c r="I96" s="42" t="str">
        <f aca="false">IFERROR(INDEX(Calendar!$E$2:$E$25,MATCH(A96,Calendar!$A$2:$A$25,0)),"UNMATCHED")</f>
        <v>Actual</v>
      </c>
      <c r="J96" s="43" t="n">
        <f aca="false">D96*$B$7</f>
        <v>344287.644410911</v>
      </c>
      <c r="K96" s="43" t="n">
        <f aca="false">E96*$B$7</f>
        <v>213458.339534765</v>
      </c>
      <c r="L96" s="43" t="n">
        <f aca="false">F96*$B$7</f>
        <v>130829.304876146</v>
      </c>
      <c r="M96" s="43" t="n">
        <f aca="false">IF(I96="Actual",SUMIFS(Calc_Actuals!$N$2:$N$865,Calc_Actuals!$J$2:$J$865,G96,Calc_Actuals!$K$2:$K$865,O96,Calc_Actuals!$F$2:$F$865,B96,Calc_Actuals!$H$2:$H$865,C96,Calc_Actuals!$C$2:$C$865,"Actual"),0)</f>
        <v>394344.3</v>
      </c>
      <c r="N96" s="43" t="n">
        <f aca="false">IF(I96="Actual",SUMIFS(Calc_Actuals!$P$2:$P$865,Calc_Actuals!$J$2:$J$865,G96,Calc_Actuals!$K$2:$K$865,O96,Calc_Actuals!$F$2:$F$865,B96,Calc_Actuals!$H$2:$H$865,C96,Calc_Actuals!$C$2:$C$865,"Actual"),0)</f>
        <v>139653.77</v>
      </c>
      <c r="O96" s="42" t="n">
        <f aca="false">VALUE(RIGHT(A96,2))</f>
        <v>7</v>
      </c>
      <c r="P96" s="42" t="str">
        <f aca="false">A96&amp;"|"&amp;B96&amp;"|"&amp;C96</f>
        <v>2025-07|East|Foods</v>
      </c>
    </row>
    <row r="97" customFormat="false" ht="15" hidden="false" customHeight="false" outlineLevel="0" collapsed="false">
      <c r="A97" s="42" t="str">
        <f aca="false">Sales_Budget!A86</f>
        <v>2025-08</v>
      </c>
      <c r="B97" s="42" t="str">
        <f aca="false">Sales_Budget!B86</f>
        <v>South</v>
      </c>
      <c r="C97" s="42" t="str">
        <f aca="false">Sales_Budget!C86</f>
        <v>Home Care</v>
      </c>
      <c r="D97" s="43" t="n">
        <f aca="false">Sales_Budget!E86</f>
        <v>950000</v>
      </c>
      <c r="E97" s="43" t="n">
        <f aca="false">Sales_Budget!F86</f>
        <v>589000</v>
      </c>
      <c r="F97" s="43" t="n">
        <f aca="false">Sales_Budget!G86</f>
        <v>361000</v>
      </c>
      <c r="G97" s="42" t="n">
        <f aca="false">VALUE(LEFT(A97,4))</f>
        <v>2025</v>
      </c>
      <c r="H97" s="42" t="n">
        <f aca="false">IF(COUNTIFS(Calc_Actuals!$F$2:$F$865,B97,Calc_Actuals!$H$2:$H$865,C97,Calc_Actuals!$C$2:$C$865,"Actual")&gt;0,1,0)</f>
        <v>1</v>
      </c>
      <c r="I97" s="42" t="str">
        <f aca="false">IFERROR(INDEX(Calendar!$E$2:$E$25,MATCH(A97,Calendar!$A$2:$A$25,0)),"UNMATCHED")</f>
        <v>Actual</v>
      </c>
      <c r="J97" s="43" t="n">
        <f aca="false">D97*$B$7</f>
        <v>241382.481321303</v>
      </c>
      <c r="K97" s="43" t="n">
        <f aca="false">E97*$B$7</f>
        <v>149657.138419208</v>
      </c>
      <c r="L97" s="43" t="n">
        <f aca="false">F97*$B$7</f>
        <v>91725.342902095</v>
      </c>
      <c r="M97" s="43" t="n">
        <f aca="false">IF(I97="Actual",SUMIFS(Calc_Actuals!$N$2:$N$865,Calc_Actuals!$J$2:$J$865,G97,Calc_Actuals!$K$2:$K$865,O97,Calc_Actuals!$F$2:$F$865,B97,Calc_Actuals!$H$2:$H$865,C97,Calc_Actuals!$C$2:$C$865,"Actual"),0)</f>
        <v>215998.56</v>
      </c>
      <c r="N97" s="43" t="n">
        <f aca="false">IF(I97="Actual",SUMIFS(Calc_Actuals!$P$2:$P$865,Calc_Actuals!$J$2:$J$865,G97,Calc_Actuals!$K$2:$K$865,O97,Calc_Actuals!$F$2:$F$865,B97,Calc_Actuals!$H$2:$H$865,C97,Calc_Actuals!$C$2:$C$865,"Actual"),0)</f>
        <v>70616.87</v>
      </c>
      <c r="O97" s="42" t="n">
        <f aca="false">VALUE(RIGHT(A97,2))</f>
        <v>8</v>
      </c>
      <c r="P97" s="42" t="str">
        <f aca="false">A97&amp;"|"&amp;B97&amp;"|"&amp;C97</f>
        <v>2025-08|South|Home Care</v>
      </c>
    </row>
    <row r="98" customFormat="false" ht="15" hidden="false" customHeight="false" outlineLevel="0" collapsed="false">
      <c r="A98" s="42" t="str">
        <f aca="false">Sales_Budget!A87</f>
        <v>2025-08</v>
      </c>
      <c r="B98" s="42" t="str">
        <f aca="false">Sales_Budget!B87</f>
        <v>South</v>
      </c>
      <c r="C98" s="42" t="str">
        <f aca="false">Sales_Budget!C87</f>
        <v>Personal Care</v>
      </c>
      <c r="D98" s="43" t="n">
        <f aca="false">Sales_Budget!E87</f>
        <v>1025000</v>
      </c>
      <c r="E98" s="43" t="n">
        <f aca="false">Sales_Budget!F87</f>
        <v>635500</v>
      </c>
      <c r="F98" s="43" t="n">
        <f aca="false">Sales_Budget!G87</f>
        <v>389500</v>
      </c>
      <c r="G98" s="42" t="n">
        <f aca="false">VALUE(LEFT(A98,4))</f>
        <v>2025</v>
      </c>
      <c r="H98" s="42" t="n">
        <f aca="false">IF(COUNTIFS(Calc_Actuals!$F$2:$F$865,B98,Calc_Actuals!$H$2:$H$865,C98,Calc_Actuals!$C$2:$C$865,"Actual")&gt;0,1,0)</f>
        <v>0</v>
      </c>
      <c r="I98" s="42" t="str">
        <f aca="false">IFERROR(INDEX(Calendar!$E$2:$E$25,MATCH(A98,Calendar!$A$2:$A$25,0)),"UNMATCHED")</f>
        <v>Actual</v>
      </c>
      <c r="J98" s="43" t="n">
        <f aca="false">D98*$B$7</f>
        <v>260438.993004563</v>
      </c>
      <c r="K98" s="43" t="n">
        <f aca="false">E98*$B$7</f>
        <v>161472.175662829</v>
      </c>
      <c r="L98" s="43" t="n">
        <f aca="false">F98*$B$7</f>
        <v>98966.8173417341</v>
      </c>
      <c r="M98" s="43" t="n">
        <f aca="false">IF(I98="Actual",SUMIFS(Calc_Actuals!$N$2:$N$865,Calc_Actuals!$J$2:$J$865,G98,Calc_Actuals!$K$2:$K$865,O98,Calc_Actuals!$F$2:$F$865,B98,Calc_Actuals!$H$2:$H$865,C98,Calc_Actuals!$C$2:$C$865,"Actual"),0)</f>
        <v>0</v>
      </c>
      <c r="N98" s="43" t="n">
        <f aca="false">IF(I98="Actual",SUMIFS(Calc_Actuals!$P$2:$P$865,Calc_Actuals!$J$2:$J$865,G98,Calc_Actuals!$K$2:$K$865,O98,Calc_Actuals!$F$2:$F$865,B98,Calc_Actuals!$H$2:$H$865,C98,Calc_Actuals!$C$2:$C$865,"Actual"),0)</f>
        <v>0</v>
      </c>
      <c r="O98" s="42" t="n">
        <f aca="false">VALUE(RIGHT(A98,2))</f>
        <v>8</v>
      </c>
      <c r="P98" s="42" t="str">
        <f aca="false">A98&amp;"|"&amp;B98&amp;"|"&amp;C98</f>
        <v>2025-08|South|Personal Care</v>
      </c>
    </row>
    <row r="99" customFormat="false" ht="15" hidden="false" customHeight="false" outlineLevel="0" collapsed="false">
      <c r="A99" s="42" t="str">
        <f aca="false">Sales_Budget!A88</f>
        <v>2025-08</v>
      </c>
      <c r="B99" s="42" t="str">
        <f aca="false">Sales_Budget!B88</f>
        <v>South</v>
      </c>
      <c r="C99" s="42" t="str">
        <f aca="false">Sales_Budget!C88</f>
        <v>Foods</v>
      </c>
      <c r="D99" s="43" t="n">
        <f aca="false">Sales_Budget!E88</f>
        <v>1100000</v>
      </c>
      <c r="E99" s="43" t="n">
        <f aca="false">Sales_Budget!F88</f>
        <v>682000</v>
      </c>
      <c r="F99" s="43" t="n">
        <f aca="false">Sales_Budget!G88</f>
        <v>418000</v>
      </c>
      <c r="G99" s="42" t="n">
        <f aca="false">VALUE(LEFT(A99,4))</f>
        <v>2025</v>
      </c>
      <c r="H99" s="42" t="n">
        <f aca="false">IF(COUNTIFS(Calc_Actuals!$F$2:$F$865,B99,Calc_Actuals!$H$2:$H$865,C99,Calc_Actuals!$C$2:$C$865,"Actual")&gt;0,1,0)</f>
        <v>1</v>
      </c>
      <c r="I99" s="42" t="str">
        <f aca="false">IFERROR(INDEX(Calendar!$E$2:$E$25,MATCH(A99,Calendar!$A$2:$A$25,0)),"UNMATCHED")</f>
        <v>Actual</v>
      </c>
      <c r="J99" s="43" t="n">
        <f aca="false">D99*$B$7</f>
        <v>279495.504687824</v>
      </c>
      <c r="K99" s="43" t="n">
        <f aca="false">E99*$B$7</f>
        <v>173287.212906451</v>
      </c>
      <c r="L99" s="43" t="n">
        <f aca="false">F99*$B$7</f>
        <v>106208.291781373</v>
      </c>
      <c r="M99" s="43" t="n">
        <f aca="false">IF(I99="Actual",SUMIFS(Calc_Actuals!$N$2:$N$865,Calc_Actuals!$J$2:$J$865,G99,Calc_Actuals!$K$2:$K$865,O99,Calc_Actuals!$F$2:$F$865,B99,Calc_Actuals!$H$2:$H$865,C99,Calc_Actuals!$C$2:$C$865,"Actual"),0)</f>
        <v>190777.44</v>
      </c>
      <c r="N99" s="43" t="n">
        <f aca="false">IF(I99="Actual",SUMIFS(Calc_Actuals!$P$2:$P$865,Calc_Actuals!$J$2:$J$865,G99,Calc_Actuals!$K$2:$K$865,O99,Calc_Actuals!$F$2:$F$865,B99,Calc_Actuals!$H$2:$H$865,C99,Calc_Actuals!$C$2:$C$865,"Actual"),0)</f>
        <v>60230.57</v>
      </c>
      <c r="O99" s="42" t="n">
        <f aca="false">VALUE(RIGHT(A99,2))</f>
        <v>8</v>
      </c>
      <c r="P99" s="42" t="str">
        <f aca="false">A99&amp;"|"&amp;B99&amp;"|"&amp;C99</f>
        <v>2025-08|South|Foods</v>
      </c>
    </row>
    <row r="100" customFormat="false" ht="15" hidden="false" customHeight="false" outlineLevel="0" collapsed="false">
      <c r="A100" s="42" t="str">
        <f aca="false">Sales_Budget!A89</f>
        <v>2025-08</v>
      </c>
      <c r="B100" s="42" t="str">
        <f aca="false">Sales_Budget!B89</f>
        <v>North</v>
      </c>
      <c r="C100" s="42" t="str">
        <f aca="false">Sales_Budget!C89</f>
        <v>Home Care</v>
      </c>
      <c r="D100" s="43" t="n">
        <f aca="false">Sales_Budget!E89</f>
        <v>1035000</v>
      </c>
      <c r="E100" s="43" t="n">
        <f aca="false">Sales_Budget!F89</f>
        <v>641700</v>
      </c>
      <c r="F100" s="43" t="n">
        <f aca="false">Sales_Budget!G89</f>
        <v>393300</v>
      </c>
      <c r="G100" s="42" t="n">
        <f aca="false">VALUE(LEFT(A100,4))</f>
        <v>2025</v>
      </c>
      <c r="H100" s="42" t="n">
        <f aca="false">IF(COUNTIFS(Calc_Actuals!$F$2:$F$865,B100,Calc_Actuals!$H$2:$H$865,C100,Calc_Actuals!$C$2:$C$865,"Actual")&gt;0,1,0)</f>
        <v>0</v>
      </c>
      <c r="I100" s="42" t="str">
        <f aca="false">IFERROR(INDEX(Calendar!$E$2:$E$25,MATCH(A100,Calendar!$A$2:$A$25,0)),"UNMATCHED")</f>
        <v>Actual</v>
      </c>
      <c r="J100" s="43" t="n">
        <f aca="false">D100*$B$7</f>
        <v>262979.861228998</v>
      </c>
      <c r="K100" s="43" t="n">
        <f aca="false">E100*$B$7</f>
        <v>163047.513961979</v>
      </c>
      <c r="L100" s="43" t="n">
        <f aca="false">F100*$B$7</f>
        <v>99932.3472670193</v>
      </c>
      <c r="M100" s="43" t="n">
        <f aca="false">IF(I100="Actual",SUMIFS(Calc_Actuals!$N$2:$N$865,Calc_Actuals!$J$2:$J$865,G100,Calc_Actuals!$K$2:$K$865,O100,Calc_Actuals!$F$2:$F$865,B100,Calc_Actuals!$H$2:$H$865,C100,Calc_Actuals!$C$2:$C$865,"Actual"),0)</f>
        <v>0</v>
      </c>
      <c r="N100" s="43" t="n">
        <f aca="false">IF(I100="Actual",SUMIFS(Calc_Actuals!$P$2:$P$865,Calc_Actuals!$J$2:$J$865,G100,Calc_Actuals!$K$2:$K$865,O100,Calc_Actuals!$F$2:$F$865,B100,Calc_Actuals!$H$2:$H$865,C100,Calc_Actuals!$C$2:$C$865,"Actual"),0)</f>
        <v>0</v>
      </c>
      <c r="O100" s="42" t="n">
        <f aca="false">VALUE(RIGHT(A100,2))</f>
        <v>8</v>
      </c>
      <c r="P100" s="42" t="str">
        <f aca="false">A100&amp;"|"&amp;B100&amp;"|"&amp;C100</f>
        <v>2025-08|North|Home Care</v>
      </c>
    </row>
    <row r="101" customFormat="false" ht="15" hidden="false" customHeight="false" outlineLevel="0" collapsed="false">
      <c r="A101" s="42" t="str">
        <f aca="false">Sales_Budget!A90</f>
        <v>2025-08</v>
      </c>
      <c r="B101" s="42" t="str">
        <f aca="false">Sales_Budget!B90</f>
        <v>North</v>
      </c>
      <c r="C101" s="42" t="str">
        <f aca="false">Sales_Budget!C90</f>
        <v>Personal Care</v>
      </c>
      <c r="D101" s="43" t="n">
        <f aca="false">Sales_Budget!E90</f>
        <v>1110000</v>
      </c>
      <c r="E101" s="43" t="n">
        <f aca="false">Sales_Budget!F90</f>
        <v>688200</v>
      </c>
      <c r="F101" s="43" t="n">
        <f aca="false">Sales_Budget!G90</f>
        <v>421800</v>
      </c>
      <c r="G101" s="42" t="n">
        <f aca="false">VALUE(LEFT(A101,4))</f>
        <v>2025</v>
      </c>
      <c r="H101" s="42" t="n">
        <f aca="false">IF(COUNTIFS(Calc_Actuals!$F$2:$F$865,B101,Calc_Actuals!$H$2:$H$865,C101,Calc_Actuals!$C$2:$C$865,"Actual")&gt;0,1,0)</f>
        <v>1</v>
      </c>
      <c r="I101" s="42" t="str">
        <f aca="false">IFERROR(INDEX(Calendar!$E$2:$E$25,MATCH(A101,Calendar!$A$2:$A$25,0)),"UNMATCHED")</f>
        <v>Actual</v>
      </c>
      <c r="J101" s="43" t="n">
        <f aca="false">D101*$B$7</f>
        <v>282036.372912259</v>
      </c>
      <c r="K101" s="43" t="n">
        <f aca="false">E101*$B$7</f>
        <v>174862.551205601</v>
      </c>
      <c r="L101" s="43" t="n">
        <f aca="false">F101*$B$7</f>
        <v>107173.821706658</v>
      </c>
      <c r="M101" s="43" t="n">
        <f aca="false">IF(I101="Actual",SUMIFS(Calc_Actuals!$N$2:$N$865,Calc_Actuals!$J$2:$J$865,G101,Calc_Actuals!$K$2:$K$865,O101,Calc_Actuals!$F$2:$F$865,B101,Calc_Actuals!$H$2:$H$865,C101,Calc_Actuals!$C$2:$C$865,"Actual"),0)</f>
        <v>689586.75</v>
      </c>
      <c r="N101" s="43" t="n">
        <f aca="false">IF(I101="Actual",SUMIFS(Calc_Actuals!$P$2:$P$865,Calc_Actuals!$J$2:$J$865,G101,Calc_Actuals!$K$2:$K$865,O101,Calc_Actuals!$F$2:$F$865,B101,Calc_Actuals!$H$2:$H$865,C101,Calc_Actuals!$C$2:$C$865,"Actual"),0)</f>
        <v>258537.69</v>
      </c>
      <c r="O101" s="42" t="n">
        <f aca="false">VALUE(RIGHT(A101,2))</f>
        <v>8</v>
      </c>
      <c r="P101" s="42" t="str">
        <f aca="false">A101&amp;"|"&amp;B101&amp;"|"&amp;C101</f>
        <v>2025-08|North|Personal Care</v>
      </c>
    </row>
    <row r="102" customFormat="false" ht="15" hidden="false" customHeight="false" outlineLevel="0" collapsed="false">
      <c r="A102" s="42" t="str">
        <f aca="false">Sales_Budget!A91</f>
        <v>2025-08</v>
      </c>
      <c r="B102" s="42" t="str">
        <f aca="false">Sales_Budget!B91</f>
        <v>North</v>
      </c>
      <c r="C102" s="42" t="str">
        <f aca="false">Sales_Budget!C91</f>
        <v>Foods</v>
      </c>
      <c r="D102" s="43" t="n">
        <f aca="false">Sales_Budget!E91</f>
        <v>1185000</v>
      </c>
      <c r="E102" s="43" t="n">
        <f aca="false">Sales_Budget!F91</f>
        <v>734700</v>
      </c>
      <c r="F102" s="43" t="n">
        <f aca="false">Sales_Budget!G91</f>
        <v>450300</v>
      </c>
      <c r="G102" s="42" t="n">
        <f aca="false">VALUE(LEFT(A102,4))</f>
        <v>2025</v>
      </c>
      <c r="H102" s="42" t="n">
        <f aca="false">IF(COUNTIFS(Calc_Actuals!$F$2:$F$865,B102,Calc_Actuals!$H$2:$H$865,C102,Calc_Actuals!$C$2:$C$865,"Actual")&gt;0,1,0)</f>
        <v>0</v>
      </c>
      <c r="I102" s="42" t="str">
        <f aca="false">IFERROR(INDEX(Calendar!$E$2:$E$25,MATCH(A102,Calendar!$A$2:$A$25,0)),"UNMATCHED")</f>
        <v>Actual</v>
      </c>
      <c r="J102" s="43" t="n">
        <f aca="false">D102*$B$7</f>
        <v>301092.88459552</v>
      </c>
      <c r="K102" s="43" t="n">
        <f aca="false">E102*$B$7</f>
        <v>186677.588449222</v>
      </c>
      <c r="L102" s="43" t="n">
        <f aca="false">F102*$B$7</f>
        <v>114415.296146297</v>
      </c>
      <c r="M102" s="43" t="n">
        <f aca="false">IF(I102="Actual",SUMIFS(Calc_Actuals!$N$2:$N$865,Calc_Actuals!$J$2:$J$865,G102,Calc_Actuals!$K$2:$K$865,O102,Calc_Actuals!$F$2:$F$865,B102,Calc_Actuals!$H$2:$H$865,C102,Calc_Actuals!$C$2:$C$865,"Actual"),0)</f>
        <v>0</v>
      </c>
      <c r="N102" s="43" t="n">
        <f aca="false">IF(I102="Actual",SUMIFS(Calc_Actuals!$P$2:$P$865,Calc_Actuals!$J$2:$J$865,G102,Calc_Actuals!$K$2:$K$865,O102,Calc_Actuals!$F$2:$F$865,B102,Calc_Actuals!$H$2:$H$865,C102,Calc_Actuals!$C$2:$C$865,"Actual"),0)</f>
        <v>0</v>
      </c>
      <c r="O102" s="42" t="n">
        <f aca="false">VALUE(RIGHT(A102,2))</f>
        <v>8</v>
      </c>
      <c r="P102" s="42" t="str">
        <f aca="false">A102&amp;"|"&amp;B102&amp;"|"&amp;C102</f>
        <v>2025-08|North|Foods</v>
      </c>
    </row>
    <row r="103" customFormat="false" ht="15" hidden="false" customHeight="false" outlineLevel="0" collapsed="false">
      <c r="A103" s="42" t="str">
        <f aca="false">Sales_Budget!A92</f>
        <v>2025-08</v>
      </c>
      <c r="B103" s="42" t="str">
        <f aca="false">Sales_Budget!B92</f>
        <v>West</v>
      </c>
      <c r="C103" s="42" t="str">
        <f aca="false">Sales_Budget!C92</f>
        <v>Home Care</v>
      </c>
      <c r="D103" s="43" t="n">
        <f aca="false">Sales_Budget!E92</f>
        <v>1120000</v>
      </c>
      <c r="E103" s="43" t="n">
        <f aca="false">Sales_Budget!F92</f>
        <v>694400</v>
      </c>
      <c r="F103" s="43" t="n">
        <f aca="false">Sales_Budget!G92</f>
        <v>425600</v>
      </c>
      <c r="G103" s="42" t="n">
        <f aca="false">VALUE(LEFT(A103,4))</f>
        <v>2025</v>
      </c>
      <c r="H103" s="42" t="n">
        <f aca="false">IF(COUNTIFS(Calc_Actuals!$F$2:$F$865,B103,Calc_Actuals!$H$2:$H$865,C103,Calc_Actuals!$C$2:$C$865,"Actual")&gt;0,1,0)</f>
        <v>1</v>
      </c>
      <c r="I103" s="42" t="str">
        <f aca="false">IFERROR(INDEX(Calendar!$E$2:$E$25,MATCH(A103,Calendar!$A$2:$A$25,0)),"UNMATCHED")</f>
        <v>Actual</v>
      </c>
      <c r="J103" s="43" t="n">
        <f aca="false">D103*$B$7</f>
        <v>284577.241136694</v>
      </c>
      <c r="K103" s="43" t="n">
        <f aca="false">E103*$B$7</f>
        <v>176437.88950475</v>
      </c>
      <c r="L103" s="43" t="n">
        <f aca="false">F103*$B$7</f>
        <v>108139.351631944</v>
      </c>
      <c r="M103" s="43" t="n">
        <f aca="false">IF(I103="Actual",SUMIFS(Calc_Actuals!$N$2:$N$865,Calc_Actuals!$J$2:$J$865,G103,Calc_Actuals!$K$2:$K$865,O103,Calc_Actuals!$F$2:$F$865,B103,Calc_Actuals!$H$2:$H$865,C103,Calc_Actuals!$C$2:$C$865,"Actual"),0)</f>
        <v>240040.64</v>
      </c>
      <c r="N103" s="43" t="n">
        <f aca="false">IF(I103="Actual",SUMIFS(Calc_Actuals!$P$2:$P$865,Calc_Actuals!$J$2:$J$865,G103,Calc_Actuals!$K$2:$K$865,O103,Calc_Actuals!$F$2:$F$865,B103,Calc_Actuals!$H$2:$H$865,C103,Calc_Actuals!$C$2:$C$865,"Actual"),0)</f>
        <v>89498.11</v>
      </c>
      <c r="O103" s="42" t="n">
        <f aca="false">VALUE(RIGHT(A103,2))</f>
        <v>8</v>
      </c>
      <c r="P103" s="42" t="str">
        <f aca="false">A103&amp;"|"&amp;B103&amp;"|"&amp;C103</f>
        <v>2025-08|West|Home Care</v>
      </c>
    </row>
    <row r="104" customFormat="false" ht="15" hidden="false" customHeight="false" outlineLevel="0" collapsed="false">
      <c r="A104" s="42" t="str">
        <f aca="false">Sales_Budget!A93</f>
        <v>2025-08</v>
      </c>
      <c r="B104" s="42" t="str">
        <f aca="false">Sales_Budget!B93</f>
        <v>West</v>
      </c>
      <c r="C104" s="42" t="str">
        <f aca="false">Sales_Budget!C93</f>
        <v>Personal Care</v>
      </c>
      <c r="D104" s="43" t="n">
        <f aca="false">Sales_Budget!E93</f>
        <v>1195000</v>
      </c>
      <c r="E104" s="43" t="n">
        <f aca="false">Sales_Budget!F93</f>
        <v>740900</v>
      </c>
      <c r="F104" s="43" t="n">
        <f aca="false">Sales_Budget!G93</f>
        <v>454100</v>
      </c>
      <c r="G104" s="42" t="n">
        <f aca="false">VALUE(LEFT(A104,4))</f>
        <v>2025</v>
      </c>
      <c r="H104" s="42" t="n">
        <f aca="false">IF(COUNTIFS(Calc_Actuals!$F$2:$F$865,B104,Calc_Actuals!$H$2:$H$865,C104,Calc_Actuals!$C$2:$C$865,"Actual")&gt;0,1,0)</f>
        <v>1</v>
      </c>
      <c r="I104" s="42" t="str">
        <f aca="false">IFERROR(INDEX(Calendar!$E$2:$E$25,MATCH(A104,Calendar!$A$2:$A$25,0)),"UNMATCHED")</f>
        <v>Actual</v>
      </c>
      <c r="J104" s="43" t="n">
        <f aca="false">D104*$B$7</f>
        <v>303633.752819954</v>
      </c>
      <c r="K104" s="43" t="n">
        <f aca="false">E104*$B$7</f>
        <v>188252.926748372</v>
      </c>
      <c r="L104" s="43" t="n">
        <f aca="false">F104*$B$7</f>
        <v>115380.826071583</v>
      </c>
      <c r="M104" s="43" t="n">
        <f aca="false">IF(I104="Actual",SUMIFS(Calc_Actuals!$N$2:$N$865,Calc_Actuals!$J$2:$J$865,G104,Calc_Actuals!$K$2:$K$865,O104,Calc_Actuals!$F$2:$F$865,B104,Calc_Actuals!$H$2:$H$865,C104,Calc_Actuals!$C$2:$C$865,"Actual"),0)</f>
        <v>336894.25</v>
      </c>
      <c r="N104" s="43" t="n">
        <f aca="false">IF(I104="Actual",SUMIFS(Calc_Actuals!$P$2:$P$865,Calc_Actuals!$J$2:$J$865,G104,Calc_Actuals!$K$2:$K$865,O104,Calc_Actuals!$F$2:$F$865,B104,Calc_Actuals!$H$2:$H$865,C104,Calc_Actuals!$C$2:$C$865,"Actual"),0)</f>
        <v>114646.22</v>
      </c>
      <c r="O104" s="42" t="n">
        <f aca="false">VALUE(RIGHT(A104,2))</f>
        <v>8</v>
      </c>
      <c r="P104" s="42" t="str">
        <f aca="false">A104&amp;"|"&amp;B104&amp;"|"&amp;C104</f>
        <v>2025-08|West|Personal Care</v>
      </c>
    </row>
    <row r="105" customFormat="false" ht="15" hidden="false" customHeight="false" outlineLevel="0" collapsed="false">
      <c r="A105" s="42" t="str">
        <f aca="false">Sales_Budget!A94</f>
        <v>2025-08</v>
      </c>
      <c r="B105" s="42" t="str">
        <f aca="false">Sales_Budget!B94</f>
        <v>West</v>
      </c>
      <c r="C105" s="42" t="str">
        <f aca="false">Sales_Budget!C94</f>
        <v>Foods</v>
      </c>
      <c r="D105" s="43" t="n">
        <f aca="false">Sales_Budget!E94</f>
        <v>1270000</v>
      </c>
      <c r="E105" s="43" t="n">
        <f aca="false">Sales_Budget!F94</f>
        <v>787400</v>
      </c>
      <c r="F105" s="43" t="n">
        <f aca="false">Sales_Budget!G94</f>
        <v>482600</v>
      </c>
      <c r="G105" s="42" t="n">
        <f aca="false">VALUE(LEFT(A105,4))</f>
        <v>2025</v>
      </c>
      <c r="H105" s="42" t="n">
        <f aca="false">IF(COUNTIFS(Calc_Actuals!$F$2:$F$865,B105,Calc_Actuals!$H$2:$H$865,C105,Calc_Actuals!$C$2:$C$865,"Actual")&gt;0,1,0)</f>
        <v>0</v>
      </c>
      <c r="I105" s="42" t="str">
        <f aca="false">IFERROR(INDEX(Calendar!$E$2:$E$25,MATCH(A105,Calendar!$A$2:$A$25,0)),"UNMATCHED")</f>
        <v>Actual</v>
      </c>
      <c r="J105" s="43" t="n">
        <f aca="false">D105*$B$7</f>
        <v>322690.264503215</v>
      </c>
      <c r="K105" s="43" t="n">
        <f aca="false">E105*$B$7</f>
        <v>200067.963991993</v>
      </c>
      <c r="L105" s="43" t="n">
        <f aca="false">F105*$B$7</f>
        <v>122622.300511222</v>
      </c>
      <c r="M105" s="43" t="n">
        <f aca="false">IF(I105="Actual",SUMIFS(Calc_Actuals!$N$2:$N$865,Calc_Actuals!$J$2:$J$865,G105,Calc_Actuals!$K$2:$K$865,O105,Calc_Actuals!$F$2:$F$865,B105,Calc_Actuals!$H$2:$H$865,C105,Calc_Actuals!$C$2:$C$865,"Actual"),0)</f>
        <v>0</v>
      </c>
      <c r="N105" s="43" t="n">
        <f aca="false">IF(I105="Actual",SUMIFS(Calc_Actuals!$P$2:$P$865,Calc_Actuals!$J$2:$J$865,G105,Calc_Actuals!$K$2:$K$865,O105,Calc_Actuals!$F$2:$F$865,B105,Calc_Actuals!$H$2:$H$865,C105,Calc_Actuals!$C$2:$C$865,"Actual"),0)</f>
        <v>0</v>
      </c>
      <c r="O105" s="42" t="n">
        <f aca="false">VALUE(RIGHT(A105,2))</f>
        <v>8</v>
      </c>
      <c r="P105" s="42" t="str">
        <f aca="false">A105&amp;"|"&amp;B105&amp;"|"&amp;C105</f>
        <v>2025-08|West|Foods</v>
      </c>
    </row>
    <row r="106" customFormat="false" ht="15" hidden="false" customHeight="false" outlineLevel="0" collapsed="false">
      <c r="A106" s="42" t="str">
        <f aca="false">Sales_Budget!A95</f>
        <v>2025-08</v>
      </c>
      <c r="B106" s="42" t="str">
        <f aca="false">Sales_Budget!B95</f>
        <v>East</v>
      </c>
      <c r="C106" s="42" t="str">
        <f aca="false">Sales_Budget!C95</f>
        <v>Home Care</v>
      </c>
      <c r="D106" s="43" t="n">
        <f aca="false">Sales_Budget!E95</f>
        <v>1205000</v>
      </c>
      <c r="E106" s="43" t="n">
        <f aca="false">Sales_Budget!F95</f>
        <v>747100</v>
      </c>
      <c r="F106" s="43" t="n">
        <f aca="false">Sales_Budget!G95</f>
        <v>457900</v>
      </c>
      <c r="G106" s="42" t="n">
        <f aca="false">VALUE(LEFT(A106,4))</f>
        <v>2025</v>
      </c>
      <c r="H106" s="42" t="n">
        <f aca="false">IF(COUNTIFS(Calc_Actuals!$F$2:$F$865,B106,Calc_Actuals!$H$2:$H$865,C106,Calc_Actuals!$C$2:$C$865,"Actual")&gt;0,1,0)</f>
        <v>1</v>
      </c>
      <c r="I106" s="42" t="str">
        <f aca="false">IFERROR(INDEX(Calendar!$E$2:$E$25,MATCH(A106,Calendar!$A$2:$A$25,0)),"UNMATCHED")</f>
        <v>Actual</v>
      </c>
      <c r="J106" s="43" t="n">
        <f aca="false">D106*$B$7</f>
        <v>306174.621044389</v>
      </c>
      <c r="K106" s="43" t="n">
        <f aca="false">E106*$B$7</f>
        <v>189828.265047521</v>
      </c>
      <c r="L106" s="43" t="n">
        <f aca="false">F106*$B$7</f>
        <v>116346.355996868</v>
      </c>
      <c r="M106" s="43" t="n">
        <f aca="false">IF(I106="Actual",SUMIFS(Calc_Actuals!$N$2:$N$865,Calc_Actuals!$J$2:$J$865,G106,Calc_Actuals!$K$2:$K$865,O106,Calc_Actuals!$F$2:$F$865,B106,Calc_Actuals!$H$2:$H$865,C106,Calc_Actuals!$C$2:$C$865,"Actual"),0)</f>
        <v>192148.97</v>
      </c>
      <c r="N106" s="43" t="n">
        <f aca="false">IF(I106="Actual",SUMIFS(Calc_Actuals!$P$2:$P$865,Calc_Actuals!$J$2:$J$865,G106,Calc_Actuals!$K$2:$K$865,O106,Calc_Actuals!$F$2:$F$865,B106,Calc_Actuals!$H$2:$H$865,C106,Calc_Actuals!$C$2:$C$865,"Actual"),0)</f>
        <v>79408.44</v>
      </c>
      <c r="O106" s="42" t="n">
        <f aca="false">VALUE(RIGHT(A106,2))</f>
        <v>8</v>
      </c>
      <c r="P106" s="42" t="str">
        <f aca="false">A106&amp;"|"&amp;B106&amp;"|"&amp;C106</f>
        <v>2025-08|East|Home Care</v>
      </c>
    </row>
    <row r="107" customFormat="false" ht="15" hidden="false" customHeight="false" outlineLevel="0" collapsed="false">
      <c r="A107" s="42" t="str">
        <f aca="false">Sales_Budget!A96</f>
        <v>2025-08</v>
      </c>
      <c r="B107" s="42" t="str">
        <f aca="false">Sales_Budget!B96</f>
        <v>East</v>
      </c>
      <c r="C107" s="42" t="str">
        <f aca="false">Sales_Budget!C96</f>
        <v>Personal Care</v>
      </c>
      <c r="D107" s="43" t="n">
        <f aca="false">Sales_Budget!E96</f>
        <v>1280000</v>
      </c>
      <c r="E107" s="43" t="n">
        <f aca="false">Sales_Budget!F96</f>
        <v>793600</v>
      </c>
      <c r="F107" s="43" t="n">
        <f aca="false">Sales_Budget!G96</f>
        <v>486400</v>
      </c>
      <c r="G107" s="42" t="n">
        <f aca="false">VALUE(LEFT(A107,4))</f>
        <v>2025</v>
      </c>
      <c r="H107" s="42" t="n">
        <f aca="false">IF(COUNTIFS(Calc_Actuals!$F$2:$F$865,B107,Calc_Actuals!$H$2:$H$865,C107,Calc_Actuals!$C$2:$C$865,"Actual")&gt;0,1,0)</f>
        <v>0</v>
      </c>
      <c r="I107" s="42" t="str">
        <f aca="false">IFERROR(INDEX(Calendar!$E$2:$E$25,MATCH(A107,Calendar!$A$2:$A$25,0)),"UNMATCHED")</f>
        <v>Actual</v>
      </c>
      <c r="J107" s="43" t="n">
        <f aca="false">D107*$B$7</f>
        <v>325231.13272765</v>
      </c>
      <c r="K107" s="43" t="n">
        <f aca="false">E107*$B$7</f>
        <v>201643.302291143</v>
      </c>
      <c r="L107" s="43" t="n">
        <f aca="false">F107*$B$7</f>
        <v>123587.830436507</v>
      </c>
      <c r="M107" s="43" t="n">
        <f aca="false">IF(I107="Actual",SUMIFS(Calc_Actuals!$N$2:$N$865,Calc_Actuals!$J$2:$J$865,G107,Calc_Actuals!$K$2:$K$865,O107,Calc_Actuals!$F$2:$F$865,B107,Calc_Actuals!$H$2:$H$865,C107,Calc_Actuals!$C$2:$C$865,"Actual"),0)</f>
        <v>0</v>
      </c>
      <c r="N107" s="43" t="n">
        <f aca="false">IF(I107="Actual",SUMIFS(Calc_Actuals!$P$2:$P$865,Calc_Actuals!$J$2:$J$865,G107,Calc_Actuals!$K$2:$K$865,O107,Calc_Actuals!$F$2:$F$865,B107,Calc_Actuals!$H$2:$H$865,C107,Calc_Actuals!$C$2:$C$865,"Actual"),0)</f>
        <v>0</v>
      </c>
      <c r="O107" s="42" t="n">
        <f aca="false">VALUE(RIGHT(A107,2))</f>
        <v>8</v>
      </c>
      <c r="P107" s="42" t="str">
        <f aca="false">A107&amp;"|"&amp;B107&amp;"|"&amp;C107</f>
        <v>2025-08|East|Personal Care</v>
      </c>
    </row>
    <row r="108" customFormat="false" ht="15" hidden="false" customHeight="false" outlineLevel="0" collapsed="false">
      <c r="A108" s="42" t="str">
        <f aca="false">Sales_Budget!A97</f>
        <v>2025-08</v>
      </c>
      <c r="B108" s="42" t="str">
        <f aca="false">Sales_Budget!B97</f>
        <v>East</v>
      </c>
      <c r="C108" s="42" t="str">
        <f aca="false">Sales_Budget!C97</f>
        <v>Foods</v>
      </c>
      <c r="D108" s="43" t="n">
        <f aca="false">Sales_Budget!E97</f>
        <v>1355000</v>
      </c>
      <c r="E108" s="43" t="n">
        <f aca="false">Sales_Budget!F97</f>
        <v>840100</v>
      </c>
      <c r="F108" s="43" t="n">
        <f aca="false">Sales_Budget!G97</f>
        <v>514900</v>
      </c>
      <c r="G108" s="42" t="n">
        <f aca="false">VALUE(LEFT(A108,4))</f>
        <v>2025</v>
      </c>
      <c r="H108" s="42" t="n">
        <f aca="false">IF(COUNTIFS(Calc_Actuals!$F$2:$F$865,B108,Calc_Actuals!$H$2:$H$865,C108,Calc_Actuals!$C$2:$C$865,"Actual")&gt;0,1,0)</f>
        <v>1</v>
      </c>
      <c r="I108" s="42" t="str">
        <f aca="false">IFERROR(INDEX(Calendar!$E$2:$E$25,MATCH(A108,Calendar!$A$2:$A$25,0)),"UNMATCHED")</f>
        <v>Actual</v>
      </c>
      <c r="J108" s="43" t="n">
        <f aca="false">D108*$B$7</f>
        <v>344287.644410911</v>
      </c>
      <c r="K108" s="43" t="n">
        <f aca="false">E108*$B$7</f>
        <v>213458.339534765</v>
      </c>
      <c r="L108" s="43" t="n">
        <f aca="false">F108*$B$7</f>
        <v>130829.304876146</v>
      </c>
      <c r="M108" s="43" t="n">
        <f aca="false">IF(I108="Actual",SUMIFS(Calc_Actuals!$N$2:$N$865,Calc_Actuals!$J$2:$J$865,G108,Calc_Actuals!$K$2:$K$865,O108,Calc_Actuals!$F$2:$F$865,B108,Calc_Actuals!$H$2:$H$865,C108,Calc_Actuals!$C$2:$C$865,"Actual"),0)</f>
        <v>212444.11</v>
      </c>
      <c r="N108" s="43" t="n">
        <f aca="false">IF(I108="Actual",SUMIFS(Calc_Actuals!$P$2:$P$865,Calc_Actuals!$J$2:$J$865,G108,Calc_Actuals!$K$2:$K$865,O108,Calc_Actuals!$F$2:$F$865,B108,Calc_Actuals!$H$2:$H$865,C108,Calc_Actuals!$C$2:$C$865,"Actual"),0)</f>
        <v>74749.34</v>
      </c>
      <c r="O108" s="42" t="n">
        <f aca="false">VALUE(RIGHT(A108,2))</f>
        <v>8</v>
      </c>
      <c r="P108" s="42" t="str">
        <f aca="false">A108&amp;"|"&amp;B108&amp;"|"&amp;C108</f>
        <v>2025-08|East|Foods</v>
      </c>
    </row>
    <row r="109" customFormat="false" ht="15" hidden="false" customHeight="false" outlineLevel="0" collapsed="false">
      <c r="A109" s="42" t="str">
        <f aca="false">Sales_Budget!A98</f>
        <v>2025-09</v>
      </c>
      <c r="B109" s="42" t="str">
        <f aca="false">Sales_Budget!B98</f>
        <v>South</v>
      </c>
      <c r="C109" s="42" t="str">
        <f aca="false">Sales_Budget!C98</f>
        <v>Home Care</v>
      </c>
      <c r="D109" s="43" t="n">
        <f aca="false">Sales_Budget!E98</f>
        <v>950000</v>
      </c>
      <c r="E109" s="43" t="n">
        <f aca="false">Sales_Budget!F98</f>
        <v>589000</v>
      </c>
      <c r="F109" s="43" t="n">
        <f aca="false">Sales_Budget!G98</f>
        <v>361000</v>
      </c>
      <c r="G109" s="42" t="n">
        <f aca="false">VALUE(LEFT(A109,4))</f>
        <v>2025</v>
      </c>
      <c r="H109" s="42" t="n">
        <f aca="false">IF(COUNTIFS(Calc_Actuals!$F$2:$F$865,B109,Calc_Actuals!$H$2:$H$865,C109,Calc_Actuals!$C$2:$C$865,"Actual")&gt;0,1,0)</f>
        <v>1</v>
      </c>
      <c r="I109" s="42" t="str">
        <f aca="false">IFERROR(INDEX(Calendar!$E$2:$E$25,MATCH(A109,Calendar!$A$2:$A$25,0)),"UNMATCHED")</f>
        <v>Actual</v>
      </c>
      <c r="J109" s="43" t="n">
        <f aca="false">D109*$B$7</f>
        <v>241382.481321303</v>
      </c>
      <c r="K109" s="43" t="n">
        <f aca="false">E109*$B$7</f>
        <v>149657.138419208</v>
      </c>
      <c r="L109" s="43" t="n">
        <f aca="false">F109*$B$7</f>
        <v>91725.342902095</v>
      </c>
      <c r="M109" s="43" t="n">
        <f aca="false">IF(I109="Actual",SUMIFS(Calc_Actuals!$N$2:$N$865,Calc_Actuals!$J$2:$J$865,G109,Calc_Actuals!$K$2:$K$865,O109,Calc_Actuals!$F$2:$F$865,B109,Calc_Actuals!$H$2:$H$865,C109,Calc_Actuals!$C$2:$C$865,"Actual"),0)</f>
        <v>288788.5</v>
      </c>
      <c r="N109" s="43" t="n">
        <f aca="false">IF(I109="Actual",SUMIFS(Calc_Actuals!$P$2:$P$865,Calc_Actuals!$J$2:$J$865,G109,Calc_Actuals!$K$2:$K$865,O109,Calc_Actuals!$F$2:$F$865,B109,Calc_Actuals!$H$2:$H$865,C109,Calc_Actuals!$C$2:$C$865,"Actual"),0)</f>
        <v>88019.22</v>
      </c>
      <c r="O109" s="42" t="n">
        <f aca="false">VALUE(RIGHT(A109,2))</f>
        <v>9</v>
      </c>
      <c r="P109" s="42" t="str">
        <f aca="false">A109&amp;"|"&amp;B109&amp;"|"&amp;C109</f>
        <v>2025-09|South|Home Care</v>
      </c>
    </row>
    <row r="110" customFormat="false" ht="15" hidden="false" customHeight="false" outlineLevel="0" collapsed="false">
      <c r="A110" s="42" t="str">
        <f aca="false">Sales_Budget!A99</f>
        <v>2025-09</v>
      </c>
      <c r="B110" s="42" t="str">
        <f aca="false">Sales_Budget!B99</f>
        <v>South</v>
      </c>
      <c r="C110" s="42" t="str">
        <f aca="false">Sales_Budget!C99</f>
        <v>Personal Care</v>
      </c>
      <c r="D110" s="43" t="n">
        <f aca="false">Sales_Budget!E99</f>
        <v>1025000</v>
      </c>
      <c r="E110" s="43" t="n">
        <f aca="false">Sales_Budget!F99</f>
        <v>635500</v>
      </c>
      <c r="F110" s="43" t="n">
        <f aca="false">Sales_Budget!G99</f>
        <v>389500</v>
      </c>
      <c r="G110" s="42" t="n">
        <f aca="false">VALUE(LEFT(A110,4))</f>
        <v>2025</v>
      </c>
      <c r="H110" s="42" t="n">
        <f aca="false">IF(COUNTIFS(Calc_Actuals!$F$2:$F$865,B110,Calc_Actuals!$H$2:$H$865,C110,Calc_Actuals!$C$2:$C$865,"Actual")&gt;0,1,0)</f>
        <v>0</v>
      </c>
      <c r="I110" s="42" t="str">
        <f aca="false">IFERROR(INDEX(Calendar!$E$2:$E$25,MATCH(A110,Calendar!$A$2:$A$25,0)),"UNMATCHED")</f>
        <v>Actual</v>
      </c>
      <c r="J110" s="43" t="n">
        <f aca="false">D110*$B$7</f>
        <v>260438.993004563</v>
      </c>
      <c r="K110" s="43" t="n">
        <f aca="false">E110*$B$7</f>
        <v>161472.175662829</v>
      </c>
      <c r="L110" s="43" t="n">
        <f aca="false">F110*$B$7</f>
        <v>98966.8173417341</v>
      </c>
      <c r="M110" s="43" t="n">
        <f aca="false">IF(I110="Actual",SUMIFS(Calc_Actuals!$N$2:$N$865,Calc_Actuals!$J$2:$J$865,G110,Calc_Actuals!$K$2:$K$865,O110,Calc_Actuals!$F$2:$F$865,B110,Calc_Actuals!$H$2:$H$865,C110,Calc_Actuals!$C$2:$C$865,"Actual"),0)</f>
        <v>0</v>
      </c>
      <c r="N110" s="43" t="n">
        <f aca="false">IF(I110="Actual",SUMIFS(Calc_Actuals!$P$2:$P$865,Calc_Actuals!$J$2:$J$865,G110,Calc_Actuals!$K$2:$K$865,O110,Calc_Actuals!$F$2:$F$865,B110,Calc_Actuals!$H$2:$H$865,C110,Calc_Actuals!$C$2:$C$865,"Actual"),0)</f>
        <v>0</v>
      </c>
      <c r="O110" s="42" t="n">
        <f aca="false">VALUE(RIGHT(A110,2))</f>
        <v>9</v>
      </c>
      <c r="P110" s="42" t="str">
        <f aca="false">A110&amp;"|"&amp;B110&amp;"|"&amp;C110</f>
        <v>2025-09|South|Personal Care</v>
      </c>
    </row>
    <row r="111" customFormat="false" ht="15" hidden="false" customHeight="false" outlineLevel="0" collapsed="false">
      <c r="A111" s="42" t="str">
        <f aca="false">Sales_Budget!A100</f>
        <v>2025-09</v>
      </c>
      <c r="B111" s="42" t="str">
        <f aca="false">Sales_Budget!B100</f>
        <v>South</v>
      </c>
      <c r="C111" s="42" t="str">
        <f aca="false">Sales_Budget!C100</f>
        <v>Foods</v>
      </c>
      <c r="D111" s="43" t="n">
        <f aca="false">Sales_Budget!E100</f>
        <v>1100000</v>
      </c>
      <c r="E111" s="43" t="n">
        <f aca="false">Sales_Budget!F100</f>
        <v>682000</v>
      </c>
      <c r="F111" s="43" t="n">
        <f aca="false">Sales_Budget!G100</f>
        <v>418000</v>
      </c>
      <c r="G111" s="42" t="n">
        <f aca="false">VALUE(LEFT(A111,4))</f>
        <v>2025</v>
      </c>
      <c r="H111" s="42" t="n">
        <f aca="false">IF(COUNTIFS(Calc_Actuals!$F$2:$F$865,B111,Calc_Actuals!$H$2:$H$865,C111,Calc_Actuals!$C$2:$C$865,"Actual")&gt;0,1,0)</f>
        <v>1</v>
      </c>
      <c r="I111" s="42" t="str">
        <f aca="false">IFERROR(INDEX(Calendar!$E$2:$E$25,MATCH(A111,Calendar!$A$2:$A$25,0)),"UNMATCHED")</f>
        <v>Actual</v>
      </c>
      <c r="J111" s="43" t="n">
        <f aca="false">D111*$B$7</f>
        <v>279495.504687824</v>
      </c>
      <c r="K111" s="43" t="n">
        <f aca="false">E111*$B$7</f>
        <v>173287.212906451</v>
      </c>
      <c r="L111" s="43" t="n">
        <f aca="false">F111*$B$7</f>
        <v>106208.291781373</v>
      </c>
      <c r="M111" s="43" t="n">
        <f aca="false">IF(I111="Actual",SUMIFS(Calc_Actuals!$N$2:$N$865,Calc_Actuals!$J$2:$J$865,G111,Calc_Actuals!$K$2:$K$865,O111,Calc_Actuals!$F$2:$F$865,B111,Calc_Actuals!$H$2:$H$865,C111,Calc_Actuals!$C$2:$C$865,"Actual"),0)</f>
        <v>109433.18</v>
      </c>
      <c r="N111" s="43" t="n">
        <f aca="false">IF(I111="Actual",SUMIFS(Calc_Actuals!$P$2:$P$865,Calc_Actuals!$J$2:$J$865,G111,Calc_Actuals!$K$2:$K$865,O111,Calc_Actuals!$F$2:$F$865,B111,Calc_Actuals!$H$2:$H$865,C111,Calc_Actuals!$C$2:$C$865,"Actual"),0)</f>
        <v>37957.49</v>
      </c>
      <c r="O111" s="42" t="n">
        <f aca="false">VALUE(RIGHT(A111,2))</f>
        <v>9</v>
      </c>
      <c r="P111" s="42" t="str">
        <f aca="false">A111&amp;"|"&amp;B111&amp;"|"&amp;C111</f>
        <v>2025-09|South|Foods</v>
      </c>
    </row>
    <row r="112" customFormat="false" ht="15" hidden="false" customHeight="false" outlineLevel="0" collapsed="false">
      <c r="A112" s="42" t="str">
        <f aca="false">Sales_Budget!A101</f>
        <v>2025-09</v>
      </c>
      <c r="B112" s="42" t="str">
        <f aca="false">Sales_Budget!B101</f>
        <v>North</v>
      </c>
      <c r="C112" s="42" t="str">
        <f aca="false">Sales_Budget!C101</f>
        <v>Home Care</v>
      </c>
      <c r="D112" s="43" t="n">
        <f aca="false">Sales_Budget!E101</f>
        <v>1035000</v>
      </c>
      <c r="E112" s="43" t="n">
        <f aca="false">Sales_Budget!F101</f>
        <v>641700</v>
      </c>
      <c r="F112" s="43" t="n">
        <f aca="false">Sales_Budget!G101</f>
        <v>393300</v>
      </c>
      <c r="G112" s="42" t="n">
        <f aca="false">VALUE(LEFT(A112,4))</f>
        <v>2025</v>
      </c>
      <c r="H112" s="42" t="n">
        <f aca="false">IF(COUNTIFS(Calc_Actuals!$F$2:$F$865,B112,Calc_Actuals!$H$2:$H$865,C112,Calc_Actuals!$C$2:$C$865,"Actual")&gt;0,1,0)</f>
        <v>0</v>
      </c>
      <c r="I112" s="42" t="str">
        <f aca="false">IFERROR(INDEX(Calendar!$E$2:$E$25,MATCH(A112,Calendar!$A$2:$A$25,0)),"UNMATCHED")</f>
        <v>Actual</v>
      </c>
      <c r="J112" s="43" t="n">
        <f aca="false">D112*$B$7</f>
        <v>262979.861228998</v>
      </c>
      <c r="K112" s="43" t="n">
        <f aca="false">E112*$B$7</f>
        <v>163047.513961979</v>
      </c>
      <c r="L112" s="43" t="n">
        <f aca="false">F112*$B$7</f>
        <v>99932.3472670193</v>
      </c>
      <c r="M112" s="43" t="n">
        <f aca="false">IF(I112="Actual",SUMIFS(Calc_Actuals!$N$2:$N$865,Calc_Actuals!$J$2:$J$865,G112,Calc_Actuals!$K$2:$K$865,O112,Calc_Actuals!$F$2:$F$865,B112,Calc_Actuals!$H$2:$H$865,C112,Calc_Actuals!$C$2:$C$865,"Actual"),0)</f>
        <v>0</v>
      </c>
      <c r="N112" s="43" t="n">
        <f aca="false">IF(I112="Actual",SUMIFS(Calc_Actuals!$P$2:$P$865,Calc_Actuals!$J$2:$J$865,G112,Calc_Actuals!$K$2:$K$865,O112,Calc_Actuals!$F$2:$F$865,B112,Calc_Actuals!$H$2:$H$865,C112,Calc_Actuals!$C$2:$C$865,"Actual"),0)</f>
        <v>0</v>
      </c>
      <c r="O112" s="42" t="n">
        <f aca="false">VALUE(RIGHT(A112,2))</f>
        <v>9</v>
      </c>
      <c r="P112" s="42" t="str">
        <f aca="false">A112&amp;"|"&amp;B112&amp;"|"&amp;C112</f>
        <v>2025-09|North|Home Care</v>
      </c>
    </row>
    <row r="113" customFormat="false" ht="15" hidden="false" customHeight="false" outlineLevel="0" collapsed="false">
      <c r="A113" s="42" t="str">
        <f aca="false">Sales_Budget!A102</f>
        <v>2025-09</v>
      </c>
      <c r="B113" s="42" t="str">
        <f aca="false">Sales_Budget!B102</f>
        <v>North</v>
      </c>
      <c r="C113" s="42" t="str">
        <f aca="false">Sales_Budget!C102</f>
        <v>Personal Care</v>
      </c>
      <c r="D113" s="43" t="n">
        <f aca="false">Sales_Budget!E102</f>
        <v>1110000</v>
      </c>
      <c r="E113" s="43" t="n">
        <f aca="false">Sales_Budget!F102</f>
        <v>688200</v>
      </c>
      <c r="F113" s="43" t="n">
        <f aca="false">Sales_Budget!G102</f>
        <v>421800</v>
      </c>
      <c r="G113" s="42" t="n">
        <f aca="false">VALUE(LEFT(A113,4))</f>
        <v>2025</v>
      </c>
      <c r="H113" s="42" t="n">
        <f aca="false">IF(COUNTIFS(Calc_Actuals!$F$2:$F$865,B113,Calc_Actuals!$H$2:$H$865,C113,Calc_Actuals!$C$2:$C$865,"Actual")&gt;0,1,0)</f>
        <v>1</v>
      </c>
      <c r="I113" s="42" t="str">
        <f aca="false">IFERROR(INDEX(Calendar!$E$2:$E$25,MATCH(A113,Calendar!$A$2:$A$25,0)),"UNMATCHED")</f>
        <v>Actual</v>
      </c>
      <c r="J113" s="43" t="n">
        <f aca="false">D113*$B$7</f>
        <v>282036.372912259</v>
      </c>
      <c r="K113" s="43" t="n">
        <f aca="false">E113*$B$7</f>
        <v>174862.551205601</v>
      </c>
      <c r="L113" s="43" t="n">
        <f aca="false">F113*$B$7</f>
        <v>107173.821706658</v>
      </c>
      <c r="M113" s="43" t="n">
        <f aca="false">IF(I113="Actual",SUMIFS(Calc_Actuals!$N$2:$N$865,Calc_Actuals!$J$2:$J$865,G113,Calc_Actuals!$K$2:$K$865,O113,Calc_Actuals!$F$2:$F$865,B113,Calc_Actuals!$H$2:$H$865,C113,Calc_Actuals!$C$2:$C$865,"Actual"),0)</f>
        <v>585609.12</v>
      </c>
      <c r="N113" s="43" t="n">
        <f aca="false">IF(I113="Actual",SUMIFS(Calc_Actuals!$P$2:$P$865,Calc_Actuals!$J$2:$J$865,G113,Calc_Actuals!$K$2:$K$865,O113,Calc_Actuals!$F$2:$F$865,B113,Calc_Actuals!$H$2:$H$865,C113,Calc_Actuals!$C$2:$C$865,"Actual"),0)</f>
        <v>221915.34</v>
      </c>
      <c r="O113" s="42" t="n">
        <f aca="false">VALUE(RIGHT(A113,2))</f>
        <v>9</v>
      </c>
      <c r="P113" s="42" t="str">
        <f aca="false">A113&amp;"|"&amp;B113&amp;"|"&amp;C113</f>
        <v>2025-09|North|Personal Care</v>
      </c>
    </row>
    <row r="114" customFormat="false" ht="15" hidden="false" customHeight="false" outlineLevel="0" collapsed="false">
      <c r="A114" s="42" t="str">
        <f aca="false">Sales_Budget!A103</f>
        <v>2025-09</v>
      </c>
      <c r="B114" s="42" t="str">
        <f aca="false">Sales_Budget!B103</f>
        <v>North</v>
      </c>
      <c r="C114" s="42" t="str">
        <f aca="false">Sales_Budget!C103</f>
        <v>Foods</v>
      </c>
      <c r="D114" s="43" t="n">
        <f aca="false">Sales_Budget!E103</f>
        <v>1185000</v>
      </c>
      <c r="E114" s="43" t="n">
        <f aca="false">Sales_Budget!F103</f>
        <v>734700</v>
      </c>
      <c r="F114" s="43" t="n">
        <f aca="false">Sales_Budget!G103</f>
        <v>450300</v>
      </c>
      <c r="G114" s="42" t="n">
        <f aca="false">VALUE(LEFT(A114,4))</f>
        <v>2025</v>
      </c>
      <c r="H114" s="42" t="n">
        <f aca="false">IF(COUNTIFS(Calc_Actuals!$F$2:$F$865,B114,Calc_Actuals!$H$2:$H$865,C114,Calc_Actuals!$C$2:$C$865,"Actual")&gt;0,1,0)</f>
        <v>0</v>
      </c>
      <c r="I114" s="42" t="str">
        <f aca="false">IFERROR(INDEX(Calendar!$E$2:$E$25,MATCH(A114,Calendar!$A$2:$A$25,0)),"UNMATCHED")</f>
        <v>Actual</v>
      </c>
      <c r="J114" s="43" t="n">
        <f aca="false">D114*$B$7</f>
        <v>301092.88459552</v>
      </c>
      <c r="K114" s="43" t="n">
        <f aca="false">E114*$B$7</f>
        <v>186677.588449222</v>
      </c>
      <c r="L114" s="43" t="n">
        <f aca="false">F114*$B$7</f>
        <v>114415.296146297</v>
      </c>
      <c r="M114" s="43" t="n">
        <f aca="false">IF(I114="Actual",SUMIFS(Calc_Actuals!$N$2:$N$865,Calc_Actuals!$J$2:$J$865,G114,Calc_Actuals!$K$2:$K$865,O114,Calc_Actuals!$F$2:$F$865,B114,Calc_Actuals!$H$2:$H$865,C114,Calc_Actuals!$C$2:$C$865,"Actual"),0)</f>
        <v>0</v>
      </c>
      <c r="N114" s="43" t="n">
        <f aca="false">IF(I114="Actual",SUMIFS(Calc_Actuals!$P$2:$P$865,Calc_Actuals!$J$2:$J$865,G114,Calc_Actuals!$K$2:$K$865,O114,Calc_Actuals!$F$2:$F$865,B114,Calc_Actuals!$H$2:$H$865,C114,Calc_Actuals!$C$2:$C$865,"Actual"),0)</f>
        <v>0</v>
      </c>
      <c r="O114" s="42" t="n">
        <f aca="false">VALUE(RIGHT(A114,2))</f>
        <v>9</v>
      </c>
      <c r="P114" s="42" t="str">
        <f aca="false">A114&amp;"|"&amp;B114&amp;"|"&amp;C114</f>
        <v>2025-09|North|Foods</v>
      </c>
    </row>
    <row r="115" customFormat="false" ht="15" hidden="false" customHeight="false" outlineLevel="0" collapsed="false">
      <c r="A115" s="42" t="str">
        <f aca="false">Sales_Budget!A104</f>
        <v>2025-09</v>
      </c>
      <c r="B115" s="42" t="str">
        <f aca="false">Sales_Budget!B104</f>
        <v>West</v>
      </c>
      <c r="C115" s="42" t="str">
        <f aca="false">Sales_Budget!C104</f>
        <v>Home Care</v>
      </c>
      <c r="D115" s="43" t="n">
        <f aca="false">Sales_Budget!E104</f>
        <v>1120000</v>
      </c>
      <c r="E115" s="43" t="n">
        <f aca="false">Sales_Budget!F104</f>
        <v>694400</v>
      </c>
      <c r="F115" s="43" t="n">
        <f aca="false">Sales_Budget!G104</f>
        <v>425600</v>
      </c>
      <c r="G115" s="42" t="n">
        <f aca="false">VALUE(LEFT(A115,4))</f>
        <v>2025</v>
      </c>
      <c r="H115" s="42" t="n">
        <f aca="false">IF(COUNTIFS(Calc_Actuals!$F$2:$F$865,B115,Calc_Actuals!$H$2:$H$865,C115,Calc_Actuals!$C$2:$C$865,"Actual")&gt;0,1,0)</f>
        <v>1</v>
      </c>
      <c r="I115" s="42" t="str">
        <f aca="false">IFERROR(INDEX(Calendar!$E$2:$E$25,MATCH(A115,Calendar!$A$2:$A$25,0)),"UNMATCHED")</f>
        <v>Actual</v>
      </c>
      <c r="J115" s="43" t="n">
        <f aca="false">D115*$B$7</f>
        <v>284577.241136694</v>
      </c>
      <c r="K115" s="43" t="n">
        <f aca="false">E115*$B$7</f>
        <v>176437.88950475</v>
      </c>
      <c r="L115" s="43" t="n">
        <f aca="false">F115*$B$7</f>
        <v>108139.351631944</v>
      </c>
      <c r="M115" s="43" t="n">
        <f aca="false">IF(I115="Actual",SUMIFS(Calc_Actuals!$N$2:$N$865,Calc_Actuals!$J$2:$J$865,G115,Calc_Actuals!$K$2:$K$865,O115,Calc_Actuals!$F$2:$F$865,B115,Calc_Actuals!$H$2:$H$865,C115,Calc_Actuals!$C$2:$C$865,"Actual"),0)</f>
        <v>204141.5</v>
      </c>
      <c r="N115" s="43" t="n">
        <f aca="false">IF(I115="Actual",SUMIFS(Calc_Actuals!$P$2:$P$865,Calc_Actuals!$J$2:$J$865,G115,Calc_Actuals!$K$2:$K$865,O115,Calc_Actuals!$F$2:$F$865,B115,Calc_Actuals!$H$2:$H$865,C115,Calc_Actuals!$C$2:$C$865,"Actual"),0)</f>
        <v>76989.94</v>
      </c>
      <c r="O115" s="42" t="n">
        <f aca="false">VALUE(RIGHT(A115,2))</f>
        <v>9</v>
      </c>
      <c r="P115" s="42" t="str">
        <f aca="false">A115&amp;"|"&amp;B115&amp;"|"&amp;C115</f>
        <v>2025-09|West|Home Care</v>
      </c>
    </row>
    <row r="116" customFormat="false" ht="15" hidden="false" customHeight="false" outlineLevel="0" collapsed="false">
      <c r="A116" s="42" t="str">
        <f aca="false">Sales_Budget!A105</f>
        <v>2025-09</v>
      </c>
      <c r="B116" s="42" t="str">
        <f aca="false">Sales_Budget!B105</f>
        <v>West</v>
      </c>
      <c r="C116" s="42" t="str">
        <f aca="false">Sales_Budget!C105</f>
        <v>Personal Care</v>
      </c>
      <c r="D116" s="43" t="n">
        <f aca="false">Sales_Budget!E105</f>
        <v>1195000</v>
      </c>
      <c r="E116" s="43" t="n">
        <f aca="false">Sales_Budget!F105</f>
        <v>740900</v>
      </c>
      <c r="F116" s="43" t="n">
        <f aca="false">Sales_Budget!G105</f>
        <v>454100</v>
      </c>
      <c r="G116" s="42" t="n">
        <f aca="false">VALUE(LEFT(A116,4))</f>
        <v>2025</v>
      </c>
      <c r="H116" s="42" t="n">
        <f aca="false">IF(COUNTIFS(Calc_Actuals!$F$2:$F$865,B116,Calc_Actuals!$H$2:$H$865,C116,Calc_Actuals!$C$2:$C$865,"Actual")&gt;0,1,0)</f>
        <v>1</v>
      </c>
      <c r="I116" s="42" t="str">
        <f aca="false">IFERROR(INDEX(Calendar!$E$2:$E$25,MATCH(A116,Calendar!$A$2:$A$25,0)),"UNMATCHED")</f>
        <v>Actual</v>
      </c>
      <c r="J116" s="43" t="n">
        <f aca="false">D116*$B$7</f>
        <v>303633.752819954</v>
      </c>
      <c r="K116" s="43" t="n">
        <f aca="false">E116*$B$7</f>
        <v>188252.926748372</v>
      </c>
      <c r="L116" s="43" t="n">
        <f aca="false">F116*$B$7</f>
        <v>115380.826071583</v>
      </c>
      <c r="M116" s="43" t="n">
        <f aca="false">IF(I116="Actual",SUMIFS(Calc_Actuals!$N$2:$N$865,Calc_Actuals!$J$2:$J$865,G116,Calc_Actuals!$K$2:$K$865,O116,Calc_Actuals!$F$2:$F$865,B116,Calc_Actuals!$H$2:$H$865,C116,Calc_Actuals!$C$2:$C$865,"Actual"),0)</f>
        <v>367389.05</v>
      </c>
      <c r="N116" s="43" t="n">
        <f aca="false">IF(I116="Actual",SUMIFS(Calc_Actuals!$P$2:$P$865,Calc_Actuals!$J$2:$J$865,G116,Calc_Actuals!$K$2:$K$865,O116,Calc_Actuals!$F$2:$F$865,B116,Calc_Actuals!$H$2:$H$865,C116,Calc_Actuals!$C$2:$C$865,"Actual"),0)</f>
        <v>135062.88</v>
      </c>
      <c r="O116" s="42" t="n">
        <f aca="false">VALUE(RIGHT(A116,2))</f>
        <v>9</v>
      </c>
      <c r="P116" s="42" t="str">
        <f aca="false">A116&amp;"|"&amp;B116&amp;"|"&amp;C116</f>
        <v>2025-09|West|Personal Care</v>
      </c>
    </row>
    <row r="117" customFormat="false" ht="15" hidden="false" customHeight="false" outlineLevel="0" collapsed="false">
      <c r="A117" s="42" t="str">
        <f aca="false">Sales_Budget!A106</f>
        <v>2025-09</v>
      </c>
      <c r="B117" s="42" t="str">
        <f aca="false">Sales_Budget!B106</f>
        <v>West</v>
      </c>
      <c r="C117" s="42" t="str">
        <f aca="false">Sales_Budget!C106</f>
        <v>Foods</v>
      </c>
      <c r="D117" s="43" t="n">
        <f aca="false">Sales_Budget!E106</f>
        <v>1270000</v>
      </c>
      <c r="E117" s="43" t="n">
        <f aca="false">Sales_Budget!F106</f>
        <v>787400</v>
      </c>
      <c r="F117" s="43" t="n">
        <f aca="false">Sales_Budget!G106</f>
        <v>482600</v>
      </c>
      <c r="G117" s="42" t="n">
        <f aca="false">VALUE(LEFT(A117,4))</f>
        <v>2025</v>
      </c>
      <c r="H117" s="42" t="n">
        <f aca="false">IF(COUNTIFS(Calc_Actuals!$F$2:$F$865,B117,Calc_Actuals!$H$2:$H$865,C117,Calc_Actuals!$C$2:$C$865,"Actual")&gt;0,1,0)</f>
        <v>0</v>
      </c>
      <c r="I117" s="42" t="str">
        <f aca="false">IFERROR(INDEX(Calendar!$E$2:$E$25,MATCH(A117,Calendar!$A$2:$A$25,0)),"UNMATCHED")</f>
        <v>Actual</v>
      </c>
      <c r="J117" s="43" t="n">
        <f aca="false">D117*$B$7</f>
        <v>322690.264503215</v>
      </c>
      <c r="K117" s="43" t="n">
        <f aca="false">E117*$B$7</f>
        <v>200067.963991993</v>
      </c>
      <c r="L117" s="43" t="n">
        <f aca="false">F117*$B$7</f>
        <v>122622.300511222</v>
      </c>
      <c r="M117" s="43" t="n">
        <f aca="false">IF(I117="Actual",SUMIFS(Calc_Actuals!$N$2:$N$865,Calc_Actuals!$J$2:$J$865,G117,Calc_Actuals!$K$2:$K$865,O117,Calc_Actuals!$F$2:$F$865,B117,Calc_Actuals!$H$2:$H$865,C117,Calc_Actuals!$C$2:$C$865,"Actual"),0)</f>
        <v>0</v>
      </c>
      <c r="N117" s="43" t="n">
        <f aca="false">IF(I117="Actual",SUMIFS(Calc_Actuals!$P$2:$P$865,Calc_Actuals!$J$2:$J$865,G117,Calc_Actuals!$K$2:$K$865,O117,Calc_Actuals!$F$2:$F$865,B117,Calc_Actuals!$H$2:$H$865,C117,Calc_Actuals!$C$2:$C$865,"Actual"),0)</f>
        <v>0</v>
      </c>
      <c r="O117" s="42" t="n">
        <f aca="false">VALUE(RIGHT(A117,2))</f>
        <v>9</v>
      </c>
      <c r="P117" s="42" t="str">
        <f aca="false">A117&amp;"|"&amp;B117&amp;"|"&amp;C117</f>
        <v>2025-09|West|Foods</v>
      </c>
    </row>
    <row r="118" customFormat="false" ht="15" hidden="false" customHeight="false" outlineLevel="0" collapsed="false">
      <c r="A118" s="42" t="str">
        <f aca="false">Sales_Budget!A107</f>
        <v>2025-09</v>
      </c>
      <c r="B118" s="42" t="str">
        <f aca="false">Sales_Budget!B107</f>
        <v>East</v>
      </c>
      <c r="C118" s="42" t="str">
        <f aca="false">Sales_Budget!C107</f>
        <v>Home Care</v>
      </c>
      <c r="D118" s="43" t="n">
        <f aca="false">Sales_Budget!E107</f>
        <v>1205000</v>
      </c>
      <c r="E118" s="43" t="n">
        <f aca="false">Sales_Budget!F107</f>
        <v>747100</v>
      </c>
      <c r="F118" s="43" t="n">
        <f aca="false">Sales_Budget!G107</f>
        <v>457900</v>
      </c>
      <c r="G118" s="42" t="n">
        <f aca="false">VALUE(LEFT(A118,4))</f>
        <v>2025</v>
      </c>
      <c r="H118" s="42" t="n">
        <f aca="false">IF(COUNTIFS(Calc_Actuals!$F$2:$F$865,B118,Calc_Actuals!$H$2:$H$865,C118,Calc_Actuals!$C$2:$C$865,"Actual")&gt;0,1,0)</f>
        <v>1</v>
      </c>
      <c r="I118" s="42" t="str">
        <f aca="false">IFERROR(INDEX(Calendar!$E$2:$E$25,MATCH(A118,Calendar!$A$2:$A$25,0)),"UNMATCHED")</f>
        <v>Actual</v>
      </c>
      <c r="J118" s="43" t="n">
        <f aca="false">D118*$B$7</f>
        <v>306174.621044389</v>
      </c>
      <c r="K118" s="43" t="n">
        <f aca="false">E118*$B$7</f>
        <v>189828.265047521</v>
      </c>
      <c r="L118" s="43" t="n">
        <f aca="false">F118*$B$7</f>
        <v>116346.355996868</v>
      </c>
      <c r="M118" s="43" t="n">
        <f aca="false">IF(I118="Actual",SUMIFS(Calc_Actuals!$N$2:$N$865,Calc_Actuals!$J$2:$J$865,G118,Calc_Actuals!$K$2:$K$865,O118,Calc_Actuals!$F$2:$F$865,B118,Calc_Actuals!$H$2:$H$865,C118,Calc_Actuals!$C$2:$C$865,"Actual"),0)</f>
        <v>181022.02</v>
      </c>
      <c r="N118" s="43" t="n">
        <f aca="false">IF(I118="Actual",SUMIFS(Calc_Actuals!$P$2:$P$865,Calc_Actuals!$J$2:$J$865,G118,Calc_Actuals!$K$2:$K$865,O118,Calc_Actuals!$F$2:$F$865,B118,Calc_Actuals!$H$2:$H$865,C118,Calc_Actuals!$C$2:$C$865,"Actual"),0)</f>
        <v>76633.18</v>
      </c>
      <c r="O118" s="42" t="n">
        <f aca="false">VALUE(RIGHT(A118,2))</f>
        <v>9</v>
      </c>
      <c r="P118" s="42" t="str">
        <f aca="false">A118&amp;"|"&amp;B118&amp;"|"&amp;C118</f>
        <v>2025-09|East|Home Care</v>
      </c>
    </row>
    <row r="119" customFormat="false" ht="15" hidden="false" customHeight="false" outlineLevel="0" collapsed="false">
      <c r="A119" s="42" t="str">
        <f aca="false">Sales_Budget!A108</f>
        <v>2025-09</v>
      </c>
      <c r="B119" s="42" t="str">
        <f aca="false">Sales_Budget!B108</f>
        <v>East</v>
      </c>
      <c r="C119" s="42" t="str">
        <f aca="false">Sales_Budget!C108</f>
        <v>Personal Care</v>
      </c>
      <c r="D119" s="43" t="n">
        <f aca="false">Sales_Budget!E108</f>
        <v>1280000</v>
      </c>
      <c r="E119" s="43" t="n">
        <f aca="false">Sales_Budget!F108</f>
        <v>793600</v>
      </c>
      <c r="F119" s="43" t="n">
        <f aca="false">Sales_Budget!G108</f>
        <v>486400</v>
      </c>
      <c r="G119" s="42" t="n">
        <f aca="false">VALUE(LEFT(A119,4))</f>
        <v>2025</v>
      </c>
      <c r="H119" s="42" t="n">
        <f aca="false">IF(COUNTIFS(Calc_Actuals!$F$2:$F$865,B119,Calc_Actuals!$H$2:$H$865,C119,Calc_Actuals!$C$2:$C$865,"Actual")&gt;0,1,0)</f>
        <v>0</v>
      </c>
      <c r="I119" s="42" t="str">
        <f aca="false">IFERROR(INDEX(Calendar!$E$2:$E$25,MATCH(A119,Calendar!$A$2:$A$25,0)),"UNMATCHED")</f>
        <v>Actual</v>
      </c>
      <c r="J119" s="43" t="n">
        <f aca="false">D119*$B$7</f>
        <v>325231.13272765</v>
      </c>
      <c r="K119" s="43" t="n">
        <f aca="false">E119*$B$7</f>
        <v>201643.302291143</v>
      </c>
      <c r="L119" s="43" t="n">
        <f aca="false">F119*$B$7</f>
        <v>123587.830436507</v>
      </c>
      <c r="M119" s="43" t="n">
        <f aca="false">IF(I119="Actual",SUMIFS(Calc_Actuals!$N$2:$N$865,Calc_Actuals!$J$2:$J$865,G119,Calc_Actuals!$K$2:$K$865,O119,Calc_Actuals!$F$2:$F$865,B119,Calc_Actuals!$H$2:$H$865,C119,Calc_Actuals!$C$2:$C$865,"Actual"),0)</f>
        <v>0</v>
      </c>
      <c r="N119" s="43" t="n">
        <f aca="false">IF(I119="Actual",SUMIFS(Calc_Actuals!$P$2:$P$865,Calc_Actuals!$J$2:$J$865,G119,Calc_Actuals!$K$2:$K$865,O119,Calc_Actuals!$F$2:$F$865,B119,Calc_Actuals!$H$2:$H$865,C119,Calc_Actuals!$C$2:$C$865,"Actual"),0)</f>
        <v>0</v>
      </c>
      <c r="O119" s="42" t="n">
        <f aca="false">VALUE(RIGHT(A119,2))</f>
        <v>9</v>
      </c>
      <c r="P119" s="42" t="str">
        <f aca="false">A119&amp;"|"&amp;B119&amp;"|"&amp;C119</f>
        <v>2025-09|East|Personal Care</v>
      </c>
    </row>
    <row r="120" customFormat="false" ht="15" hidden="false" customHeight="false" outlineLevel="0" collapsed="false">
      <c r="A120" s="42" t="str">
        <f aca="false">Sales_Budget!A109</f>
        <v>2025-09</v>
      </c>
      <c r="B120" s="42" t="str">
        <f aca="false">Sales_Budget!B109</f>
        <v>East</v>
      </c>
      <c r="C120" s="42" t="str">
        <f aca="false">Sales_Budget!C109</f>
        <v>Foods</v>
      </c>
      <c r="D120" s="43" t="n">
        <f aca="false">Sales_Budget!E109</f>
        <v>1355000</v>
      </c>
      <c r="E120" s="43" t="n">
        <f aca="false">Sales_Budget!F109</f>
        <v>840100</v>
      </c>
      <c r="F120" s="43" t="n">
        <f aca="false">Sales_Budget!G109</f>
        <v>514900</v>
      </c>
      <c r="G120" s="42" t="n">
        <f aca="false">VALUE(LEFT(A120,4))</f>
        <v>2025</v>
      </c>
      <c r="H120" s="42" t="n">
        <f aca="false">IF(COUNTIFS(Calc_Actuals!$F$2:$F$865,B120,Calc_Actuals!$H$2:$H$865,C120,Calc_Actuals!$C$2:$C$865,"Actual")&gt;0,1,0)</f>
        <v>1</v>
      </c>
      <c r="I120" s="42" t="str">
        <f aca="false">IFERROR(INDEX(Calendar!$E$2:$E$25,MATCH(A120,Calendar!$A$2:$A$25,0)),"UNMATCHED")</f>
        <v>Actual</v>
      </c>
      <c r="J120" s="43" t="n">
        <f aca="false">D120*$B$7</f>
        <v>344287.644410911</v>
      </c>
      <c r="K120" s="43" t="n">
        <f aca="false">E120*$B$7</f>
        <v>213458.339534765</v>
      </c>
      <c r="L120" s="43" t="n">
        <f aca="false">F120*$B$7</f>
        <v>130829.304876146</v>
      </c>
      <c r="M120" s="43" t="n">
        <f aca="false">IF(I120="Actual",SUMIFS(Calc_Actuals!$N$2:$N$865,Calc_Actuals!$J$2:$J$865,G120,Calc_Actuals!$K$2:$K$865,O120,Calc_Actuals!$F$2:$F$865,B120,Calc_Actuals!$H$2:$H$865,C120,Calc_Actuals!$C$2:$C$865,"Actual"),0)</f>
        <v>251354.97</v>
      </c>
      <c r="N120" s="43" t="n">
        <f aca="false">IF(I120="Actual",SUMIFS(Calc_Actuals!$P$2:$P$865,Calc_Actuals!$J$2:$J$865,G120,Calc_Actuals!$K$2:$K$865,O120,Calc_Actuals!$F$2:$F$865,B120,Calc_Actuals!$H$2:$H$865,C120,Calc_Actuals!$C$2:$C$865,"Actual"),0)</f>
        <v>90021.24</v>
      </c>
      <c r="O120" s="42" t="n">
        <f aca="false">VALUE(RIGHT(A120,2))</f>
        <v>9</v>
      </c>
      <c r="P120" s="42" t="str">
        <f aca="false">A120&amp;"|"&amp;B120&amp;"|"&amp;C120</f>
        <v>2025-09|East|Foods</v>
      </c>
    </row>
    <row r="121" customFormat="false" ht="15" hidden="false" customHeight="false" outlineLevel="0" collapsed="false">
      <c r="A121" s="42" t="str">
        <f aca="false">Sales_Budget!A110</f>
        <v>2025-10</v>
      </c>
      <c r="B121" s="42" t="str">
        <f aca="false">Sales_Budget!B110</f>
        <v>South</v>
      </c>
      <c r="C121" s="42" t="str">
        <f aca="false">Sales_Budget!C110</f>
        <v>Home Care</v>
      </c>
      <c r="D121" s="43" t="n">
        <f aca="false">Sales_Budget!E110</f>
        <v>950000</v>
      </c>
      <c r="E121" s="43" t="n">
        <f aca="false">Sales_Budget!F110</f>
        <v>589000</v>
      </c>
      <c r="F121" s="43" t="n">
        <f aca="false">Sales_Budget!G110</f>
        <v>361000</v>
      </c>
      <c r="G121" s="42" t="n">
        <f aca="false">VALUE(LEFT(A121,4))</f>
        <v>2025</v>
      </c>
      <c r="H121" s="42" t="n">
        <f aca="false">IF(COUNTIFS(Calc_Actuals!$F$2:$F$865,B121,Calc_Actuals!$H$2:$H$865,C121,Calc_Actuals!$C$2:$C$865,"Actual")&gt;0,1,0)</f>
        <v>1</v>
      </c>
      <c r="I121" s="42" t="str">
        <f aca="false">IFERROR(INDEX(Calendar!$E$2:$E$25,MATCH(A121,Calendar!$A$2:$A$25,0)),"UNMATCHED")</f>
        <v>Actual</v>
      </c>
      <c r="J121" s="43" t="n">
        <f aca="false">D121*$B$7</f>
        <v>241382.481321303</v>
      </c>
      <c r="K121" s="43" t="n">
        <f aca="false">E121*$B$7</f>
        <v>149657.138419208</v>
      </c>
      <c r="L121" s="43" t="n">
        <f aca="false">F121*$B$7</f>
        <v>91725.342902095</v>
      </c>
      <c r="M121" s="43" t="n">
        <f aca="false">IF(I121="Actual",SUMIFS(Calc_Actuals!$N$2:$N$865,Calc_Actuals!$J$2:$J$865,G121,Calc_Actuals!$K$2:$K$865,O121,Calc_Actuals!$F$2:$F$865,B121,Calc_Actuals!$H$2:$H$865,C121,Calc_Actuals!$C$2:$C$865,"Actual"),0)</f>
        <v>306476.98</v>
      </c>
      <c r="N121" s="43" t="n">
        <f aca="false">IF(I121="Actual",SUMIFS(Calc_Actuals!$P$2:$P$865,Calc_Actuals!$J$2:$J$865,G121,Calc_Actuals!$K$2:$K$865,O121,Calc_Actuals!$F$2:$F$865,B121,Calc_Actuals!$H$2:$H$865,C121,Calc_Actuals!$C$2:$C$865,"Actual"),0)</f>
        <v>93740.01</v>
      </c>
      <c r="O121" s="42" t="n">
        <f aca="false">VALUE(RIGHT(A121,2))</f>
        <v>10</v>
      </c>
      <c r="P121" s="42" t="str">
        <f aca="false">A121&amp;"|"&amp;B121&amp;"|"&amp;C121</f>
        <v>2025-10|South|Home Care</v>
      </c>
    </row>
    <row r="122" customFormat="false" ht="15" hidden="false" customHeight="false" outlineLevel="0" collapsed="false">
      <c r="A122" s="42" t="str">
        <f aca="false">Sales_Budget!A111</f>
        <v>2025-10</v>
      </c>
      <c r="B122" s="42" t="str">
        <f aca="false">Sales_Budget!B111</f>
        <v>South</v>
      </c>
      <c r="C122" s="42" t="str">
        <f aca="false">Sales_Budget!C111</f>
        <v>Personal Care</v>
      </c>
      <c r="D122" s="43" t="n">
        <f aca="false">Sales_Budget!E111</f>
        <v>1025000</v>
      </c>
      <c r="E122" s="43" t="n">
        <f aca="false">Sales_Budget!F111</f>
        <v>635500</v>
      </c>
      <c r="F122" s="43" t="n">
        <f aca="false">Sales_Budget!G111</f>
        <v>389500</v>
      </c>
      <c r="G122" s="42" t="n">
        <f aca="false">VALUE(LEFT(A122,4))</f>
        <v>2025</v>
      </c>
      <c r="H122" s="42" t="n">
        <f aca="false">IF(COUNTIFS(Calc_Actuals!$F$2:$F$865,B122,Calc_Actuals!$H$2:$H$865,C122,Calc_Actuals!$C$2:$C$865,"Actual")&gt;0,1,0)</f>
        <v>0</v>
      </c>
      <c r="I122" s="42" t="str">
        <f aca="false">IFERROR(INDEX(Calendar!$E$2:$E$25,MATCH(A122,Calendar!$A$2:$A$25,0)),"UNMATCHED")</f>
        <v>Actual</v>
      </c>
      <c r="J122" s="43" t="n">
        <f aca="false">D122*$B$7</f>
        <v>260438.993004563</v>
      </c>
      <c r="K122" s="43" t="n">
        <f aca="false">E122*$B$7</f>
        <v>161472.175662829</v>
      </c>
      <c r="L122" s="43" t="n">
        <f aca="false">F122*$B$7</f>
        <v>98966.8173417341</v>
      </c>
      <c r="M122" s="43" t="n">
        <f aca="false">IF(I122="Actual",SUMIFS(Calc_Actuals!$N$2:$N$865,Calc_Actuals!$J$2:$J$865,G122,Calc_Actuals!$K$2:$K$865,O122,Calc_Actuals!$F$2:$F$865,B122,Calc_Actuals!$H$2:$H$865,C122,Calc_Actuals!$C$2:$C$865,"Actual"),0)</f>
        <v>0</v>
      </c>
      <c r="N122" s="43" t="n">
        <f aca="false">IF(I122="Actual",SUMIFS(Calc_Actuals!$P$2:$P$865,Calc_Actuals!$J$2:$J$865,G122,Calc_Actuals!$K$2:$K$865,O122,Calc_Actuals!$F$2:$F$865,B122,Calc_Actuals!$H$2:$H$865,C122,Calc_Actuals!$C$2:$C$865,"Actual"),0)</f>
        <v>0</v>
      </c>
      <c r="O122" s="42" t="n">
        <f aca="false">VALUE(RIGHT(A122,2))</f>
        <v>10</v>
      </c>
      <c r="P122" s="42" t="str">
        <f aca="false">A122&amp;"|"&amp;B122&amp;"|"&amp;C122</f>
        <v>2025-10|South|Personal Care</v>
      </c>
    </row>
    <row r="123" customFormat="false" ht="15" hidden="false" customHeight="false" outlineLevel="0" collapsed="false">
      <c r="A123" s="42" t="str">
        <f aca="false">Sales_Budget!A112</f>
        <v>2025-10</v>
      </c>
      <c r="B123" s="42" t="str">
        <f aca="false">Sales_Budget!B112</f>
        <v>South</v>
      </c>
      <c r="C123" s="42" t="str">
        <f aca="false">Sales_Budget!C112</f>
        <v>Foods</v>
      </c>
      <c r="D123" s="43" t="n">
        <f aca="false">Sales_Budget!E112</f>
        <v>1100000</v>
      </c>
      <c r="E123" s="43" t="n">
        <f aca="false">Sales_Budget!F112</f>
        <v>682000</v>
      </c>
      <c r="F123" s="43" t="n">
        <f aca="false">Sales_Budget!G112</f>
        <v>418000</v>
      </c>
      <c r="G123" s="42" t="n">
        <f aca="false">VALUE(LEFT(A123,4))</f>
        <v>2025</v>
      </c>
      <c r="H123" s="42" t="n">
        <f aca="false">IF(COUNTIFS(Calc_Actuals!$F$2:$F$865,B123,Calc_Actuals!$H$2:$H$865,C123,Calc_Actuals!$C$2:$C$865,"Actual")&gt;0,1,0)</f>
        <v>1</v>
      </c>
      <c r="I123" s="42" t="str">
        <f aca="false">IFERROR(INDEX(Calendar!$E$2:$E$25,MATCH(A123,Calendar!$A$2:$A$25,0)),"UNMATCHED")</f>
        <v>Actual</v>
      </c>
      <c r="J123" s="43" t="n">
        <f aca="false">D123*$B$7</f>
        <v>279495.504687824</v>
      </c>
      <c r="K123" s="43" t="n">
        <f aca="false">E123*$B$7</f>
        <v>173287.212906451</v>
      </c>
      <c r="L123" s="43" t="n">
        <f aca="false">F123*$B$7</f>
        <v>106208.291781373</v>
      </c>
      <c r="M123" s="43" t="n">
        <f aca="false">IF(I123="Actual",SUMIFS(Calc_Actuals!$N$2:$N$865,Calc_Actuals!$J$2:$J$865,G123,Calc_Actuals!$K$2:$K$865,O123,Calc_Actuals!$F$2:$F$865,B123,Calc_Actuals!$H$2:$H$865,C123,Calc_Actuals!$C$2:$C$865,"Actual"),0)</f>
        <v>72021.2</v>
      </c>
      <c r="N123" s="43" t="n">
        <f aca="false">IF(I123="Actual",SUMIFS(Calc_Actuals!$P$2:$P$865,Calc_Actuals!$J$2:$J$865,G123,Calc_Actuals!$K$2:$K$865,O123,Calc_Actuals!$F$2:$F$865,B123,Calc_Actuals!$H$2:$H$865,C123,Calc_Actuals!$C$2:$C$865,"Actual"),0)</f>
        <v>25795</v>
      </c>
      <c r="O123" s="42" t="n">
        <f aca="false">VALUE(RIGHT(A123,2))</f>
        <v>10</v>
      </c>
      <c r="P123" s="42" t="str">
        <f aca="false">A123&amp;"|"&amp;B123&amp;"|"&amp;C123</f>
        <v>2025-10|South|Foods</v>
      </c>
    </row>
    <row r="124" customFormat="false" ht="15" hidden="false" customHeight="false" outlineLevel="0" collapsed="false">
      <c r="A124" s="42" t="str">
        <f aca="false">Sales_Budget!A113</f>
        <v>2025-10</v>
      </c>
      <c r="B124" s="42" t="str">
        <f aca="false">Sales_Budget!B113</f>
        <v>North</v>
      </c>
      <c r="C124" s="42" t="str">
        <f aca="false">Sales_Budget!C113</f>
        <v>Home Care</v>
      </c>
      <c r="D124" s="43" t="n">
        <f aca="false">Sales_Budget!E113</f>
        <v>1035000</v>
      </c>
      <c r="E124" s="43" t="n">
        <f aca="false">Sales_Budget!F113</f>
        <v>641700</v>
      </c>
      <c r="F124" s="43" t="n">
        <f aca="false">Sales_Budget!G113</f>
        <v>393300</v>
      </c>
      <c r="G124" s="42" t="n">
        <f aca="false">VALUE(LEFT(A124,4))</f>
        <v>2025</v>
      </c>
      <c r="H124" s="42" t="n">
        <f aca="false">IF(COUNTIFS(Calc_Actuals!$F$2:$F$865,B124,Calc_Actuals!$H$2:$H$865,C124,Calc_Actuals!$C$2:$C$865,"Actual")&gt;0,1,0)</f>
        <v>0</v>
      </c>
      <c r="I124" s="42" t="str">
        <f aca="false">IFERROR(INDEX(Calendar!$E$2:$E$25,MATCH(A124,Calendar!$A$2:$A$25,0)),"UNMATCHED")</f>
        <v>Actual</v>
      </c>
      <c r="J124" s="43" t="n">
        <f aca="false">D124*$B$7</f>
        <v>262979.861228998</v>
      </c>
      <c r="K124" s="43" t="n">
        <f aca="false">E124*$B$7</f>
        <v>163047.513961979</v>
      </c>
      <c r="L124" s="43" t="n">
        <f aca="false">F124*$B$7</f>
        <v>99932.3472670193</v>
      </c>
      <c r="M124" s="43" t="n">
        <f aca="false">IF(I124="Actual",SUMIFS(Calc_Actuals!$N$2:$N$865,Calc_Actuals!$J$2:$J$865,G124,Calc_Actuals!$K$2:$K$865,O124,Calc_Actuals!$F$2:$F$865,B124,Calc_Actuals!$H$2:$H$865,C124,Calc_Actuals!$C$2:$C$865,"Actual"),0)</f>
        <v>0</v>
      </c>
      <c r="N124" s="43" t="n">
        <f aca="false">IF(I124="Actual",SUMIFS(Calc_Actuals!$P$2:$P$865,Calc_Actuals!$J$2:$J$865,G124,Calc_Actuals!$K$2:$K$865,O124,Calc_Actuals!$F$2:$F$865,B124,Calc_Actuals!$H$2:$H$865,C124,Calc_Actuals!$C$2:$C$865,"Actual"),0)</f>
        <v>0</v>
      </c>
      <c r="O124" s="42" t="n">
        <f aca="false">VALUE(RIGHT(A124,2))</f>
        <v>10</v>
      </c>
      <c r="P124" s="42" t="str">
        <f aca="false">A124&amp;"|"&amp;B124&amp;"|"&amp;C124</f>
        <v>2025-10|North|Home Care</v>
      </c>
    </row>
    <row r="125" customFormat="false" ht="15" hidden="false" customHeight="false" outlineLevel="0" collapsed="false">
      <c r="A125" s="42" t="str">
        <f aca="false">Sales_Budget!A114</f>
        <v>2025-10</v>
      </c>
      <c r="B125" s="42" t="str">
        <f aca="false">Sales_Budget!B114</f>
        <v>North</v>
      </c>
      <c r="C125" s="42" t="str">
        <f aca="false">Sales_Budget!C114</f>
        <v>Personal Care</v>
      </c>
      <c r="D125" s="43" t="n">
        <f aca="false">Sales_Budget!E114</f>
        <v>1110000</v>
      </c>
      <c r="E125" s="43" t="n">
        <f aca="false">Sales_Budget!F114</f>
        <v>688200</v>
      </c>
      <c r="F125" s="43" t="n">
        <f aca="false">Sales_Budget!G114</f>
        <v>421800</v>
      </c>
      <c r="G125" s="42" t="n">
        <f aca="false">VALUE(LEFT(A125,4))</f>
        <v>2025</v>
      </c>
      <c r="H125" s="42" t="n">
        <f aca="false">IF(COUNTIFS(Calc_Actuals!$F$2:$F$865,B125,Calc_Actuals!$H$2:$H$865,C125,Calc_Actuals!$C$2:$C$865,"Actual")&gt;0,1,0)</f>
        <v>1</v>
      </c>
      <c r="I125" s="42" t="str">
        <f aca="false">IFERROR(INDEX(Calendar!$E$2:$E$25,MATCH(A125,Calendar!$A$2:$A$25,0)),"UNMATCHED")</f>
        <v>Actual</v>
      </c>
      <c r="J125" s="43" t="n">
        <f aca="false">D125*$B$7</f>
        <v>282036.372912259</v>
      </c>
      <c r="K125" s="43" t="n">
        <f aca="false">E125*$B$7</f>
        <v>174862.551205601</v>
      </c>
      <c r="L125" s="43" t="n">
        <f aca="false">F125*$B$7</f>
        <v>107173.821706658</v>
      </c>
      <c r="M125" s="43" t="n">
        <f aca="false">IF(I125="Actual",SUMIFS(Calc_Actuals!$N$2:$N$865,Calc_Actuals!$J$2:$J$865,G125,Calc_Actuals!$K$2:$K$865,O125,Calc_Actuals!$F$2:$F$865,B125,Calc_Actuals!$H$2:$H$865,C125,Calc_Actuals!$C$2:$C$865,"Actual"),0)</f>
        <v>547634.53</v>
      </c>
      <c r="N125" s="43" t="n">
        <f aca="false">IF(I125="Actual",SUMIFS(Calc_Actuals!$P$2:$P$865,Calc_Actuals!$J$2:$J$865,G125,Calc_Actuals!$K$2:$K$865,O125,Calc_Actuals!$F$2:$F$865,B125,Calc_Actuals!$H$2:$H$865,C125,Calc_Actuals!$C$2:$C$865,"Actual"),0)</f>
        <v>193252</v>
      </c>
      <c r="O125" s="42" t="n">
        <f aca="false">VALUE(RIGHT(A125,2))</f>
        <v>10</v>
      </c>
      <c r="P125" s="42" t="str">
        <f aca="false">A125&amp;"|"&amp;B125&amp;"|"&amp;C125</f>
        <v>2025-10|North|Personal Care</v>
      </c>
    </row>
    <row r="126" customFormat="false" ht="15" hidden="false" customHeight="false" outlineLevel="0" collapsed="false">
      <c r="A126" s="42" t="str">
        <f aca="false">Sales_Budget!A115</f>
        <v>2025-10</v>
      </c>
      <c r="B126" s="42" t="str">
        <f aca="false">Sales_Budget!B115</f>
        <v>North</v>
      </c>
      <c r="C126" s="42" t="str">
        <f aca="false">Sales_Budget!C115</f>
        <v>Foods</v>
      </c>
      <c r="D126" s="43" t="n">
        <f aca="false">Sales_Budget!E115</f>
        <v>1185000</v>
      </c>
      <c r="E126" s="43" t="n">
        <f aca="false">Sales_Budget!F115</f>
        <v>734700</v>
      </c>
      <c r="F126" s="43" t="n">
        <f aca="false">Sales_Budget!G115</f>
        <v>450300</v>
      </c>
      <c r="G126" s="42" t="n">
        <f aca="false">VALUE(LEFT(A126,4))</f>
        <v>2025</v>
      </c>
      <c r="H126" s="42" t="n">
        <f aca="false">IF(COUNTIFS(Calc_Actuals!$F$2:$F$865,B126,Calc_Actuals!$H$2:$H$865,C126,Calc_Actuals!$C$2:$C$865,"Actual")&gt;0,1,0)</f>
        <v>0</v>
      </c>
      <c r="I126" s="42" t="str">
        <f aca="false">IFERROR(INDEX(Calendar!$E$2:$E$25,MATCH(A126,Calendar!$A$2:$A$25,0)),"UNMATCHED")</f>
        <v>Actual</v>
      </c>
      <c r="J126" s="43" t="n">
        <f aca="false">D126*$B$7</f>
        <v>301092.88459552</v>
      </c>
      <c r="K126" s="43" t="n">
        <f aca="false">E126*$B$7</f>
        <v>186677.588449222</v>
      </c>
      <c r="L126" s="43" t="n">
        <f aca="false">F126*$B$7</f>
        <v>114415.296146297</v>
      </c>
      <c r="M126" s="43" t="n">
        <f aca="false">IF(I126="Actual",SUMIFS(Calc_Actuals!$N$2:$N$865,Calc_Actuals!$J$2:$J$865,G126,Calc_Actuals!$K$2:$K$865,O126,Calc_Actuals!$F$2:$F$865,B126,Calc_Actuals!$H$2:$H$865,C126,Calc_Actuals!$C$2:$C$865,"Actual"),0)</f>
        <v>0</v>
      </c>
      <c r="N126" s="43" t="n">
        <f aca="false">IF(I126="Actual",SUMIFS(Calc_Actuals!$P$2:$P$865,Calc_Actuals!$J$2:$J$865,G126,Calc_Actuals!$K$2:$K$865,O126,Calc_Actuals!$F$2:$F$865,B126,Calc_Actuals!$H$2:$H$865,C126,Calc_Actuals!$C$2:$C$865,"Actual"),0)</f>
        <v>0</v>
      </c>
      <c r="O126" s="42" t="n">
        <f aca="false">VALUE(RIGHT(A126,2))</f>
        <v>10</v>
      </c>
      <c r="P126" s="42" t="str">
        <f aca="false">A126&amp;"|"&amp;B126&amp;"|"&amp;C126</f>
        <v>2025-10|North|Foods</v>
      </c>
    </row>
    <row r="127" customFormat="false" ht="15" hidden="false" customHeight="false" outlineLevel="0" collapsed="false">
      <c r="A127" s="42" t="str">
        <f aca="false">Sales_Budget!A116</f>
        <v>2025-10</v>
      </c>
      <c r="B127" s="42" t="str">
        <f aca="false">Sales_Budget!B116</f>
        <v>West</v>
      </c>
      <c r="C127" s="42" t="str">
        <f aca="false">Sales_Budget!C116</f>
        <v>Home Care</v>
      </c>
      <c r="D127" s="43" t="n">
        <f aca="false">Sales_Budget!E116</f>
        <v>1120000</v>
      </c>
      <c r="E127" s="43" t="n">
        <f aca="false">Sales_Budget!F116</f>
        <v>694400</v>
      </c>
      <c r="F127" s="43" t="n">
        <f aca="false">Sales_Budget!G116</f>
        <v>425600</v>
      </c>
      <c r="G127" s="42" t="n">
        <f aca="false">VALUE(LEFT(A127,4))</f>
        <v>2025</v>
      </c>
      <c r="H127" s="42" t="n">
        <f aca="false">IF(COUNTIFS(Calc_Actuals!$F$2:$F$865,B127,Calc_Actuals!$H$2:$H$865,C127,Calc_Actuals!$C$2:$C$865,"Actual")&gt;0,1,0)</f>
        <v>1</v>
      </c>
      <c r="I127" s="42" t="str">
        <f aca="false">IFERROR(INDEX(Calendar!$E$2:$E$25,MATCH(A127,Calendar!$A$2:$A$25,0)),"UNMATCHED")</f>
        <v>Actual</v>
      </c>
      <c r="J127" s="43" t="n">
        <f aca="false">D127*$B$7</f>
        <v>284577.241136694</v>
      </c>
      <c r="K127" s="43" t="n">
        <f aca="false">E127*$B$7</f>
        <v>176437.88950475</v>
      </c>
      <c r="L127" s="43" t="n">
        <f aca="false">F127*$B$7</f>
        <v>108139.351631944</v>
      </c>
      <c r="M127" s="43" t="n">
        <f aca="false">IF(I127="Actual",SUMIFS(Calc_Actuals!$N$2:$N$865,Calc_Actuals!$J$2:$J$865,G127,Calc_Actuals!$K$2:$K$865,O127,Calc_Actuals!$F$2:$F$865,B127,Calc_Actuals!$H$2:$H$865,C127,Calc_Actuals!$C$2:$C$865,"Actual"),0)</f>
        <v>204375.68</v>
      </c>
      <c r="N127" s="43" t="n">
        <f aca="false">IF(I127="Actual",SUMIFS(Calc_Actuals!$P$2:$P$865,Calc_Actuals!$J$2:$J$865,G127,Calc_Actuals!$K$2:$K$865,O127,Calc_Actuals!$F$2:$F$865,B127,Calc_Actuals!$H$2:$H$865,C127,Calc_Actuals!$C$2:$C$865,"Actual"),0)</f>
        <v>73226.42</v>
      </c>
      <c r="O127" s="42" t="n">
        <f aca="false">VALUE(RIGHT(A127,2))</f>
        <v>10</v>
      </c>
      <c r="P127" s="42" t="str">
        <f aca="false">A127&amp;"|"&amp;B127&amp;"|"&amp;C127</f>
        <v>2025-10|West|Home Care</v>
      </c>
    </row>
    <row r="128" customFormat="false" ht="15" hidden="false" customHeight="false" outlineLevel="0" collapsed="false">
      <c r="A128" s="42" t="str">
        <f aca="false">Sales_Budget!A117</f>
        <v>2025-10</v>
      </c>
      <c r="B128" s="42" t="str">
        <f aca="false">Sales_Budget!B117</f>
        <v>West</v>
      </c>
      <c r="C128" s="42" t="str">
        <f aca="false">Sales_Budget!C117</f>
        <v>Personal Care</v>
      </c>
      <c r="D128" s="43" t="n">
        <f aca="false">Sales_Budget!E117</f>
        <v>1195000</v>
      </c>
      <c r="E128" s="43" t="n">
        <f aca="false">Sales_Budget!F117</f>
        <v>740900</v>
      </c>
      <c r="F128" s="43" t="n">
        <f aca="false">Sales_Budget!G117</f>
        <v>454100</v>
      </c>
      <c r="G128" s="42" t="n">
        <f aca="false">VALUE(LEFT(A128,4))</f>
        <v>2025</v>
      </c>
      <c r="H128" s="42" t="n">
        <f aca="false">IF(COUNTIFS(Calc_Actuals!$F$2:$F$865,B128,Calc_Actuals!$H$2:$H$865,C128,Calc_Actuals!$C$2:$C$865,"Actual")&gt;0,1,0)</f>
        <v>1</v>
      </c>
      <c r="I128" s="42" t="str">
        <f aca="false">IFERROR(INDEX(Calendar!$E$2:$E$25,MATCH(A128,Calendar!$A$2:$A$25,0)),"UNMATCHED")</f>
        <v>Actual</v>
      </c>
      <c r="J128" s="43" t="n">
        <f aca="false">D128*$B$7</f>
        <v>303633.752819954</v>
      </c>
      <c r="K128" s="43" t="n">
        <f aca="false">E128*$B$7</f>
        <v>188252.926748372</v>
      </c>
      <c r="L128" s="43" t="n">
        <f aca="false">F128*$B$7</f>
        <v>115380.826071583</v>
      </c>
      <c r="M128" s="43" t="n">
        <f aca="false">IF(I128="Actual",SUMIFS(Calc_Actuals!$N$2:$N$865,Calc_Actuals!$J$2:$J$865,G128,Calc_Actuals!$K$2:$K$865,O128,Calc_Actuals!$F$2:$F$865,B128,Calc_Actuals!$H$2:$H$865,C128,Calc_Actuals!$C$2:$C$865,"Actual"),0)</f>
        <v>321690.44</v>
      </c>
      <c r="N128" s="43" t="n">
        <f aca="false">IF(I128="Actual",SUMIFS(Calc_Actuals!$P$2:$P$865,Calc_Actuals!$J$2:$J$865,G128,Calc_Actuals!$K$2:$K$865,O128,Calc_Actuals!$F$2:$F$865,B128,Calc_Actuals!$H$2:$H$865,C128,Calc_Actuals!$C$2:$C$865,"Actual"),0)</f>
        <v>123088.18</v>
      </c>
      <c r="O128" s="42" t="n">
        <f aca="false">VALUE(RIGHT(A128,2))</f>
        <v>10</v>
      </c>
      <c r="P128" s="42" t="str">
        <f aca="false">A128&amp;"|"&amp;B128&amp;"|"&amp;C128</f>
        <v>2025-10|West|Personal Care</v>
      </c>
    </row>
    <row r="129" customFormat="false" ht="15" hidden="false" customHeight="false" outlineLevel="0" collapsed="false">
      <c r="A129" s="42" t="str">
        <f aca="false">Sales_Budget!A118</f>
        <v>2025-10</v>
      </c>
      <c r="B129" s="42" t="str">
        <f aca="false">Sales_Budget!B118</f>
        <v>West</v>
      </c>
      <c r="C129" s="42" t="str">
        <f aca="false">Sales_Budget!C118</f>
        <v>Foods</v>
      </c>
      <c r="D129" s="43" t="n">
        <f aca="false">Sales_Budget!E118</f>
        <v>1270000</v>
      </c>
      <c r="E129" s="43" t="n">
        <f aca="false">Sales_Budget!F118</f>
        <v>787400</v>
      </c>
      <c r="F129" s="43" t="n">
        <f aca="false">Sales_Budget!G118</f>
        <v>482600</v>
      </c>
      <c r="G129" s="42" t="n">
        <f aca="false">VALUE(LEFT(A129,4))</f>
        <v>2025</v>
      </c>
      <c r="H129" s="42" t="n">
        <f aca="false">IF(COUNTIFS(Calc_Actuals!$F$2:$F$865,B129,Calc_Actuals!$H$2:$H$865,C129,Calc_Actuals!$C$2:$C$865,"Actual")&gt;0,1,0)</f>
        <v>0</v>
      </c>
      <c r="I129" s="42" t="str">
        <f aca="false">IFERROR(INDEX(Calendar!$E$2:$E$25,MATCH(A129,Calendar!$A$2:$A$25,0)),"UNMATCHED")</f>
        <v>Actual</v>
      </c>
      <c r="J129" s="43" t="n">
        <f aca="false">D129*$B$7</f>
        <v>322690.264503215</v>
      </c>
      <c r="K129" s="43" t="n">
        <f aca="false">E129*$B$7</f>
        <v>200067.963991993</v>
      </c>
      <c r="L129" s="43" t="n">
        <f aca="false">F129*$B$7</f>
        <v>122622.300511222</v>
      </c>
      <c r="M129" s="43" t="n">
        <f aca="false">IF(I129="Actual",SUMIFS(Calc_Actuals!$N$2:$N$865,Calc_Actuals!$J$2:$J$865,G129,Calc_Actuals!$K$2:$K$865,O129,Calc_Actuals!$F$2:$F$865,B129,Calc_Actuals!$H$2:$H$865,C129,Calc_Actuals!$C$2:$C$865,"Actual"),0)</f>
        <v>0</v>
      </c>
      <c r="N129" s="43" t="n">
        <f aca="false">IF(I129="Actual",SUMIFS(Calc_Actuals!$P$2:$P$865,Calc_Actuals!$J$2:$J$865,G129,Calc_Actuals!$K$2:$K$865,O129,Calc_Actuals!$F$2:$F$865,B129,Calc_Actuals!$H$2:$H$865,C129,Calc_Actuals!$C$2:$C$865,"Actual"),0)</f>
        <v>0</v>
      </c>
      <c r="O129" s="42" t="n">
        <f aca="false">VALUE(RIGHT(A129,2))</f>
        <v>10</v>
      </c>
      <c r="P129" s="42" t="str">
        <f aca="false">A129&amp;"|"&amp;B129&amp;"|"&amp;C129</f>
        <v>2025-10|West|Foods</v>
      </c>
    </row>
    <row r="130" customFormat="false" ht="15" hidden="false" customHeight="false" outlineLevel="0" collapsed="false">
      <c r="A130" s="42" t="str">
        <f aca="false">Sales_Budget!A119</f>
        <v>2025-10</v>
      </c>
      <c r="B130" s="42" t="str">
        <f aca="false">Sales_Budget!B119</f>
        <v>East</v>
      </c>
      <c r="C130" s="42" t="str">
        <f aca="false">Sales_Budget!C119</f>
        <v>Home Care</v>
      </c>
      <c r="D130" s="43" t="n">
        <f aca="false">Sales_Budget!E119</f>
        <v>1205000</v>
      </c>
      <c r="E130" s="43" t="n">
        <f aca="false">Sales_Budget!F119</f>
        <v>747100</v>
      </c>
      <c r="F130" s="43" t="n">
        <f aca="false">Sales_Budget!G119</f>
        <v>457900</v>
      </c>
      <c r="G130" s="42" t="n">
        <f aca="false">VALUE(LEFT(A130,4))</f>
        <v>2025</v>
      </c>
      <c r="H130" s="42" t="n">
        <f aca="false">IF(COUNTIFS(Calc_Actuals!$F$2:$F$865,B130,Calc_Actuals!$H$2:$H$865,C130,Calc_Actuals!$C$2:$C$865,"Actual")&gt;0,1,0)</f>
        <v>1</v>
      </c>
      <c r="I130" s="42" t="str">
        <f aca="false">IFERROR(INDEX(Calendar!$E$2:$E$25,MATCH(A130,Calendar!$A$2:$A$25,0)),"UNMATCHED")</f>
        <v>Actual</v>
      </c>
      <c r="J130" s="43" t="n">
        <f aca="false">D130*$B$7</f>
        <v>306174.621044389</v>
      </c>
      <c r="K130" s="43" t="n">
        <f aca="false">E130*$B$7</f>
        <v>189828.265047521</v>
      </c>
      <c r="L130" s="43" t="n">
        <f aca="false">F130*$B$7</f>
        <v>116346.355996868</v>
      </c>
      <c r="M130" s="43" t="n">
        <f aca="false">IF(I130="Actual",SUMIFS(Calc_Actuals!$N$2:$N$865,Calc_Actuals!$J$2:$J$865,G130,Calc_Actuals!$K$2:$K$865,O130,Calc_Actuals!$F$2:$F$865,B130,Calc_Actuals!$H$2:$H$865,C130,Calc_Actuals!$C$2:$C$865,"Actual"),0)</f>
        <v>235720.57</v>
      </c>
      <c r="N130" s="43" t="n">
        <f aca="false">IF(I130="Actual",SUMIFS(Calc_Actuals!$P$2:$P$865,Calc_Actuals!$J$2:$J$865,G130,Calc_Actuals!$K$2:$K$865,O130,Calc_Actuals!$F$2:$F$865,B130,Calc_Actuals!$H$2:$H$865,C130,Calc_Actuals!$C$2:$C$865,"Actual"),0)</f>
        <v>94095.38</v>
      </c>
      <c r="O130" s="42" t="n">
        <f aca="false">VALUE(RIGHT(A130,2))</f>
        <v>10</v>
      </c>
      <c r="P130" s="42" t="str">
        <f aca="false">A130&amp;"|"&amp;B130&amp;"|"&amp;C130</f>
        <v>2025-10|East|Home Care</v>
      </c>
    </row>
    <row r="131" customFormat="false" ht="15" hidden="false" customHeight="false" outlineLevel="0" collapsed="false">
      <c r="A131" s="42" t="str">
        <f aca="false">Sales_Budget!A120</f>
        <v>2025-10</v>
      </c>
      <c r="B131" s="42" t="str">
        <f aca="false">Sales_Budget!B120</f>
        <v>East</v>
      </c>
      <c r="C131" s="42" t="str">
        <f aca="false">Sales_Budget!C120</f>
        <v>Personal Care</v>
      </c>
      <c r="D131" s="43" t="n">
        <f aca="false">Sales_Budget!E120</f>
        <v>1280000</v>
      </c>
      <c r="E131" s="43" t="n">
        <f aca="false">Sales_Budget!F120</f>
        <v>793600</v>
      </c>
      <c r="F131" s="43" t="n">
        <f aca="false">Sales_Budget!G120</f>
        <v>486400</v>
      </c>
      <c r="G131" s="42" t="n">
        <f aca="false">VALUE(LEFT(A131,4))</f>
        <v>2025</v>
      </c>
      <c r="H131" s="42" t="n">
        <f aca="false">IF(COUNTIFS(Calc_Actuals!$F$2:$F$865,B131,Calc_Actuals!$H$2:$H$865,C131,Calc_Actuals!$C$2:$C$865,"Actual")&gt;0,1,0)</f>
        <v>0</v>
      </c>
      <c r="I131" s="42" t="str">
        <f aca="false">IFERROR(INDEX(Calendar!$E$2:$E$25,MATCH(A131,Calendar!$A$2:$A$25,0)),"UNMATCHED")</f>
        <v>Actual</v>
      </c>
      <c r="J131" s="43" t="n">
        <f aca="false">D131*$B$7</f>
        <v>325231.13272765</v>
      </c>
      <c r="K131" s="43" t="n">
        <f aca="false">E131*$B$7</f>
        <v>201643.302291143</v>
      </c>
      <c r="L131" s="43" t="n">
        <f aca="false">F131*$B$7</f>
        <v>123587.830436507</v>
      </c>
      <c r="M131" s="43" t="n">
        <f aca="false">IF(I131="Actual",SUMIFS(Calc_Actuals!$N$2:$N$865,Calc_Actuals!$J$2:$J$865,G131,Calc_Actuals!$K$2:$K$865,O131,Calc_Actuals!$F$2:$F$865,B131,Calc_Actuals!$H$2:$H$865,C131,Calc_Actuals!$C$2:$C$865,"Actual"),0)</f>
        <v>0</v>
      </c>
      <c r="N131" s="43" t="n">
        <f aca="false">IF(I131="Actual",SUMIFS(Calc_Actuals!$P$2:$P$865,Calc_Actuals!$J$2:$J$865,G131,Calc_Actuals!$K$2:$K$865,O131,Calc_Actuals!$F$2:$F$865,B131,Calc_Actuals!$H$2:$H$865,C131,Calc_Actuals!$C$2:$C$865,"Actual"),0)</f>
        <v>0</v>
      </c>
      <c r="O131" s="42" t="n">
        <f aca="false">VALUE(RIGHT(A131,2))</f>
        <v>10</v>
      </c>
      <c r="P131" s="42" t="str">
        <f aca="false">A131&amp;"|"&amp;B131&amp;"|"&amp;C131</f>
        <v>2025-10|East|Personal Care</v>
      </c>
    </row>
    <row r="132" customFormat="false" ht="15" hidden="false" customHeight="false" outlineLevel="0" collapsed="false">
      <c r="A132" s="42" t="str">
        <f aca="false">Sales_Budget!A121</f>
        <v>2025-10</v>
      </c>
      <c r="B132" s="42" t="str">
        <f aca="false">Sales_Budget!B121</f>
        <v>East</v>
      </c>
      <c r="C132" s="42" t="str">
        <f aca="false">Sales_Budget!C121</f>
        <v>Foods</v>
      </c>
      <c r="D132" s="43" t="n">
        <f aca="false">Sales_Budget!E121</f>
        <v>1355000</v>
      </c>
      <c r="E132" s="43" t="n">
        <f aca="false">Sales_Budget!F121</f>
        <v>840100</v>
      </c>
      <c r="F132" s="43" t="n">
        <f aca="false">Sales_Budget!G121</f>
        <v>514900</v>
      </c>
      <c r="G132" s="42" t="n">
        <f aca="false">VALUE(LEFT(A132,4))</f>
        <v>2025</v>
      </c>
      <c r="H132" s="42" t="n">
        <f aca="false">IF(COUNTIFS(Calc_Actuals!$F$2:$F$865,B132,Calc_Actuals!$H$2:$H$865,C132,Calc_Actuals!$C$2:$C$865,"Actual")&gt;0,1,0)</f>
        <v>1</v>
      </c>
      <c r="I132" s="42" t="str">
        <f aca="false">IFERROR(INDEX(Calendar!$E$2:$E$25,MATCH(A132,Calendar!$A$2:$A$25,0)),"UNMATCHED")</f>
        <v>Actual</v>
      </c>
      <c r="J132" s="43" t="n">
        <f aca="false">D132*$B$7</f>
        <v>344287.644410911</v>
      </c>
      <c r="K132" s="43" t="n">
        <f aca="false">E132*$B$7</f>
        <v>213458.339534765</v>
      </c>
      <c r="L132" s="43" t="n">
        <f aca="false">F132*$B$7</f>
        <v>130829.304876146</v>
      </c>
      <c r="M132" s="43" t="n">
        <f aca="false">IF(I132="Actual",SUMIFS(Calc_Actuals!$N$2:$N$865,Calc_Actuals!$J$2:$J$865,G132,Calc_Actuals!$K$2:$K$865,O132,Calc_Actuals!$F$2:$F$865,B132,Calc_Actuals!$H$2:$H$865,C132,Calc_Actuals!$C$2:$C$865,"Actual"),0)</f>
        <v>181328.77</v>
      </c>
      <c r="N132" s="43" t="n">
        <f aca="false">IF(I132="Actual",SUMIFS(Calc_Actuals!$P$2:$P$865,Calc_Actuals!$J$2:$J$865,G132,Calc_Actuals!$K$2:$K$865,O132,Calc_Actuals!$F$2:$F$865,B132,Calc_Actuals!$H$2:$H$865,C132,Calc_Actuals!$C$2:$C$865,"Actual"),0)</f>
        <v>60088.57</v>
      </c>
      <c r="O132" s="42" t="n">
        <f aca="false">VALUE(RIGHT(A132,2))</f>
        <v>10</v>
      </c>
      <c r="P132" s="42" t="str">
        <f aca="false">A132&amp;"|"&amp;B132&amp;"|"&amp;C132</f>
        <v>2025-10|East|Foods</v>
      </c>
    </row>
    <row r="133" customFormat="false" ht="15" hidden="false" customHeight="false" outlineLevel="0" collapsed="false">
      <c r="A133" s="42" t="str">
        <f aca="false">Sales_Budget!A122</f>
        <v>2025-11</v>
      </c>
      <c r="B133" s="42" t="str">
        <f aca="false">Sales_Budget!B122</f>
        <v>South</v>
      </c>
      <c r="C133" s="42" t="str">
        <f aca="false">Sales_Budget!C122</f>
        <v>Home Care</v>
      </c>
      <c r="D133" s="43" t="n">
        <f aca="false">Sales_Budget!E122</f>
        <v>950000</v>
      </c>
      <c r="E133" s="43" t="n">
        <f aca="false">Sales_Budget!F122</f>
        <v>589000</v>
      </c>
      <c r="F133" s="43" t="n">
        <f aca="false">Sales_Budget!G122</f>
        <v>361000</v>
      </c>
      <c r="G133" s="42" t="n">
        <f aca="false">VALUE(LEFT(A133,4))</f>
        <v>2025</v>
      </c>
      <c r="H133" s="42" t="n">
        <f aca="false">IF(COUNTIFS(Calc_Actuals!$F$2:$F$865,B133,Calc_Actuals!$H$2:$H$865,C133,Calc_Actuals!$C$2:$C$865,"Actual")&gt;0,1,0)</f>
        <v>1</v>
      </c>
      <c r="I133" s="42" t="str">
        <f aca="false">IFERROR(INDEX(Calendar!$E$2:$E$25,MATCH(A133,Calendar!$A$2:$A$25,0)),"UNMATCHED")</f>
        <v>Actual</v>
      </c>
      <c r="J133" s="43" t="n">
        <f aca="false">D133*$B$7</f>
        <v>241382.481321303</v>
      </c>
      <c r="K133" s="43" t="n">
        <f aca="false">E133*$B$7</f>
        <v>149657.138419208</v>
      </c>
      <c r="L133" s="43" t="n">
        <f aca="false">F133*$B$7</f>
        <v>91725.342902095</v>
      </c>
      <c r="M133" s="43" t="n">
        <f aca="false">IF(I133="Actual",SUMIFS(Calc_Actuals!$N$2:$N$865,Calc_Actuals!$J$2:$J$865,G133,Calc_Actuals!$K$2:$K$865,O133,Calc_Actuals!$F$2:$F$865,B133,Calc_Actuals!$H$2:$H$865,C133,Calc_Actuals!$C$2:$C$865,"Actual"),0)</f>
        <v>204877.92</v>
      </c>
      <c r="N133" s="43" t="n">
        <f aca="false">IF(I133="Actual",SUMIFS(Calc_Actuals!$P$2:$P$865,Calc_Actuals!$J$2:$J$865,G133,Calc_Actuals!$K$2:$K$865,O133,Calc_Actuals!$F$2:$F$865,B133,Calc_Actuals!$H$2:$H$865,C133,Calc_Actuals!$C$2:$C$865,"Actual"),0)</f>
        <v>61543</v>
      </c>
      <c r="O133" s="42" t="n">
        <f aca="false">VALUE(RIGHT(A133,2))</f>
        <v>11</v>
      </c>
      <c r="P133" s="42" t="str">
        <f aca="false">A133&amp;"|"&amp;B133&amp;"|"&amp;C133</f>
        <v>2025-11|South|Home Care</v>
      </c>
    </row>
    <row r="134" customFormat="false" ht="15" hidden="false" customHeight="false" outlineLevel="0" collapsed="false">
      <c r="A134" s="42" t="str">
        <f aca="false">Sales_Budget!A123</f>
        <v>2025-11</v>
      </c>
      <c r="B134" s="42" t="str">
        <f aca="false">Sales_Budget!B123</f>
        <v>South</v>
      </c>
      <c r="C134" s="42" t="str">
        <f aca="false">Sales_Budget!C123</f>
        <v>Personal Care</v>
      </c>
      <c r="D134" s="43" t="n">
        <f aca="false">Sales_Budget!E123</f>
        <v>1025000</v>
      </c>
      <c r="E134" s="43" t="n">
        <f aca="false">Sales_Budget!F123</f>
        <v>635500</v>
      </c>
      <c r="F134" s="43" t="n">
        <f aca="false">Sales_Budget!G123</f>
        <v>389500</v>
      </c>
      <c r="G134" s="42" t="n">
        <f aca="false">VALUE(LEFT(A134,4))</f>
        <v>2025</v>
      </c>
      <c r="H134" s="42" t="n">
        <f aca="false">IF(COUNTIFS(Calc_Actuals!$F$2:$F$865,B134,Calc_Actuals!$H$2:$H$865,C134,Calc_Actuals!$C$2:$C$865,"Actual")&gt;0,1,0)</f>
        <v>0</v>
      </c>
      <c r="I134" s="42" t="str">
        <f aca="false">IFERROR(INDEX(Calendar!$E$2:$E$25,MATCH(A134,Calendar!$A$2:$A$25,0)),"UNMATCHED")</f>
        <v>Actual</v>
      </c>
      <c r="J134" s="43" t="n">
        <f aca="false">D134*$B$7</f>
        <v>260438.993004563</v>
      </c>
      <c r="K134" s="43" t="n">
        <f aca="false">E134*$B$7</f>
        <v>161472.175662829</v>
      </c>
      <c r="L134" s="43" t="n">
        <f aca="false">F134*$B$7</f>
        <v>98966.8173417341</v>
      </c>
      <c r="M134" s="43" t="n">
        <f aca="false">IF(I134="Actual",SUMIFS(Calc_Actuals!$N$2:$N$865,Calc_Actuals!$J$2:$J$865,G134,Calc_Actuals!$K$2:$K$865,O134,Calc_Actuals!$F$2:$F$865,B134,Calc_Actuals!$H$2:$H$865,C134,Calc_Actuals!$C$2:$C$865,"Actual"),0)</f>
        <v>0</v>
      </c>
      <c r="N134" s="43" t="n">
        <f aca="false">IF(I134="Actual",SUMIFS(Calc_Actuals!$P$2:$P$865,Calc_Actuals!$J$2:$J$865,G134,Calc_Actuals!$K$2:$K$865,O134,Calc_Actuals!$F$2:$F$865,B134,Calc_Actuals!$H$2:$H$865,C134,Calc_Actuals!$C$2:$C$865,"Actual"),0)</f>
        <v>0</v>
      </c>
      <c r="O134" s="42" t="n">
        <f aca="false">VALUE(RIGHT(A134,2))</f>
        <v>11</v>
      </c>
      <c r="P134" s="42" t="str">
        <f aca="false">A134&amp;"|"&amp;B134&amp;"|"&amp;C134</f>
        <v>2025-11|South|Personal Care</v>
      </c>
    </row>
    <row r="135" customFormat="false" ht="15" hidden="false" customHeight="false" outlineLevel="0" collapsed="false">
      <c r="A135" s="42" t="str">
        <f aca="false">Sales_Budget!A124</f>
        <v>2025-11</v>
      </c>
      <c r="B135" s="42" t="str">
        <f aca="false">Sales_Budget!B124</f>
        <v>South</v>
      </c>
      <c r="C135" s="42" t="str">
        <f aca="false">Sales_Budget!C124</f>
        <v>Foods</v>
      </c>
      <c r="D135" s="43" t="n">
        <f aca="false">Sales_Budget!E124</f>
        <v>1100000</v>
      </c>
      <c r="E135" s="43" t="n">
        <f aca="false">Sales_Budget!F124</f>
        <v>682000</v>
      </c>
      <c r="F135" s="43" t="n">
        <f aca="false">Sales_Budget!G124</f>
        <v>418000</v>
      </c>
      <c r="G135" s="42" t="n">
        <f aca="false">VALUE(LEFT(A135,4))</f>
        <v>2025</v>
      </c>
      <c r="H135" s="42" t="n">
        <f aca="false">IF(COUNTIFS(Calc_Actuals!$F$2:$F$865,B135,Calc_Actuals!$H$2:$H$865,C135,Calc_Actuals!$C$2:$C$865,"Actual")&gt;0,1,0)</f>
        <v>1</v>
      </c>
      <c r="I135" s="42" t="str">
        <f aca="false">IFERROR(INDEX(Calendar!$E$2:$E$25,MATCH(A135,Calendar!$A$2:$A$25,0)),"UNMATCHED")</f>
        <v>Actual</v>
      </c>
      <c r="J135" s="43" t="n">
        <f aca="false">D135*$B$7</f>
        <v>279495.504687824</v>
      </c>
      <c r="K135" s="43" t="n">
        <f aca="false">E135*$B$7</f>
        <v>173287.212906451</v>
      </c>
      <c r="L135" s="43" t="n">
        <f aca="false">F135*$B$7</f>
        <v>106208.291781373</v>
      </c>
      <c r="M135" s="43" t="n">
        <f aca="false">IF(I135="Actual",SUMIFS(Calc_Actuals!$N$2:$N$865,Calc_Actuals!$J$2:$J$865,G135,Calc_Actuals!$K$2:$K$865,O135,Calc_Actuals!$F$2:$F$865,B135,Calc_Actuals!$H$2:$H$865,C135,Calc_Actuals!$C$2:$C$865,"Actual"),0)</f>
        <v>121366.76</v>
      </c>
      <c r="N135" s="43" t="n">
        <f aca="false">IF(I135="Actual",SUMIFS(Calc_Actuals!$P$2:$P$865,Calc_Actuals!$J$2:$J$865,G135,Calc_Actuals!$K$2:$K$865,O135,Calc_Actuals!$F$2:$F$865,B135,Calc_Actuals!$H$2:$H$865,C135,Calc_Actuals!$C$2:$C$865,"Actual"),0)</f>
        <v>39493.8</v>
      </c>
      <c r="O135" s="42" t="n">
        <f aca="false">VALUE(RIGHT(A135,2))</f>
        <v>11</v>
      </c>
      <c r="P135" s="42" t="str">
        <f aca="false">A135&amp;"|"&amp;B135&amp;"|"&amp;C135</f>
        <v>2025-11|South|Foods</v>
      </c>
    </row>
    <row r="136" customFormat="false" ht="15" hidden="false" customHeight="false" outlineLevel="0" collapsed="false">
      <c r="A136" s="42" t="str">
        <f aca="false">Sales_Budget!A125</f>
        <v>2025-11</v>
      </c>
      <c r="B136" s="42" t="str">
        <f aca="false">Sales_Budget!B125</f>
        <v>North</v>
      </c>
      <c r="C136" s="42" t="str">
        <f aca="false">Sales_Budget!C125</f>
        <v>Home Care</v>
      </c>
      <c r="D136" s="43" t="n">
        <f aca="false">Sales_Budget!E125</f>
        <v>1035000</v>
      </c>
      <c r="E136" s="43" t="n">
        <f aca="false">Sales_Budget!F125</f>
        <v>641700</v>
      </c>
      <c r="F136" s="43" t="n">
        <f aca="false">Sales_Budget!G125</f>
        <v>393300</v>
      </c>
      <c r="G136" s="42" t="n">
        <f aca="false">VALUE(LEFT(A136,4))</f>
        <v>2025</v>
      </c>
      <c r="H136" s="42" t="n">
        <f aca="false">IF(COUNTIFS(Calc_Actuals!$F$2:$F$865,B136,Calc_Actuals!$H$2:$H$865,C136,Calc_Actuals!$C$2:$C$865,"Actual")&gt;0,1,0)</f>
        <v>0</v>
      </c>
      <c r="I136" s="42" t="str">
        <f aca="false">IFERROR(INDEX(Calendar!$E$2:$E$25,MATCH(A136,Calendar!$A$2:$A$25,0)),"UNMATCHED")</f>
        <v>Actual</v>
      </c>
      <c r="J136" s="43" t="n">
        <f aca="false">D136*$B$7</f>
        <v>262979.861228998</v>
      </c>
      <c r="K136" s="43" t="n">
        <f aca="false">E136*$B$7</f>
        <v>163047.513961979</v>
      </c>
      <c r="L136" s="43" t="n">
        <f aca="false">F136*$B$7</f>
        <v>99932.3472670193</v>
      </c>
      <c r="M136" s="43" t="n">
        <f aca="false">IF(I136="Actual",SUMIFS(Calc_Actuals!$N$2:$N$865,Calc_Actuals!$J$2:$J$865,G136,Calc_Actuals!$K$2:$K$865,O136,Calc_Actuals!$F$2:$F$865,B136,Calc_Actuals!$H$2:$H$865,C136,Calc_Actuals!$C$2:$C$865,"Actual"),0)</f>
        <v>0</v>
      </c>
      <c r="N136" s="43" t="n">
        <f aca="false">IF(I136="Actual",SUMIFS(Calc_Actuals!$P$2:$P$865,Calc_Actuals!$J$2:$J$865,G136,Calc_Actuals!$K$2:$K$865,O136,Calc_Actuals!$F$2:$F$865,B136,Calc_Actuals!$H$2:$H$865,C136,Calc_Actuals!$C$2:$C$865,"Actual"),0)</f>
        <v>0</v>
      </c>
      <c r="O136" s="42" t="n">
        <f aca="false">VALUE(RIGHT(A136,2))</f>
        <v>11</v>
      </c>
      <c r="P136" s="42" t="str">
        <f aca="false">A136&amp;"|"&amp;B136&amp;"|"&amp;C136</f>
        <v>2025-11|North|Home Care</v>
      </c>
    </row>
    <row r="137" customFormat="false" ht="15" hidden="false" customHeight="false" outlineLevel="0" collapsed="false">
      <c r="A137" s="42" t="str">
        <f aca="false">Sales_Budget!A126</f>
        <v>2025-11</v>
      </c>
      <c r="B137" s="42" t="str">
        <f aca="false">Sales_Budget!B126</f>
        <v>North</v>
      </c>
      <c r="C137" s="42" t="str">
        <f aca="false">Sales_Budget!C126</f>
        <v>Personal Care</v>
      </c>
      <c r="D137" s="43" t="n">
        <f aca="false">Sales_Budget!E126</f>
        <v>1110000</v>
      </c>
      <c r="E137" s="43" t="n">
        <f aca="false">Sales_Budget!F126</f>
        <v>688200</v>
      </c>
      <c r="F137" s="43" t="n">
        <f aca="false">Sales_Budget!G126</f>
        <v>421800</v>
      </c>
      <c r="G137" s="42" t="n">
        <f aca="false">VALUE(LEFT(A137,4))</f>
        <v>2025</v>
      </c>
      <c r="H137" s="42" t="n">
        <f aca="false">IF(COUNTIFS(Calc_Actuals!$F$2:$F$865,B137,Calc_Actuals!$H$2:$H$865,C137,Calc_Actuals!$C$2:$C$865,"Actual")&gt;0,1,0)</f>
        <v>1</v>
      </c>
      <c r="I137" s="42" t="str">
        <f aca="false">IFERROR(INDEX(Calendar!$E$2:$E$25,MATCH(A137,Calendar!$A$2:$A$25,0)),"UNMATCHED")</f>
        <v>Actual</v>
      </c>
      <c r="J137" s="43" t="n">
        <f aca="false">D137*$B$7</f>
        <v>282036.372912259</v>
      </c>
      <c r="K137" s="43" t="n">
        <f aca="false">E137*$B$7</f>
        <v>174862.551205601</v>
      </c>
      <c r="L137" s="43" t="n">
        <f aca="false">F137*$B$7</f>
        <v>107173.821706658</v>
      </c>
      <c r="M137" s="43" t="n">
        <f aca="false">IF(I137="Actual",SUMIFS(Calc_Actuals!$N$2:$N$865,Calc_Actuals!$J$2:$J$865,G137,Calc_Actuals!$K$2:$K$865,O137,Calc_Actuals!$F$2:$F$865,B137,Calc_Actuals!$H$2:$H$865,C137,Calc_Actuals!$C$2:$C$865,"Actual"),0)</f>
        <v>596990.98</v>
      </c>
      <c r="N137" s="43" t="n">
        <f aca="false">IF(I137="Actual",SUMIFS(Calc_Actuals!$P$2:$P$865,Calc_Actuals!$J$2:$J$865,G137,Calc_Actuals!$K$2:$K$865,O137,Calc_Actuals!$F$2:$F$865,B137,Calc_Actuals!$H$2:$H$865,C137,Calc_Actuals!$C$2:$C$865,"Actual"),0)</f>
        <v>209420.1</v>
      </c>
      <c r="O137" s="42" t="n">
        <f aca="false">VALUE(RIGHT(A137,2))</f>
        <v>11</v>
      </c>
      <c r="P137" s="42" t="str">
        <f aca="false">A137&amp;"|"&amp;B137&amp;"|"&amp;C137</f>
        <v>2025-11|North|Personal Care</v>
      </c>
    </row>
    <row r="138" customFormat="false" ht="15" hidden="false" customHeight="false" outlineLevel="0" collapsed="false">
      <c r="A138" s="42" t="str">
        <f aca="false">Sales_Budget!A127</f>
        <v>2025-11</v>
      </c>
      <c r="B138" s="42" t="str">
        <f aca="false">Sales_Budget!B127</f>
        <v>North</v>
      </c>
      <c r="C138" s="42" t="str">
        <f aca="false">Sales_Budget!C127</f>
        <v>Foods</v>
      </c>
      <c r="D138" s="43" t="n">
        <f aca="false">Sales_Budget!E127</f>
        <v>1185000</v>
      </c>
      <c r="E138" s="43" t="n">
        <f aca="false">Sales_Budget!F127</f>
        <v>734700</v>
      </c>
      <c r="F138" s="43" t="n">
        <f aca="false">Sales_Budget!G127</f>
        <v>450300</v>
      </c>
      <c r="G138" s="42" t="n">
        <f aca="false">VALUE(LEFT(A138,4))</f>
        <v>2025</v>
      </c>
      <c r="H138" s="42" t="n">
        <f aca="false">IF(COUNTIFS(Calc_Actuals!$F$2:$F$865,B138,Calc_Actuals!$H$2:$H$865,C138,Calc_Actuals!$C$2:$C$865,"Actual")&gt;0,1,0)</f>
        <v>0</v>
      </c>
      <c r="I138" s="42" t="str">
        <f aca="false">IFERROR(INDEX(Calendar!$E$2:$E$25,MATCH(A138,Calendar!$A$2:$A$25,0)),"UNMATCHED")</f>
        <v>Actual</v>
      </c>
      <c r="J138" s="43" t="n">
        <f aca="false">D138*$B$7</f>
        <v>301092.88459552</v>
      </c>
      <c r="K138" s="43" t="n">
        <f aca="false">E138*$B$7</f>
        <v>186677.588449222</v>
      </c>
      <c r="L138" s="43" t="n">
        <f aca="false">F138*$B$7</f>
        <v>114415.296146297</v>
      </c>
      <c r="M138" s="43" t="n">
        <f aca="false">IF(I138="Actual",SUMIFS(Calc_Actuals!$N$2:$N$865,Calc_Actuals!$J$2:$J$865,G138,Calc_Actuals!$K$2:$K$865,O138,Calc_Actuals!$F$2:$F$865,B138,Calc_Actuals!$H$2:$H$865,C138,Calc_Actuals!$C$2:$C$865,"Actual"),0)</f>
        <v>0</v>
      </c>
      <c r="N138" s="43" t="n">
        <f aca="false">IF(I138="Actual",SUMIFS(Calc_Actuals!$P$2:$P$865,Calc_Actuals!$J$2:$J$865,G138,Calc_Actuals!$K$2:$K$865,O138,Calc_Actuals!$F$2:$F$865,B138,Calc_Actuals!$H$2:$H$865,C138,Calc_Actuals!$C$2:$C$865,"Actual"),0)</f>
        <v>0</v>
      </c>
      <c r="O138" s="42" t="n">
        <f aca="false">VALUE(RIGHT(A138,2))</f>
        <v>11</v>
      </c>
      <c r="P138" s="42" t="str">
        <f aca="false">A138&amp;"|"&amp;B138&amp;"|"&amp;C138</f>
        <v>2025-11|North|Foods</v>
      </c>
    </row>
    <row r="139" customFormat="false" ht="15" hidden="false" customHeight="false" outlineLevel="0" collapsed="false">
      <c r="A139" s="42" t="str">
        <f aca="false">Sales_Budget!A128</f>
        <v>2025-11</v>
      </c>
      <c r="B139" s="42" t="str">
        <f aca="false">Sales_Budget!B128</f>
        <v>West</v>
      </c>
      <c r="C139" s="42" t="str">
        <f aca="false">Sales_Budget!C128</f>
        <v>Home Care</v>
      </c>
      <c r="D139" s="43" t="n">
        <f aca="false">Sales_Budget!E128</f>
        <v>1120000</v>
      </c>
      <c r="E139" s="43" t="n">
        <f aca="false">Sales_Budget!F128</f>
        <v>694400</v>
      </c>
      <c r="F139" s="43" t="n">
        <f aca="false">Sales_Budget!G128</f>
        <v>425600</v>
      </c>
      <c r="G139" s="42" t="n">
        <f aca="false">VALUE(LEFT(A139,4))</f>
        <v>2025</v>
      </c>
      <c r="H139" s="42" t="n">
        <f aca="false">IF(COUNTIFS(Calc_Actuals!$F$2:$F$865,B139,Calc_Actuals!$H$2:$H$865,C139,Calc_Actuals!$C$2:$C$865,"Actual")&gt;0,1,0)</f>
        <v>1</v>
      </c>
      <c r="I139" s="42" t="str">
        <f aca="false">IFERROR(INDEX(Calendar!$E$2:$E$25,MATCH(A139,Calendar!$A$2:$A$25,0)),"UNMATCHED")</f>
        <v>Actual</v>
      </c>
      <c r="J139" s="43" t="n">
        <f aca="false">D139*$B$7</f>
        <v>284577.241136694</v>
      </c>
      <c r="K139" s="43" t="n">
        <f aca="false">E139*$B$7</f>
        <v>176437.88950475</v>
      </c>
      <c r="L139" s="43" t="n">
        <f aca="false">F139*$B$7</f>
        <v>108139.351631944</v>
      </c>
      <c r="M139" s="43" t="n">
        <f aca="false">IF(I139="Actual",SUMIFS(Calc_Actuals!$N$2:$N$865,Calc_Actuals!$J$2:$J$865,G139,Calc_Actuals!$K$2:$K$865,O139,Calc_Actuals!$F$2:$F$865,B139,Calc_Actuals!$H$2:$H$865,C139,Calc_Actuals!$C$2:$C$865,"Actual"),0)</f>
        <v>184428.82</v>
      </c>
      <c r="N139" s="43" t="n">
        <f aca="false">IF(I139="Actual",SUMIFS(Calc_Actuals!$P$2:$P$865,Calc_Actuals!$J$2:$J$865,G139,Calc_Actuals!$K$2:$K$865,O139,Calc_Actuals!$F$2:$F$865,B139,Calc_Actuals!$H$2:$H$865,C139,Calc_Actuals!$C$2:$C$865,"Actual"),0)</f>
        <v>70716.72</v>
      </c>
      <c r="O139" s="42" t="n">
        <f aca="false">VALUE(RIGHT(A139,2))</f>
        <v>11</v>
      </c>
      <c r="P139" s="42" t="str">
        <f aca="false">A139&amp;"|"&amp;B139&amp;"|"&amp;C139</f>
        <v>2025-11|West|Home Care</v>
      </c>
    </row>
    <row r="140" customFormat="false" ht="15" hidden="false" customHeight="false" outlineLevel="0" collapsed="false">
      <c r="A140" s="42" t="str">
        <f aca="false">Sales_Budget!A129</f>
        <v>2025-11</v>
      </c>
      <c r="B140" s="42" t="str">
        <f aca="false">Sales_Budget!B129</f>
        <v>West</v>
      </c>
      <c r="C140" s="42" t="str">
        <f aca="false">Sales_Budget!C129</f>
        <v>Personal Care</v>
      </c>
      <c r="D140" s="43" t="n">
        <f aca="false">Sales_Budget!E129</f>
        <v>1195000</v>
      </c>
      <c r="E140" s="43" t="n">
        <f aca="false">Sales_Budget!F129</f>
        <v>740900</v>
      </c>
      <c r="F140" s="43" t="n">
        <f aca="false">Sales_Budget!G129</f>
        <v>454100</v>
      </c>
      <c r="G140" s="42" t="n">
        <f aca="false">VALUE(LEFT(A140,4))</f>
        <v>2025</v>
      </c>
      <c r="H140" s="42" t="n">
        <f aca="false">IF(COUNTIFS(Calc_Actuals!$F$2:$F$865,B140,Calc_Actuals!$H$2:$H$865,C140,Calc_Actuals!$C$2:$C$865,"Actual")&gt;0,1,0)</f>
        <v>1</v>
      </c>
      <c r="I140" s="42" t="str">
        <f aca="false">IFERROR(INDEX(Calendar!$E$2:$E$25,MATCH(A140,Calendar!$A$2:$A$25,0)),"UNMATCHED")</f>
        <v>Actual</v>
      </c>
      <c r="J140" s="43" t="n">
        <f aca="false">D140*$B$7</f>
        <v>303633.752819954</v>
      </c>
      <c r="K140" s="43" t="n">
        <f aca="false">E140*$B$7</f>
        <v>188252.926748372</v>
      </c>
      <c r="L140" s="43" t="n">
        <f aca="false">F140*$B$7</f>
        <v>115380.826071583</v>
      </c>
      <c r="M140" s="43" t="n">
        <f aca="false">IF(I140="Actual",SUMIFS(Calc_Actuals!$N$2:$N$865,Calc_Actuals!$J$2:$J$865,G140,Calc_Actuals!$K$2:$K$865,O140,Calc_Actuals!$F$2:$F$865,B140,Calc_Actuals!$H$2:$H$865,C140,Calc_Actuals!$C$2:$C$865,"Actual"),0)</f>
        <v>435300.46</v>
      </c>
      <c r="N140" s="43" t="n">
        <f aca="false">IF(I140="Actual",SUMIFS(Calc_Actuals!$P$2:$P$865,Calc_Actuals!$J$2:$J$865,G140,Calc_Actuals!$K$2:$K$865,O140,Calc_Actuals!$F$2:$F$865,B140,Calc_Actuals!$H$2:$H$865,C140,Calc_Actuals!$C$2:$C$865,"Actual"),0)</f>
        <v>151431.43</v>
      </c>
      <c r="O140" s="42" t="n">
        <f aca="false">VALUE(RIGHT(A140,2))</f>
        <v>11</v>
      </c>
      <c r="P140" s="42" t="str">
        <f aca="false">A140&amp;"|"&amp;B140&amp;"|"&amp;C140</f>
        <v>2025-11|West|Personal Care</v>
      </c>
    </row>
    <row r="141" customFormat="false" ht="15" hidden="false" customHeight="false" outlineLevel="0" collapsed="false">
      <c r="A141" s="42" t="str">
        <f aca="false">Sales_Budget!A130</f>
        <v>2025-11</v>
      </c>
      <c r="B141" s="42" t="str">
        <f aca="false">Sales_Budget!B130</f>
        <v>West</v>
      </c>
      <c r="C141" s="42" t="str">
        <f aca="false">Sales_Budget!C130</f>
        <v>Foods</v>
      </c>
      <c r="D141" s="43" t="n">
        <f aca="false">Sales_Budget!E130</f>
        <v>1270000</v>
      </c>
      <c r="E141" s="43" t="n">
        <f aca="false">Sales_Budget!F130</f>
        <v>787400</v>
      </c>
      <c r="F141" s="43" t="n">
        <f aca="false">Sales_Budget!G130</f>
        <v>482600</v>
      </c>
      <c r="G141" s="42" t="n">
        <f aca="false">VALUE(LEFT(A141,4))</f>
        <v>2025</v>
      </c>
      <c r="H141" s="42" t="n">
        <f aca="false">IF(COUNTIFS(Calc_Actuals!$F$2:$F$865,B141,Calc_Actuals!$H$2:$H$865,C141,Calc_Actuals!$C$2:$C$865,"Actual")&gt;0,1,0)</f>
        <v>0</v>
      </c>
      <c r="I141" s="42" t="str">
        <f aca="false">IFERROR(INDEX(Calendar!$E$2:$E$25,MATCH(A141,Calendar!$A$2:$A$25,0)),"UNMATCHED")</f>
        <v>Actual</v>
      </c>
      <c r="J141" s="43" t="n">
        <f aca="false">D141*$B$7</f>
        <v>322690.264503215</v>
      </c>
      <c r="K141" s="43" t="n">
        <f aca="false">E141*$B$7</f>
        <v>200067.963991993</v>
      </c>
      <c r="L141" s="43" t="n">
        <f aca="false">F141*$B$7</f>
        <v>122622.300511222</v>
      </c>
      <c r="M141" s="43" t="n">
        <f aca="false">IF(I141="Actual",SUMIFS(Calc_Actuals!$N$2:$N$865,Calc_Actuals!$J$2:$J$865,G141,Calc_Actuals!$K$2:$K$865,O141,Calc_Actuals!$F$2:$F$865,B141,Calc_Actuals!$H$2:$H$865,C141,Calc_Actuals!$C$2:$C$865,"Actual"),0)</f>
        <v>0</v>
      </c>
      <c r="N141" s="43" t="n">
        <f aca="false">IF(I141="Actual",SUMIFS(Calc_Actuals!$P$2:$P$865,Calc_Actuals!$J$2:$J$865,G141,Calc_Actuals!$K$2:$K$865,O141,Calc_Actuals!$F$2:$F$865,B141,Calc_Actuals!$H$2:$H$865,C141,Calc_Actuals!$C$2:$C$865,"Actual"),0)</f>
        <v>0</v>
      </c>
      <c r="O141" s="42" t="n">
        <f aca="false">VALUE(RIGHT(A141,2))</f>
        <v>11</v>
      </c>
      <c r="P141" s="42" t="str">
        <f aca="false">A141&amp;"|"&amp;B141&amp;"|"&amp;C141</f>
        <v>2025-11|West|Foods</v>
      </c>
    </row>
    <row r="142" customFormat="false" ht="15" hidden="false" customHeight="false" outlineLevel="0" collapsed="false">
      <c r="A142" s="42" t="str">
        <f aca="false">Sales_Budget!A131</f>
        <v>2025-11</v>
      </c>
      <c r="B142" s="42" t="str">
        <f aca="false">Sales_Budget!B131</f>
        <v>East</v>
      </c>
      <c r="C142" s="42" t="str">
        <f aca="false">Sales_Budget!C131</f>
        <v>Home Care</v>
      </c>
      <c r="D142" s="43" t="n">
        <f aca="false">Sales_Budget!E131</f>
        <v>1205000</v>
      </c>
      <c r="E142" s="43" t="n">
        <f aca="false">Sales_Budget!F131</f>
        <v>747100</v>
      </c>
      <c r="F142" s="43" t="n">
        <f aca="false">Sales_Budget!G131</f>
        <v>457900</v>
      </c>
      <c r="G142" s="42" t="n">
        <f aca="false">VALUE(LEFT(A142,4))</f>
        <v>2025</v>
      </c>
      <c r="H142" s="42" t="n">
        <f aca="false">IF(COUNTIFS(Calc_Actuals!$F$2:$F$865,B142,Calc_Actuals!$H$2:$H$865,C142,Calc_Actuals!$C$2:$C$865,"Actual")&gt;0,1,0)</f>
        <v>1</v>
      </c>
      <c r="I142" s="42" t="str">
        <f aca="false">IFERROR(INDEX(Calendar!$E$2:$E$25,MATCH(A142,Calendar!$A$2:$A$25,0)),"UNMATCHED")</f>
        <v>Actual</v>
      </c>
      <c r="J142" s="43" t="n">
        <f aca="false">D142*$B$7</f>
        <v>306174.621044389</v>
      </c>
      <c r="K142" s="43" t="n">
        <f aca="false">E142*$B$7</f>
        <v>189828.265047521</v>
      </c>
      <c r="L142" s="43" t="n">
        <f aca="false">F142*$B$7</f>
        <v>116346.355996868</v>
      </c>
      <c r="M142" s="43" t="n">
        <f aca="false">IF(I142="Actual",SUMIFS(Calc_Actuals!$N$2:$N$865,Calc_Actuals!$J$2:$J$865,G142,Calc_Actuals!$K$2:$K$865,O142,Calc_Actuals!$F$2:$F$865,B142,Calc_Actuals!$H$2:$H$865,C142,Calc_Actuals!$C$2:$C$865,"Actual"),0)</f>
        <v>160732.94</v>
      </c>
      <c r="N142" s="43" t="n">
        <f aca="false">IF(I142="Actual",SUMIFS(Calc_Actuals!$P$2:$P$865,Calc_Actuals!$J$2:$J$865,G142,Calc_Actuals!$K$2:$K$865,O142,Calc_Actuals!$F$2:$F$865,B142,Calc_Actuals!$H$2:$H$865,C142,Calc_Actuals!$C$2:$C$865,"Actual"),0)</f>
        <v>64936.41</v>
      </c>
      <c r="O142" s="42" t="n">
        <f aca="false">VALUE(RIGHT(A142,2))</f>
        <v>11</v>
      </c>
      <c r="P142" s="42" t="str">
        <f aca="false">A142&amp;"|"&amp;B142&amp;"|"&amp;C142</f>
        <v>2025-11|East|Home Care</v>
      </c>
    </row>
    <row r="143" customFormat="false" ht="15" hidden="false" customHeight="false" outlineLevel="0" collapsed="false">
      <c r="A143" s="42" t="str">
        <f aca="false">Sales_Budget!A132</f>
        <v>2025-11</v>
      </c>
      <c r="B143" s="42" t="str">
        <f aca="false">Sales_Budget!B132</f>
        <v>East</v>
      </c>
      <c r="C143" s="42" t="str">
        <f aca="false">Sales_Budget!C132</f>
        <v>Personal Care</v>
      </c>
      <c r="D143" s="43" t="n">
        <f aca="false">Sales_Budget!E132</f>
        <v>1280000</v>
      </c>
      <c r="E143" s="43" t="n">
        <f aca="false">Sales_Budget!F132</f>
        <v>793600</v>
      </c>
      <c r="F143" s="43" t="n">
        <f aca="false">Sales_Budget!G132</f>
        <v>486400</v>
      </c>
      <c r="G143" s="42" t="n">
        <f aca="false">VALUE(LEFT(A143,4))</f>
        <v>2025</v>
      </c>
      <c r="H143" s="42" t="n">
        <f aca="false">IF(COUNTIFS(Calc_Actuals!$F$2:$F$865,B143,Calc_Actuals!$H$2:$H$865,C143,Calc_Actuals!$C$2:$C$865,"Actual")&gt;0,1,0)</f>
        <v>0</v>
      </c>
      <c r="I143" s="42" t="str">
        <f aca="false">IFERROR(INDEX(Calendar!$E$2:$E$25,MATCH(A143,Calendar!$A$2:$A$25,0)),"UNMATCHED")</f>
        <v>Actual</v>
      </c>
      <c r="J143" s="43" t="n">
        <f aca="false">D143*$B$7</f>
        <v>325231.13272765</v>
      </c>
      <c r="K143" s="43" t="n">
        <f aca="false">E143*$B$7</f>
        <v>201643.302291143</v>
      </c>
      <c r="L143" s="43" t="n">
        <f aca="false">F143*$B$7</f>
        <v>123587.830436507</v>
      </c>
      <c r="M143" s="43" t="n">
        <f aca="false">IF(I143="Actual",SUMIFS(Calc_Actuals!$N$2:$N$865,Calc_Actuals!$J$2:$J$865,G143,Calc_Actuals!$K$2:$K$865,O143,Calc_Actuals!$F$2:$F$865,B143,Calc_Actuals!$H$2:$H$865,C143,Calc_Actuals!$C$2:$C$865,"Actual"),0)</f>
        <v>0</v>
      </c>
      <c r="N143" s="43" t="n">
        <f aca="false">IF(I143="Actual",SUMIFS(Calc_Actuals!$P$2:$P$865,Calc_Actuals!$J$2:$J$865,G143,Calc_Actuals!$K$2:$K$865,O143,Calc_Actuals!$F$2:$F$865,B143,Calc_Actuals!$H$2:$H$865,C143,Calc_Actuals!$C$2:$C$865,"Actual"),0)</f>
        <v>0</v>
      </c>
      <c r="O143" s="42" t="n">
        <f aca="false">VALUE(RIGHT(A143,2))</f>
        <v>11</v>
      </c>
      <c r="P143" s="42" t="str">
        <f aca="false">A143&amp;"|"&amp;B143&amp;"|"&amp;C143</f>
        <v>2025-11|East|Personal Care</v>
      </c>
    </row>
    <row r="144" customFormat="false" ht="15" hidden="false" customHeight="false" outlineLevel="0" collapsed="false">
      <c r="A144" s="42" t="str">
        <f aca="false">Sales_Budget!A133</f>
        <v>2025-11</v>
      </c>
      <c r="B144" s="42" t="str">
        <f aca="false">Sales_Budget!B133</f>
        <v>East</v>
      </c>
      <c r="C144" s="42" t="str">
        <f aca="false">Sales_Budget!C133</f>
        <v>Foods</v>
      </c>
      <c r="D144" s="43" t="n">
        <f aca="false">Sales_Budget!E133</f>
        <v>1355000</v>
      </c>
      <c r="E144" s="43" t="n">
        <f aca="false">Sales_Budget!F133</f>
        <v>840100</v>
      </c>
      <c r="F144" s="43" t="n">
        <f aca="false">Sales_Budget!G133</f>
        <v>514900</v>
      </c>
      <c r="G144" s="42" t="n">
        <f aca="false">VALUE(LEFT(A144,4))</f>
        <v>2025</v>
      </c>
      <c r="H144" s="42" t="n">
        <f aca="false">IF(COUNTIFS(Calc_Actuals!$F$2:$F$865,B144,Calc_Actuals!$H$2:$H$865,C144,Calc_Actuals!$C$2:$C$865,"Actual")&gt;0,1,0)</f>
        <v>1</v>
      </c>
      <c r="I144" s="42" t="str">
        <f aca="false">IFERROR(INDEX(Calendar!$E$2:$E$25,MATCH(A144,Calendar!$A$2:$A$25,0)),"UNMATCHED")</f>
        <v>Actual</v>
      </c>
      <c r="J144" s="43" t="n">
        <f aca="false">D144*$B$7</f>
        <v>344287.644410911</v>
      </c>
      <c r="K144" s="43" t="n">
        <f aca="false">E144*$B$7</f>
        <v>213458.339534765</v>
      </c>
      <c r="L144" s="43" t="n">
        <f aca="false">F144*$B$7</f>
        <v>130829.304876146</v>
      </c>
      <c r="M144" s="43" t="n">
        <f aca="false">IF(I144="Actual",SUMIFS(Calc_Actuals!$N$2:$N$865,Calc_Actuals!$J$2:$J$865,G144,Calc_Actuals!$K$2:$K$865,O144,Calc_Actuals!$F$2:$F$865,B144,Calc_Actuals!$H$2:$H$865,C144,Calc_Actuals!$C$2:$C$865,"Actual"),0)</f>
        <v>307665.04</v>
      </c>
      <c r="N144" s="43" t="n">
        <f aca="false">IF(I144="Actual",SUMIFS(Calc_Actuals!$P$2:$P$865,Calc_Actuals!$J$2:$J$865,G144,Calc_Actuals!$K$2:$K$865,O144,Calc_Actuals!$F$2:$F$865,B144,Calc_Actuals!$H$2:$H$865,C144,Calc_Actuals!$C$2:$C$865,"Actual"),0)</f>
        <v>101776.42</v>
      </c>
      <c r="O144" s="42" t="n">
        <f aca="false">VALUE(RIGHT(A144,2))</f>
        <v>11</v>
      </c>
      <c r="P144" s="42" t="str">
        <f aca="false">A144&amp;"|"&amp;B144&amp;"|"&amp;C144</f>
        <v>2025-11|East|Foods</v>
      </c>
    </row>
    <row r="145" customFormat="false" ht="15" hidden="false" customHeight="false" outlineLevel="0" collapsed="false">
      <c r="A145" s="42" t="str">
        <f aca="false">Sales_Budget!A134</f>
        <v>2025-12</v>
      </c>
      <c r="B145" s="42" t="str">
        <f aca="false">Sales_Budget!B134</f>
        <v>South</v>
      </c>
      <c r="C145" s="42" t="str">
        <f aca="false">Sales_Budget!C134</f>
        <v>Home Care</v>
      </c>
      <c r="D145" s="43" t="n">
        <f aca="false">Sales_Budget!E134</f>
        <v>950000</v>
      </c>
      <c r="E145" s="43" t="n">
        <f aca="false">Sales_Budget!F134</f>
        <v>589000</v>
      </c>
      <c r="F145" s="43" t="n">
        <f aca="false">Sales_Budget!G134</f>
        <v>361000</v>
      </c>
      <c r="G145" s="42" t="n">
        <f aca="false">VALUE(LEFT(A145,4))</f>
        <v>2025</v>
      </c>
      <c r="H145" s="42" t="n">
        <f aca="false">IF(COUNTIFS(Calc_Actuals!$F$2:$F$865,B145,Calc_Actuals!$H$2:$H$865,C145,Calc_Actuals!$C$2:$C$865,"Actual")&gt;0,1,0)</f>
        <v>1</v>
      </c>
      <c r="I145" s="42" t="str">
        <f aca="false">IFERROR(INDEX(Calendar!$E$2:$E$25,MATCH(A145,Calendar!$A$2:$A$25,0)),"UNMATCHED")</f>
        <v>Actual</v>
      </c>
      <c r="J145" s="43" t="n">
        <f aca="false">D145*$B$7</f>
        <v>241382.481321303</v>
      </c>
      <c r="K145" s="43" t="n">
        <f aca="false">E145*$B$7</f>
        <v>149657.138419208</v>
      </c>
      <c r="L145" s="43" t="n">
        <f aca="false">F145*$B$7</f>
        <v>91725.342902095</v>
      </c>
      <c r="M145" s="43" t="n">
        <f aca="false">IF(I145="Actual",SUMIFS(Calc_Actuals!$N$2:$N$865,Calc_Actuals!$J$2:$J$865,G145,Calc_Actuals!$K$2:$K$865,O145,Calc_Actuals!$F$2:$F$865,B145,Calc_Actuals!$H$2:$H$865,C145,Calc_Actuals!$C$2:$C$865,"Actual"),0)</f>
        <v>347861.16</v>
      </c>
      <c r="N145" s="43" t="n">
        <f aca="false">IF(I145="Actual",SUMIFS(Calc_Actuals!$P$2:$P$865,Calc_Actuals!$J$2:$J$865,G145,Calc_Actuals!$K$2:$K$865,O145,Calc_Actuals!$F$2:$F$865,B145,Calc_Actuals!$H$2:$H$865,C145,Calc_Actuals!$C$2:$C$865,"Actual"),0)</f>
        <v>119948.69</v>
      </c>
      <c r="O145" s="42" t="n">
        <f aca="false">VALUE(RIGHT(A145,2))</f>
        <v>12</v>
      </c>
      <c r="P145" s="42" t="str">
        <f aca="false">A145&amp;"|"&amp;B145&amp;"|"&amp;C145</f>
        <v>2025-12|South|Home Care</v>
      </c>
    </row>
    <row r="146" customFormat="false" ht="15" hidden="false" customHeight="false" outlineLevel="0" collapsed="false">
      <c r="A146" s="42" t="str">
        <f aca="false">Sales_Budget!A135</f>
        <v>2025-12</v>
      </c>
      <c r="B146" s="42" t="str">
        <f aca="false">Sales_Budget!B135</f>
        <v>South</v>
      </c>
      <c r="C146" s="42" t="str">
        <f aca="false">Sales_Budget!C135</f>
        <v>Personal Care</v>
      </c>
      <c r="D146" s="43" t="n">
        <f aca="false">Sales_Budget!E135</f>
        <v>1025000</v>
      </c>
      <c r="E146" s="43" t="n">
        <f aca="false">Sales_Budget!F135</f>
        <v>635500</v>
      </c>
      <c r="F146" s="43" t="n">
        <f aca="false">Sales_Budget!G135</f>
        <v>389500</v>
      </c>
      <c r="G146" s="42" t="n">
        <f aca="false">VALUE(LEFT(A146,4))</f>
        <v>2025</v>
      </c>
      <c r="H146" s="42" t="n">
        <f aca="false">IF(COUNTIFS(Calc_Actuals!$F$2:$F$865,B146,Calc_Actuals!$H$2:$H$865,C146,Calc_Actuals!$C$2:$C$865,"Actual")&gt;0,1,0)</f>
        <v>0</v>
      </c>
      <c r="I146" s="42" t="str">
        <f aca="false">IFERROR(INDEX(Calendar!$E$2:$E$25,MATCH(A146,Calendar!$A$2:$A$25,0)),"UNMATCHED")</f>
        <v>Actual</v>
      </c>
      <c r="J146" s="43" t="n">
        <f aca="false">D146*$B$7</f>
        <v>260438.993004563</v>
      </c>
      <c r="K146" s="43" t="n">
        <f aca="false">E146*$B$7</f>
        <v>161472.175662829</v>
      </c>
      <c r="L146" s="43" t="n">
        <f aca="false">F146*$B$7</f>
        <v>98966.8173417341</v>
      </c>
      <c r="M146" s="43" t="n">
        <f aca="false">IF(I146="Actual",SUMIFS(Calc_Actuals!$N$2:$N$865,Calc_Actuals!$J$2:$J$865,G146,Calc_Actuals!$K$2:$K$865,O146,Calc_Actuals!$F$2:$F$865,B146,Calc_Actuals!$H$2:$H$865,C146,Calc_Actuals!$C$2:$C$865,"Actual"),0)</f>
        <v>0</v>
      </c>
      <c r="N146" s="43" t="n">
        <f aca="false">IF(I146="Actual",SUMIFS(Calc_Actuals!$P$2:$P$865,Calc_Actuals!$J$2:$J$865,G146,Calc_Actuals!$K$2:$K$865,O146,Calc_Actuals!$F$2:$F$865,B146,Calc_Actuals!$H$2:$H$865,C146,Calc_Actuals!$C$2:$C$865,"Actual"),0)</f>
        <v>0</v>
      </c>
      <c r="O146" s="42" t="n">
        <f aca="false">VALUE(RIGHT(A146,2))</f>
        <v>12</v>
      </c>
      <c r="P146" s="42" t="str">
        <f aca="false">A146&amp;"|"&amp;B146&amp;"|"&amp;C146</f>
        <v>2025-12|South|Personal Care</v>
      </c>
    </row>
    <row r="147" customFormat="false" ht="15" hidden="false" customHeight="false" outlineLevel="0" collapsed="false">
      <c r="A147" s="42" t="str">
        <f aca="false">Sales_Budget!A136</f>
        <v>2025-12</v>
      </c>
      <c r="B147" s="42" t="str">
        <f aca="false">Sales_Budget!B136</f>
        <v>South</v>
      </c>
      <c r="C147" s="42" t="str">
        <f aca="false">Sales_Budget!C136</f>
        <v>Foods</v>
      </c>
      <c r="D147" s="43" t="n">
        <f aca="false">Sales_Budget!E136</f>
        <v>1100000</v>
      </c>
      <c r="E147" s="43" t="n">
        <f aca="false">Sales_Budget!F136</f>
        <v>682000</v>
      </c>
      <c r="F147" s="43" t="n">
        <f aca="false">Sales_Budget!G136</f>
        <v>418000</v>
      </c>
      <c r="G147" s="42" t="n">
        <f aca="false">VALUE(LEFT(A147,4))</f>
        <v>2025</v>
      </c>
      <c r="H147" s="42" t="n">
        <f aca="false">IF(COUNTIFS(Calc_Actuals!$F$2:$F$865,B147,Calc_Actuals!$H$2:$H$865,C147,Calc_Actuals!$C$2:$C$865,"Actual")&gt;0,1,0)</f>
        <v>1</v>
      </c>
      <c r="I147" s="42" t="str">
        <f aca="false">IFERROR(INDEX(Calendar!$E$2:$E$25,MATCH(A147,Calendar!$A$2:$A$25,0)),"UNMATCHED")</f>
        <v>Actual</v>
      </c>
      <c r="J147" s="43" t="n">
        <f aca="false">D147*$B$7</f>
        <v>279495.504687824</v>
      </c>
      <c r="K147" s="43" t="n">
        <f aca="false">E147*$B$7</f>
        <v>173287.212906451</v>
      </c>
      <c r="L147" s="43" t="n">
        <f aca="false">F147*$B$7</f>
        <v>106208.291781373</v>
      </c>
      <c r="M147" s="43" t="n">
        <f aca="false">IF(I147="Actual",SUMIFS(Calc_Actuals!$N$2:$N$865,Calc_Actuals!$J$2:$J$865,G147,Calc_Actuals!$K$2:$K$865,O147,Calc_Actuals!$F$2:$F$865,B147,Calc_Actuals!$H$2:$H$865,C147,Calc_Actuals!$C$2:$C$865,"Actual"),0)</f>
        <v>143656.36</v>
      </c>
      <c r="N147" s="43" t="n">
        <f aca="false">IF(I147="Actual",SUMIFS(Calc_Actuals!$P$2:$P$865,Calc_Actuals!$J$2:$J$865,G147,Calc_Actuals!$K$2:$K$865,O147,Calc_Actuals!$F$2:$F$865,B147,Calc_Actuals!$H$2:$H$865,C147,Calc_Actuals!$C$2:$C$865,"Actual"),0)</f>
        <v>51110.02</v>
      </c>
      <c r="O147" s="42" t="n">
        <f aca="false">VALUE(RIGHT(A147,2))</f>
        <v>12</v>
      </c>
      <c r="P147" s="42" t="str">
        <f aca="false">A147&amp;"|"&amp;B147&amp;"|"&amp;C147</f>
        <v>2025-12|South|Foods</v>
      </c>
    </row>
    <row r="148" customFormat="false" ht="15" hidden="false" customHeight="false" outlineLevel="0" collapsed="false">
      <c r="A148" s="42" t="str">
        <f aca="false">Sales_Budget!A137</f>
        <v>2025-12</v>
      </c>
      <c r="B148" s="42" t="str">
        <f aca="false">Sales_Budget!B137</f>
        <v>North</v>
      </c>
      <c r="C148" s="42" t="str">
        <f aca="false">Sales_Budget!C137</f>
        <v>Home Care</v>
      </c>
      <c r="D148" s="43" t="n">
        <f aca="false">Sales_Budget!E137</f>
        <v>1035000</v>
      </c>
      <c r="E148" s="43" t="n">
        <f aca="false">Sales_Budget!F137</f>
        <v>641700</v>
      </c>
      <c r="F148" s="43" t="n">
        <f aca="false">Sales_Budget!G137</f>
        <v>393300</v>
      </c>
      <c r="G148" s="42" t="n">
        <f aca="false">VALUE(LEFT(A148,4))</f>
        <v>2025</v>
      </c>
      <c r="H148" s="42" t="n">
        <f aca="false">IF(COUNTIFS(Calc_Actuals!$F$2:$F$865,B148,Calc_Actuals!$H$2:$H$865,C148,Calc_Actuals!$C$2:$C$865,"Actual")&gt;0,1,0)</f>
        <v>0</v>
      </c>
      <c r="I148" s="42" t="str">
        <f aca="false">IFERROR(INDEX(Calendar!$E$2:$E$25,MATCH(A148,Calendar!$A$2:$A$25,0)),"UNMATCHED")</f>
        <v>Actual</v>
      </c>
      <c r="J148" s="43" t="n">
        <f aca="false">D148*$B$7</f>
        <v>262979.861228998</v>
      </c>
      <c r="K148" s="43" t="n">
        <f aca="false">E148*$B$7</f>
        <v>163047.513961979</v>
      </c>
      <c r="L148" s="43" t="n">
        <f aca="false">F148*$B$7</f>
        <v>99932.3472670193</v>
      </c>
      <c r="M148" s="43" t="n">
        <f aca="false">IF(I148="Actual",SUMIFS(Calc_Actuals!$N$2:$N$865,Calc_Actuals!$J$2:$J$865,G148,Calc_Actuals!$K$2:$K$865,O148,Calc_Actuals!$F$2:$F$865,B148,Calc_Actuals!$H$2:$H$865,C148,Calc_Actuals!$C$2:$C$865,"Actual"),0)</f>
        <v>0</v>
      </c>
      <c r="N148" s="43" t="n">
        <f aca="false">IF(I148="Actual",SUMIFS(Calc_Actuals!$P$2:$P$865,Calc_Actuals!$J$2:$J$865,G148,Calc_Actuals!$K$2:$K$865,O148,Calc_Actuals!$F$2:$F$865,B148,Calc_Actuals!$H$2:$H$865,C148,Calc_Actuals!$C$2:$C$865,"Actual"),0)</f>
        <v>0</v>
      </c>
      <c r="O148" s="42" t="n">
        <f aca="false">VALUE(RIGHT(A148,2))</f>
        <v>12</v>
      </c>
      <c r="P148" s="42" t="str">
        <f aca="false">A148&amp;"|"&amp;B148&amp;"|"&amp;C148</f>
        <v>2025-12|North|Home Care</v>
      </c>
    </row>
    <row r="149" customFormat="false" ht="15" hidden="false" customHeight="false" outlineLevel="0" collapsed="false">
      <c r="A149" s="42" t="str">
        <f aca="false">Sales_Budget!A138</f>
        <v>2025-12</v>
      </c>
      <c r="B149" s="42" t="str">
        <f aca="false">Sales_Budget!B138</f>
        <v>North</v>
      </c>
      <c r="C149" s="42" t="str">
        <f aca="false">Sales_Budget!C138</f>
        <v>Personal Care</v>
      </c>
      <c r="D149" s="43" t="n">
        <f aca="false">Sales_Budget!E138</f>
        <v>1110000</v>
      </c>
      <c r="E149" s="43" t="n">
        <f aca="false">Sales_Budget!F138</f>
        <v>688200</v>
      </c>
      <c r="F149" s="43" t="n">
        <f aca="false">Sales_Budget!G138</f>
        <v>421800</v>
      </c>
      <c r="G149" s="42" t="n">
        <f aca="false">VALUE(LEFT(A149,4))</f>
        <v>2025</v>
      </c>
      <c r="H149" s="42" t="n">
        <f aca="false">IF(COUNTIFS(Calc_Actuals!$F$2:$F$865,B149,Calc_Actuals!$H$2:$H$865,C149,Calc_Actuals!$C$2:$C$865,"Actual")&gt;0,1,0)</f>
        <v>1</v>
      </c>
      <c r="I149" s="42" t="str">
        <f aca="false">IFERROR(INDEX(Calendar!$E$2:$E$25,MATCH(A149,Calendar!$A$2:$A$25,0)),"UNMATCHED")</f>
        <v>Actual</v>
      </c>
      <c r="J149" s="43" t="n">
        <f aca="false">D149*$B$7</f>
        <v>282036.372912259</v>
      </c>
      <c r="K149" s="43" t="n">
        <f aca="false">E149*$B$7</f>
        <v>174862.551205601</v>
      </c>
      <c r="L149" s="43" t="n">
        <f aca="false">F149*$B$7</f>
        <v>107173.821706658</v>
      </c>
      <c r="M149" s="43" t="n">
        <f aca="false">IF(I149="Actual",SUMIFS(Calc_Actuals!$N$2:$N$865,Calc_Actuals!$J$2:$J$865,G149,Calc_Actuals!$K$2:$K$865,O149,Calc_Actuals!$F$2:$F$865,B149,Calc_Actuals!$H$2:$H$865,C149,Calc_Actuals!$C$2:$C$865,"Actual"),0)</f>
        <v>570827.9</v>
      </c>
      <c r="N149" s="43" t="n">
        <f aca="false">IF(I149="Actual",SUMIFS(Calc_Actuals!$P$2:$P$865,Calc_Actuals!$J$2:$J$865,G149,Calc_Actuals!$K$2:$K$865,O149,Calc_Actuals!$F$2:$F$865,B149,Calc_Actuals!$H$2:$H$865,C149,Calc_Actuals!$C$2:$C$865,"Actual"),0)</f>
        <v>206357.99</v>
      </c>
      <c r="O149" s="42" t="n">
        <f aca="false">VALUE(RIGHT(A149,2))</f>
        <v>12</v>
      </c>
      <c r="P149" s="42" t="str">
        <f aca="false">A149&amp;"|"&amp;B149&amp;"|"&amp;C149</f>
        <v>2025-12|North|Personal Care</v>
      </c>
    </row>
    <row r="150" customFormat="false" ht="15" hidden="false" customHeight="false" outlineLevel="0" collapsed="false">
      <c r="A150" s="42" t="str">
        <f aca="false">Sales_Budget!A139</f>
        <v>2025-12</v>
      </c>
      <c r="B150" s="42" t="str">
        <f aca="false">Sales_Budget!B139</f>
        <v>North</v>
      </c>
      <c r="C150" s="42" t="str">
        <f aca="false">Sales_Budget!C139</f>
        <v>Foods</v>
      </c>
      <c r="D150" s="43" t="n">
        <f aca="false">Sales_Budget!E139</f>
        <v>1185000</v>
      </c>
      <c r="E150" s="43" t="n">
        <f aca="false">Sales_Budget!F139</f>
        <v>734700</v>
      </c>
      <c r="F150" s="43" t="n">
        <f aca="false">Sales_Budget!G139</f>
        <v>450300</v>
      </c>
      <c r="G150" s="42" t="n">
        <f aca="false">VALUE(LEFT(A150,4))</f>
        <v>2025</v>
      </c>
      <c r="H150" s="42" t="n">
        <f aca="false">IF(COUNTIFS(Calc_Actuals!$F$2:$F$865,B150,Calc_Actuals!$H$2:$H$865,C150,Calc_Actuals!$C$2:$C$865,"Actual")&gt;0,1,0)</f>
        <v>0</v>
      </c>
      <c r="I150" s="42" t="str">
        <f aca="false">IFERROR(INDEX(Calendar!$E$2:$E$25,MATCH(A150,Calendar!$A$2:$A$25,0)),"UNMATCHED")</f>
        <v>Actual</v>
      </c>
      <c r="J150" s="43" t="n">
        <f aca="false">D150*$B$7</f>
        <v>301092.88459552</v>
      </c>
      <c r="K150" s="43" t="n">
        <f aca="false">E150*$B$7</f>
        <v>186677.588449222</v>
      </c>
      <c r="L150" s="43" t="n">
        <f aca="false">F150*$B$7</f>
        <v>114415.296146297</v>
      </c>
      <c r="M150" s="43" t="n">
        <f aca="false">IF(I150="Actual",SUMIFS(Calc_Actuals!$N$2:$N$865,Calc_Actuals!$J$2:$J$865,G150,Calc_Actuals!$K$2:$K$865,O150,Calc_Actuals!$F$2:$F$865,B150,Calc_Actuals!$H$2:$H$865,C150,Calc_Actuals!$C$2:$C$865,"Actual"),0)</f>
        <v>0</v>
      </c>
      <c r="N150" s="43" t="n">
        <f aca="false">IF(I150="Actual",SUMIFS(Calc_Actuals!$P$2:$P$865,Calc_Actuals!$J$2:$J$865,G150,Calc_Actuals!$K$2:$K$865,O150,Calc_Actuals!$F$2:$F$865,B150,Calc_Actuals!$H$2:$H$865,C150,Calc_Actuals!$C$2:$C$865,"Actual"),0)</f>
        <v>0</v>
      </c>
      <c r="O150" s="42" t="n">
        <f aca="false">VALUE(RIGHT(A150,2))</f>
        <v>12</v>
      </c>
      <c r="P150" s="42" t="str">
        <f aca="false">A150&amp;"|"&amp;B150&amp;"|"&amp;C150</f>
        <v>2025-12|North|Foods</v>
      </c>
    </row>
    <row r="151" customFormat="false" ht="15" hidden="false" customHeight="false" outlineLevel="0" collapsed="false">
      <c r="A151" s="42" t="str">
        <f aca="false">Sales_Budget!A140</f>
        <v>2025-12</v>
      </c>
      <c r="B151" s="42" t="str">
        <f aca="false">Sales_Budget!B140</f>
        <v>West</v>
      </c>
      <c r="C151" s="42" t="str">
        <f aca="false">Sales_Budget!C140</f>
        <v>Home Care</v>
      </c>
      <c r="D151" s="43" t="n">
        <f aca="false">Sales_Budget!E140</f>
        <v>1120000</v>
      </c>
      <c r="E151" s="43" t="n">
        <f aca="false">Sales_Budget!F140</f>
        <v>694400</v>
      </c>
      <c r="F151" s="43" t="n">
        <f aca="false">Sales_Budget!G140</f>
        <v>425600</v>
      </c>
      <c r="G151" s="42" t="n">
        <f aca="false">VALUE(LEFT(A151,4))</f>
        <v>2025</v>
      </c>
      <c r="H151" s="42" t="n">
        <f aca="false">IF(COUNTIFS(Calc_Actuals!$F$2:$F$865,B151,Calc_Actuals!$H$2:$H$865,C151,Calc_Actuals!$C$2:$C$865,"Actual")&gt;0,1,0)</f>
        <v>1</v>
      </c>
      <c r="I151" s="42" t="str">
        <f aca="false">IFERROR(INDEX(Calendar!$E$2:$E$25,MATCH(A151,Calendar!$A$2:$A$25,0)),"UNMATCHED")</f>
        <v>Actual</v>
      </c>
      <c r="J151" s="43" t="n">
        <f aca="false">D151*$B$7</f>
        <v>284577.241136694</v>
      </c>
      <c r="K151" s="43" t="n">
        <f aca="false">E151*$B$7</f>
        <v>176437.88950475</v>
      </c>
      <c r="L151" s="43" t="n">
        <f aca="false">F151*$B$7</f>
        <v>108139.351631944</v>
      </c>
      <c r="M151" s="43" t="n">
        <f aca="false">IF(I151="Actual",SUMIFS(Calc_Actuals!$N$2:$N$865,Calc_Actuals!$J$2:$J$865,G151,Calc_Actuals!$K$2:$K$865,O151,Calc_Actuals!$F$2:$F$865,B151,Calc_Actuals!$H$2:$H$865,C151,Calc_Actuals!$C$2:$C$865,"Actual"),0)</f>
        <v>188745.42</v>
      </c>
      <c r="N151" s="43" t="n">
        <f aca="false">IF(I151="Actual",SUMIFS(Calc_Actuals!$P$2:$P$865,Calc_Actuals!$J$2:$J$865,G151,Calc_Actuals!$K$2:$K$865,O151,Calc_Actuals!$F$2:$F$865,B151,Calc_Actuals!$H$2:$H$865,C151,Calc_Actuals!$C$2:$C$865,"Actual"),0)</f>
        <v>70004.5</v>
      </c>
      <c r="O151" s="42" t="n">
        <f aca="false">VALUE(RIGHT(A151,2))</f>
        <v>12</v>
      </c>
      <c r="P151" s="42" t="str">
        <f aca="false">A151&amp;"|"&amp;B151&amp;"|"&amp;C151</f>
        <v>2025-12|West|Home Care</v>
      </c>
    </row>
    <row r="152" customFormat="false" ht="15" hidden="false" customHeight="false" outlineLevel="0" collapsed="false">
      <c r="A152" s="42" t="str">
        <f aca="false">Sales_Budget!A141</f>
        <v>2025-12</v>
      </c>
      <c r="B152" s="42" t="str">
        <f aca="false">Sales_Budget!B141</f>
        <v>West</v>
      </c>
      <c r="C152" s="42" t="str">
        <f aca="false">Sales_Budget!C141</f>
        <v>Personal Care</v>
      </c>
      <c r="D152" s="43" t="n">
        <f aca="false">Sales_Budget!E141</f>
        <v>1195000</v>
      </c>
      <c r="E152" s="43" t="n">
        <f aca="false">Sales_Budget!F141</f>
        <v>740900</v>
      </c>
      <c r="F152" s="43" t="n">
        <f aca="false">Sales_Budget!G141</f>
        <v>454100</v>
      </c>
      <c r="G152" s="42" t="n">
        <f aca="false">VALUE(LEFT(A152,4))</f>
        <v>2025</v>
      </c>
      <c r="H152" s="42" t="n">
        <f aca="false">IF(COUNTIFS(Calc_Actuals!$F$2:$F$865,B152,Calc_Actuals!$H$2:$H$865,C152,Calc_Actuals!$C$2:$C$865,"Actual")&gt;0,1,0)</f>
        <v>1</v>
      </c>
      <c r="I152" s="42" t="str">
        <f aca="false">IFERROR(INDEX(Calendar!$E$2:$E$25,MATCH(A152,Calendar!$A$2:$A$25,0)),"UNMATCHED")</f>
        <v>Actual</v>
      </c>
      <c r="J152" s="43" t="n">
        <f aca="false">D152*$B$7</f>
        <v>303633.752819954</v>
      </c>
      <c r="K152" s="43" t="n">
        <f aca="false">E152*$B$7</f>
        <v>188252.926748372</v>
      </c>
      <c r="L152" s="43" t="n">
        <f aca="false">F152*$B$7</f>
        <v>115380.826071583</v>
      </c>
      <c r="M152" s="43" t="n">
        <f aca="false">IF(I152="Actual",SUMIFS(Calc_Actuals!$N$2:$N$865,Calc_Actuals!$J$2:$J$865,G152,Calc_Actuals!$K$2:$K$865,O152,Calc_Actuals!$F$2:$F$865,B152,Calc_Actuals!$H$2:$H$865,C152,Calc_Actuals!$C$2:$C$865,"Actual"),0)</f>
        <v>333184.23</v>
      </c>
      <c r="N152" s="43" t="n">
        <f aca="false">IF(I152="Actual",SUMIFS(Calc_Actuals!$P$2:$P$865,Calc_Actuals!$J$2:$J$865,G152,Calc_Actuals!$K$2:$K$865,O152,Calc_Actuals!$F$2:$F$865,B152,Calc_Actuals!$H$2:$H$865,C152,Calc_Actuals!$C$2:$C$865,"Actual"),0)</f>
        <v>120336.83</v>
      </c>
      <c r="O152" s="42" t="n">
        <f aca="false">VALUE(RIGHT(A152,2))</f>
        <v>12</v>
      </c>
      <c r="P152" s="42" t="str">
        <f aca="false">A152&amp;"|"&amp;B152&amp;"|"&amp;C152</f>
        <v>2025-12|West|Personal Care</v>
      </c>
    </row>
    <row r="153" customFormat="false" ht="15" hidden="false" customHeight="false" outlineLevel="0" collapsed="false">
      <c r="A153" s="42" t="str">
        <f aca="false">Sales_Budget!A142</f>
        <v>2025-12</v>
      </c>
      <c r="B153" s="42" t="str">
        <f aca="false">Sales_Budget!B142</f>
        <v>West</v>
      </c>
      <c r="C153" s="42" t="str">
        <f aca="false">Sales_Budget!C142</f>
        <v>Foods</v>
      </c>
      <c r="D153" s="43" t="n">
        <f aca="false">Sales_Budget!E142</f>
        <v>1270000</v>
      </c>
      <c r="E153" s="43" t="n">
        <f aca="false">Sales_Budget!F142</f>
        <v>787400</v>
      </c>
      <c r="F153" s="43" t="n">
        <f aca="false">Sales_Budget!G142</f>
        <v>482600</v>
      </c>
      <c r="G153" s="42" t="n">
        <f aca="false">VALUE(LEFT(A153,4))</f>
        <v>2025</v>
      </c>
      <c r="H153" s="42" t="n">
        <f aca="false">IF(COUNTIFS(Calc_Actuals!$F$2:$F$865,B153,Calc_Actuals!$H$2:$H$865,C153,Calc_Actuals!$C$2:$C$865,"Actual")&gt;0,1,0)</f>
        <v>0</v>
      </c>
      <c r="I153" s="42" t="str">
        <f aca="false">IFERROR(INDEX(Calendar!$E$2:$E$25,MATCH(A153,Calendar!$A$2:$A$25,0)),"UNMATCHED")</f>
        <v>Actual</v>
      </c>
      <c r="J153" s="43" t="n">
        <f aca="false">D153*$B$7</f>
        <v>322690.264503215</v>
      </c>
      <c r="K153" s="43" t="n">
        <f aca="false">E153*$B$7</f>
        <v>200067.963991993</v>
      </c>
      <c r="L153" s="43" t="n">
        <f aca="false">F153*$B$7</f>
        <v>122622.300511222</v>
      </c>
      <c r="M153" s="43" t="n">
        <f aca="false">IF(I153="Actual",SUMIFS(Calc_Actuals!$N$2:$N$865,Calc_Actuals!$J$2:$J$865,G153,Calc_Actuals!$K$2:$K$865,O153,Calc_Actuals!$F$2:$F$865,B153,Calc_Actuals!$H$2:$H$865,C153,Calc_Actuals!$C$2:$C$865,"Actual"),0)</f>
        <v>0</v>
      </c>
      <c r="N153" s="43" t="n">
        <f aca="false">IF(I153="Actual",SUMIFS(Calc_Actuals!$P$2:$P$865,Calc_Actuals!$J$2:$J$865,G153,Calc_Actuals!$K$2:$K$865,O153,Calc_Actuals!$F$2:$F$865,B153,Calc_Actuals!$H$2:$H$865,C153,Calc_Actuals!$C$2:$C$865,"Actual"),0)</f>
        <v>0</v>
      </c>
      <c r="O153" s="42" t="n">
        <f aca="false">VALUE(RIGHT(A153,2))</f>
        <v>12</v>
      </c>
      <c r="P153" s="42" t="str">
        <f aca="false">A153&amp;"|"&amp;B153&amp;"|"&amp;C153</f>
        <v>2025-12|West|Foods</v>
      </c>
    </row>
    <row r="154" customFormat="false" ht="15" hidden="false" customHeight="false" outlineLevel="0" collapsed="false">
      <c r="A154" s="42" t="str">
        <f aca="false">Sales_Budget!A143</f>
        <v>2025-12</v>
      </c>
      <c r="B154" s="42" t="str">
        <f aca="false">Sales_Budget!B143</f>
        <v>East</v>
      </c>
      <c r="C154" s="42" t="str">
        <f aca="false">Sales_Budget!C143</f>
        <v>Home Care</v>
      </c>
      <c r="D154" s="43" t="n">
        <f aca="false">Sales_Budget!E143</f>
        <v>1205000</v>
      </c>
      <c r="E154" s="43" t="n">
        <f aca="false">Sales_Budget!F143</f>
        <v>747100</v>
      </c>
      <c r="F154" s="43" t="n">
        <f aca="false">Sales_Budget!G143</f>
        <v>457900</v>
      </c>
      <c r="G154" s="42" t="n">
        <f aca="false">VALUE(LEFT(A154,4))</f>
        <v>2025</v>
      </c>
      <c r="H154" s="42" t="n">
        <f aca="false">IF(COUNTIFS(Calc_Actuals!$F$2:$F$865,B154,Calc_Actuals!$H$2:$H$865,C154,Calc_Actuals!$C$2:$C$865,"Actual")&gt;0,1,0)</f>
        <v>1</v>
      </c>
      <c r="I154" s="42" t="str">
        <f aca="false">IFERROR(INDEX(Calendar!$E$2:$E$25,MATCH(A154,Calendar!$A$2:$A$25,0)),"UNMATCHED")</f>
        <v>Actual</v>
      </c>
      <c r="J154" s="43" t="n">
        <f aca="false">D154*$B$7</f>
        <v>306174.621044389</v>
      </c>
      <c r="K154" s="43" t="n">
        <f aca="false">E154*$B$7</f>
        <v>189828.265047521</v>
      </c>
      <c r="L154" s="43" t="n">
        <f aca="false">F154*$B$7</f>
        <v>116346.355996868</v>
      </c>
      <c r="M154" s="43" t="n">
        <f aca="false">IF(I154="Actual",SUMIFS(Calc_Actuals!$N$2:$N$865,Calc_Actuals!$J$2:$J$865,G154,Calc_Actuals!$K$2:$K$865,O154,Calc_Actuals!$F$2:$F$865,B154,Calc_Actuals!$H$2:$H$865,C154,Calc_Actuals!$C$2:$C$865,"Actual"),0)</f>
        <v>156415.23</v>
      </c>
      <c r="N154" s="43" t="n">
        <f aca="false">IF(I154="Actual",SUMIFS(Calc_Actuals!$P$2:$P$865,Calc_Actuals!$J$2:$J$865,G154,Calc_Actuals!$K$2:$K$865,O154,Calc_Actuals!$F$2:$F$865,B154,Calc_Actuals!$H$2:$H$865,C154,Calc_Actuals!$C$2:$C$865,"Actual"),0)</f>
        <v>56409.03</v>
      </c>
      <c r="O154" s="42" t="n">
        <f aca="false">VALUE(RIGHT(A154,2))</f>
        <v>12</v>
      </c>
      <c r="P154" s="42" t="str">
        <f aca="false">A154&amp;"|"&amp;B154&amp;"|"&amp;C154</f>
        <v>2025-12|East|Home Care</v>
      </c>
    </row>
    <row r="155" customFormat="false" ht="15" hidden="false" customHeight="false" outlineLevel="0" collapsed="false">
      <c r="A155" s="42" t="str">
        <f aca="false">Sales_Budget!A144</f>
        <v>2025-12</v>
      </c>
      <c r="B155" s="42" t="str">
        <f aca="false">Sales_Budget!B144</f>
        <v>East</v>
      </c>
      <c r="C155" s="42" t="str">
        <f aca="false">Sales_Budget!C144</f>
        <v>Personal Care</v>
      </c>
      <c r="D155" s="43" t="n">
        <f aca="false">Sales_Budget!E144</f>
        <v>1280000</v>
      </c>
      <c r="E155" s="43" t="n">
        <f aca="false">Sales_Budget!F144</f>
        <v>793600</v>
      </c>
      <c r="F155" s="43" t="n">
        <f aca="false">Sales_Budget!G144</f>
        <v>486400</v>
      </c>
      <c r="G155" s="42" t="n">
        <f aca="false">VALUE(LEFT(A155,4))</f>
        <v>2025</v>
      </c>
      <c r="H155" s="42" t="n">
        <f aca="false">IF(COUNTIFS(Calc_Actuals!$F$2:$F$865,B155,Calc_Actuals!$H$2:$H$865,C155,Calc_Actuals!$C$2:$C$865,"Actual")&gt;0,1,0)</f>
        <v>0</v>
      </c>
      <c r="I155" s="42" t="str">
        <f aca="false">IFERROR(INDEX(Calendar!$E$2:$E$25,MATCH(A155,Calendar!$A$2:$A$25,0)),"UNMATCHED")</f>
        <v>Actual</v>
      </c>
      <c r="J155" s="43" t="n">
        <f aca="false">D155*$B$7</f>
        <v>325231.13272765</v>
      </c>
      <c r="K155" s="43" t="n">
        <f aca="false">E155*$B$7</f>
        <v>201643.302291143</v>
      </c>
      <c r="L155" s="43" t="n">
        <f aca="false">F155*$B$7</f>
        <v>123587.830436507</v>
      </c>
      <c r="M155" s="43" t="n">
        <f aca="false">IF(I155="Actual",SUMIFS(Calc_Actuals!$N$2:$N$865,Calc_Actuals!$J$2:$J$865,G155,Calc_Actuals!$K$2:$K$865,O155,Calc_Actuals!$F$2:$F$865,B155,Calc_Actuals!$H$2:$H$865,C155,Calc_Actuals!$C$2:$C$865,"Actual"),0)</f>
        <v>0</v>
      </c>
      <c r="N155" s="43" t="n">
        <f aca="false">IF(I155="Actual",SUMIFS(Calc_Actuals!$P$2:$P$865,Calc_Actuals!$J$2:$J$865,G155,Calc_Actuals!$K$2:$K$865,O155,Calc_Actuals!$F$2:$F$865,B155,Calc_Actuals!$H$2:$H$865,C155,Calc_Actuals!$C$2:$C$865,"Actual"),0)</f>
        <v>0</v>
      </c>
      <c r="O155" s="42" t="n">
        <f aca="false">VALUE(RIGHT(A155,2))</f>
        <v>12</v>
      </c>
      <c r="P155" s="42" t="str">
        <f aca="false">A155&amp;"|"&amp;B155&amp;"|"&amp;C155</f>
        <v>2025-12|East|Personal Care</v>
      </c>
    </row>
    <row r="156" customFormat="false" ht="15" hidden="false" customHeight="false" outlineLevel="0" collapsed="false">
      <c r="A156" s="42" t="str">
        <f aca="false">Sales_Budget!A145</f>
        <v>2025-12</v>
      </c>
      <c r="B156" s="42" t="str">
        <f aca="false">Sales_Budget!B145</f>
        <v>East</v>
      </c>
      <c r="C156" s="42" t="str">
        <f aca="false">Sales_Budget!C145</f>
        <v>Foods</v>
      </c>
      <c r="D156" s="43" t="n">
        <f aca="false">Sales_Budget!E145</f>
        <v>1355000</v>
      </c>
      <c r="E156" s="43" t="n">
        <f aca="false">Sales_Budget!F145</f>
        <v>840100</v>
      </c>
      <c r="F156" s="43" t="n">
        <f aca="false">Sales_Budget!G145</f>
        <v>514900</v>
      </c>
      <c r="G156" s="42" t="n">
        <f aca="false">VALUE(LEFT(A156,4))</f>
        <v>2025</v>
      </c>
      <c r="H156" s="42" t="n">
        <f aca="false">IF(COUNTIFS(Calc_Actuals!$F$2:$F$865,B156,Calc_Actuals!$H$2:$H$865,C156,Calc_Actuals!$C$2:$C$865,"Actual")&gt;0,1,0)</f>
        <v>1</v>
      </c>
      <c r="I156" s="42" t="str">
        <f aca="false">IFERROR(INDEX(Calendar!$E$2:$E$25,MATCH(A156,Calendar!$A$2:$A$25,0)),"UNMATCHED")</f>
        <v>Actual</v>
      </c>
      <c r="J156" s="43" t="n">
        <f aca="false">D156*$B$7</f>
        <v>344287.644410911</v>
      </c>
      <c r="K156" s="43" t="n">
        <f aca="false">E156*$B$7</f>
        <v>213458.339534765</v>
      </c>
      <c r="L156" s="43" t="n">
        <f aca="false">F156*$B$7</f>
        <v>130829.304876146</v>
      </c>
      <c r="M156" s="43" t="n">
        <f aca="false">IF(I156="Actual",SUMIFS(Calc_Actuals!$N$2:$N$865,Calc_Actuals!$J$2:$J$865,G156,Calc_Actuals!$K$2:$K$865,O156,Calc_Actuals!$F$2:$F$865,B156,Calc_Actuals!$H$2:$H$865,C156,Calc_Actuals!$C$2:$C$865,"Actual"),0)</f>
        <v>455119.53</v>
      </c>
      <c r="N156" s="43" t="n">
        <f aca="false">IF(I156="Actual",SUMIFS(Calc_Actuals!$P$2:$P$865,Calc_Actuals!$J$2:$J$865,G156,Calc_Actuals!$K$2:$K$865,O156,Calc_Actuals!$F$2:$F$865,B156,Calc_Actuals!$H$2:$H$865,C156,Calc_Actuals!$C$2:$C$865,"Actual"),0)</f>
        <v>165054.69</v>
      </c>
      <c r="O156" s="42" t="n">
        <f aca="false">VALUE(RIGHT(A156,2))</f>
        <v>12</v>
      </c>
      <c r="P156" s="42" t="str">
        <f aca="false">A156&amp;"|"&amp;B156&amp;"|"&amp;C156</f>
        <v>2025-12|East|Foods</v>
      </c>
    </row>
    <row r="157" customFormat="false" ht="15" hidden="false" customHeight="false" outlineLevel="0" collapsed="false">
      <c r="A157" s="42" t="str">
        <f aca="false">Sales_Budget!A146</f>
        <v>2026-01</v>
      </c>
      <c r="B157" s="42" t="str">
        <f aca="false">Sales_Budget!B146</f>
        <v>South</v>
      </c>
      <c r="C157" s="42" t="str">
        <f aca="false">Sales_Budget!C146</f>
        <v>Home Care</v>
      </c>
      <c r="D157" s="43" t="n">
        <f aca="false">Sales_Budget!E146</f>
        <v>1026000</v>
      </c>
      <c r="E157" s="43" t="n">
        <f aca="false">Sales_Budget!F146</f>
        <v>636120</v>
      </c>
      <c r="F157" s="43" t="n">
        <f aca="false">Sales_Budget!G146</f>
        <v>389880</v>
      </c>
      <c r="G157" s="42" t="n">
        <f aca="false">VALUE(LEFT(A157,4))</f>
        <v>2026</v>
      </c>
      <c r="H157" s="42" t="n">
        <f aca="false">IF(COUNTIFS(Calc_Actuals!$F$2:$F$865,B157,Calc_Actuals!$H$2:$H$865,C157,Calc_Actuals!$C$2:$C$865,"Actual")&gt;0,1,0)</f>
        <v>1</v>
      </c>
      <c r="I157" s="42" t="str">
        <f aca="false">IFERROR(INDEX(Calendar!$E$2:$E$25,MATCH(A157,Calendar!$A$2:$A$25,0)),"UNMATCHED")</f>
        <v>Actual</v>
      </c>
      <c r="J157" s="43" t="n">
        <f aca="false">D157*$B$7</f>
        <v>260693.079827007</v>
      </c>
      <c r="K157" s="43" t="n">
        <f aca="false">E157*$B$7</f>
        <v>161629.709492744</v>
      </c>
      <c r="L157" s="43" t="n">
        <f aca="false">F157*$B$7</f>
        <v>99063.3703342626</v>
      </c>
      <c r="M157" s="43" t="n">
        <f aca="false">IF(I157="Actual",SUMIFS(Calc_Actuals!$N$2:$N$865,Calc_Actuals!$J$2:$J$865,G157,Calc_Actuals!$K$2:$K$865,O157,Calc_Actuals!$F$2:$F$865,B157,Calc_Actuals!$H$2:$H$865,C157,Calc_Actuals!$C$2:$C$865,"Actual"),0)</f>
        <v>167938.23</v>
      </c>
      <c r="N157" s="43" t="n">
        <f aca="false">IF(I157="Actual",SUMIFS(Calc_Actuals!$P$2:$P$865,Calc_Actuals!$J$2:$J$865,G157,Calc_Actuals!$K$2:$K$865,O157,Calc_Actuals!$F$2:$F$865,B157,Calc_Actuals!$H$2:$H$865,C157,Calc_Actuals!$C$2:$C$865,"Actual"),0)</f>
        <v>52627.44</v>
      </c>
      <c r="O157" s="42" t="n">
        <f aca="false">VALUE(RIGHT(A157,2))</f>
        <v>1</v>
      </c>
      <c r="P157" s="42" t="str">
        <f aca="false">A157&amp;"|"&amp;B157&amp;"|"&amp;C157</f>
        <v>2026-01|South|Home Care</v>
      </c>
    </row>
    <row r="158" customFormat="false" ht="15" hidden="false" customHeight="false" outlineLevel="0" collapsed="false">
      <c r="A158" s="42" t="str">
        <f aca="false">Sales_Budget!A147</f>
        <v>2026-01</v>
      </c>
      <c r="B158" s="42" t="str">
        <f aca="false">Sales_Budget!B147</f>
        <v>South</v>
      </c>
      <c r="C158" s="42" t="str">
        <f aca="false">Sales_Budget!C147</f>
        <v>Personal Care</v>
      </c>
      <c r="D158" s="43" t="n">
        <f aca="false">Sales_Budget!E147</f>
        <v>1107000</v>
      </c>
      <c r="E158" s="43" t="n">
        <f aca="false">Sales_Budget!F147</f>
        <v>686340</v>
      </c>
      <c r="F158" s="43" t="n">
        <f aca="false">Sales_Budget!G147</f>
        <v>420660</v>
      </c>
      <c r="G158" s="42" t="n">
        <f aca="false">VALUE(LEFT(A158,4))</f>
        <v>2026</v>
      </c>
      <c r="H158" s="42" t="n">
        <f aca="false">IF(COUNTIFS(Calc_Actuals!$F$2:$F$865,B158,Calc_Actuals!$H$2:$H$865,C158,Calc_Actuals!$C$2:$C$865,"Actual")&gt;0,1,0)</f>
        <v>0</v>
      </c>
      <c r="I158" s="42" t="str">
        <f aca="false">IFERROR(INDEX(Calendar!$E$2:$E$25,MATCH(A158,Calendar!$A$2:$A$25,0)),"UNMATCHED")</f>
        <v>Actual</v>
      </c>
      <c r="J158" s="43" t="n">
        <f aca="false">D158*$B$7</f>
        <v>281274.112444928</v>
      </c>
      <c r="K158" s="43" t="n">
        <f aca="false">E158*$B$7</f>
        <v>174389.949715856</v>
      </c>
      <c r="L158" s="43" t="n">
        <f aca="false">F158*$B$7</f>
        <v>106884.162729073</v>
      </c>
      <c r="M158" s="43" t="n">
        <f aca="false">IF(I158="Actual",SUMIFS(Calc_Actuals!$N$2:$N$865,Calc_Actuals!$J$2:$J$865,G158,Calc_Actuals!$K$2:$K$865,O158,Calc_Actuals!$F$2:$F$865,B158,Calc_Actuals!$H$2:$H$865,C158,Calc_Actuals!$C$2:$C$865,"Actual"),0)</f>
        <v>0</v>
      </c>
      <c r="N158" s="43" t="n">
        <f aca="false">IF(I158="Actual",SUMIFS(Calc_Actuals!$P$2:$P$865,Calc_Actuals!$J$2:$J$865,G158,Calc_Actuals!$K$2:$K$865,O158,Calc_Actuals!$F$2:$F$865,B158,Calc_Actuals!$H$2:$H$865,C158,Calc_Actuals!$C$2:$C$865,"Actual"),0)</f>
        <v>0</v>
      </c>
      <c r="O158" s="42" t="n">
        <f aca="false">VALUE(RIGHT(A158,2))</f>
        <v>1</v>
      </c>
      <c r="P158" s="42" t="str">
        <f aca="false">A158&amp;"|"&amp;B158&amp;"|"&amp;C158</f>
        <v>2026-01|South|Personal Care</v>
      </c>
    </row>
    <row r="159" customFormat="false" ht="15" hidden="false" customHeight="false" outlineLevel="0" collapsed="false">
      <c r="A159" s="42" t="str">
        <f aca="false">Sales_Budget!A148</f>
        <v>2026-01</v>
      </c>
      <c r="B159" s="42" t="str">
        <f aca="false">Sales_Budget!B148</f>
        <v>South</v>
      </c>
      <c r="C159" s="42" t="str">
        <f aca="false">Sales_Budget!C148</f>
        <v>Foods</v>
      </c>
      <c r="D159" s="43" t="n">
        <f aca="false">Sales_Budget!E148</f>
        <v>1188000</v>
      </c>
      <c r="E159" s="43" t="n">
        <f aca="false">Sales_Budget!F148</f>
        <v>736560</v>
      </c>
      <c r="F159" s="43" t="n">
        <f aca="false">Sales_Budget!G148</f>
        <v>451440</v>
      </c>
      <c r="G159" s="42" t="n">
        <f aca="false">VALUE(LEFT(A159,4))</f>
        <v>2026</v>
      </c>
      <c r="H159" s="42" t="n">
        <f aca="false">IF(COUNTIFS(Calc_Actuals!$F$2:$F$865,B159,Calc_Actuals!$H$2:$H$865,C159,Calc_Actuals!$C$2:$C$865,"Actual")&gt;0,1,0)</f>
        <v>1</v>
      </c>
      <c r="I159" s="42" t="str">
        <f aca="false">IFERROR(INDEX(Calendar!$E$2:$E$25,MATCH(A159,Calendar!$A$2:$A$25,0)),"UNMATCHED")</f>
        <v>Actual</v>
      </c>
      <c r="J159" s="43" t="n">
        <f aca="false">D159*$B$7</f>
        <v>301855.14506285</v>
      </c>
      <c r="K159" s="43" t="n">
        <f aca="false">E159*$B$7</f>
        <v>187150.189938967</v>
      </c>
      <c r="L159" s="43" t="n">
        <f aca="false">F159*$B$7</f>
        <v>114704.955123883</v>
      </c>
      <c r="M159" s="43" t="n">
        <f aca="false">IF(I159="Actual",SUMIFS(Calc_Actuals!$N$2:$N$865,Calc_Actuals!$J$2:$J$865,G159,Calc_Actuals!$K$2:$K$865,O159,Calc_Actuals!$F$2:$F$865,B159,Calc_Actuals!$H$2:$H$865,C159,Calc_Actuals!$C$2:$C$865,"Actual"),0)</f>
        <v>149716.39</v>
      </c>
      <c r="N159" s="43" t="n">
        <f aca="false">IF(I159="Actual",SUMIFS(Calc_Actuals!$P$2:$P$865,Calc_Actuals!$J$2:$J$865,G159,Calc_Actuals!$K$2:$K$865,O159,Calc_Actuals!$F$2:$F$865,B159,Calc_Actuals!$H$2:$H$865,C159,Calc_Actuals!$C$2:$C$865,"Actual"),0)</f>
        <v>51832.35</v>
      </c>
      <c r="O159" s="42" t="n">
        <f aca="false">VALUE(RIGHT(A159,2))</f>
        <v>1</v>
      </c>
      <c r="P159" s="42" t="str">
        <f aca="false">A159&amp;"|"&amp;B159&amp;"|"&amp;C159</f>
        <v>2026-01|South|Foods</v>
      </c>
    </row>
    <row r="160" customFormat="false" ht="15" hidden="false" customHeight="false" outlineLevel="0" collapsed="false">
      <c r="A160" s="42" t="str">
        <f aca="false">Sales_Budget!A149</f>
        <v>2026-01</v>
      </c>
      <c r="B160" s="42" t="str">
        <f aca="false">Sales_Budget!B149</f>
        <v>North</v>
      </c>
      <c r="C160" s="42" t="str">
        <f aca="false">Sales_Budget!C149</f>
        <v>Home Care</v>
      </c>
      <c r="D160" s="43" t="n">
        <f aca="false">Sales_Budget!E149</f>
        <v>1117800</v>
      </c>
      <c r="E160" s="43" t="n">
        <f aca="false">Sales_Budget!F149</f>
        <v>693036</v>
      </c>
      <c r="F160" s="43" t="n">
        <f aca="false">Sales_Budget!G149</f>
        <v>424764</v>
      </c>
      <c r="G160" s="42" t="n">
        <f aca="false">VALUE(LEFT(A160,4))</f>
        <v>2026</v>
      </c>
      <c r="H160" s="42" t="n">
        <f aca="false">IF(COUNTIFS(Calc_Actuals!$F$2:$F$865,B160,Calc_Actuals!$H$2:$H$865,C160,Calc_Actuals!$C$2:$C$865,"Actual")&gt;0,1,0)</f>
        <v>0</v>
      </c>
      <c r="I160" s="42" t="str">
        <f aca="false">IFERROR(INDEX(Calendar!$E$2:$E$25,MATCH(A160,Calendar!$A$2:$A$25,0)),"UNMATCHED")</f>
        <v>Actual</v>
      </c>
      <c r="J160" s="43" t="n">
        <f aca="false">D160*$B$7</f>
        <v>284018.250127318</v>
      </c>
      <c r="K160" s="43" t="n">
        <f aca="false">E160*$B$7</f>
        <v>176091.315078937</v>
      </c>
      <c r="L160" s="43" t="n">
        <f aca="false">F160*$B$7</f>
        <v>107926.935048381</v>
      </c>
      <c r="M160" s="43" t="n">
        <f aca="false">IF(I160="Actual",SUMIFS(Calc_Actuals!$N$2:$N$865,Calc_Actuals!$J$2:$J$865,G160,Calc_Actuals!$K$2:$K$865,O160,Calc_Actuals!$F$2:$F$865,B160,Calc_Actuals!$H$2:$H$865,C160,Calc_Actuals!$C$2:$C$865,"Actual"),0)</f>
        <v>0</v>
      </c>
      <c r="N160" s="43" t="n">
        <f aca="false">IF(I160="Actual",SUMIFS(Calc_Actuals!$P$2:$P$865,Calc_Actuals!$J$2:$J$865,G160,Calc_Actuals!$K$2:$K$865,O160,Calc_Actuals!$F$2:$F$865,B160,Calc_Actuals!$H$2:$H$865,C160,Calc_Actuals!$C$2:$C$865,"Actual"),0)</f>
        <v>0</v>
      </c>
      <c r="O160" s="42" t="n">
        <f aca="false">VALUE(RIGHT(A160,2))</f>
        <v>1</v>
      </c>
      <c r="P160" s="42" t="str">
        <f aca="false">A160&amp;"|"&amp;B160&amp;"|"&amp;C160</f>
        <v>2026-01|North|Home Care</v>
      </c>
    </row>
    <row r="161" customFormat="false" ht="15" hidden="false" customHeight="false" outlineLevel="0" collapsed="false">
      <c r="A161" s="42" t="str">
        <f aca="false">Sales_Budget!A150</f>
        <v>2026-01</v>
      </c>
      <c r="B161" s="42" t="str">
        <f aca="false">Sales_Budget!B150</f>
        <v>North</v>
      </c>
      <c r="C161" s="42" t="str">
        <f aca="false">Sales_Budget!C150</f>
        <v>Personal Care</v>
      </c>
      <c r="D161" s="43" t="n">
        <f aca="false">Sales_Budget!E150</f>
        <v>1198800</v>
      </c>
      <c r="E161" s="43" t="n">
        <f aca="false">Sales_Budget!F150</f>
        <v>743256</v>
      </c>
      <c r="F161" s="43" t="n">
        <f aca="false">Sales_Budget!G150</f>
        <v>455544</v>
      </c>
      <c r="G161" s="42" t="n">
        <f aca="false">VALUE(LEFT(A161,4))</f>
        <v>2026</v>
      </c>
      <c r="H161" s="42" t="n">
        <f aca="false">IF(COUNTIFS(Calc_Actuals!$F$2:$F$865,B161,Calc_Actuals!$H$2:$H$865,C161,Calc_Actuals!$C$2:$C$865,"Actual")&gt;0,1,0)</f>
        <v>1</v>
      </c>
      <c r="I161" s="42" t="str">
        <f aca="false">IFERROR(INDEX(Calendar!$E$2:$E$25,MATCH(A161,Calendar!$A$2:$A$25,0)),"UNMATCHED")</f>
        <v>Actual</v>
      </c>
      <c r="J161" s="43" t="n">
        <f aca="false">D161*$B$7</f>
        <v>304599.28274524</v>
      </c>
      <c r="K161" s="43" t="n">
        <f aca="false">E161*$B$7</f>
        <v>188851.555302049</v>
      </c>
      <c r="L161" s="43" t="n">
        <f aca="false">F161*$B$7</f>
        <v>115747.727443191</v>
      </c>
      <c r="M161" s="43" t="n">
        <f aca="false">IF(I161="Actual",SUMIFS(Calc_Actuals!$N$2:$N$865,Calc_Actuals!$J$2:$J$865,G161,Calc_Actuals!$K$2:$K$865,O161,Calc_Actuals!$F$2:$F$865,B161,Calc_Actuals!$H$2:$H$865,C161,Calc_Actuals!$C$2:$C$865,"Actual"),0)</f>
        <v>539838.79</v>
      </c>
      <c r="N161" s="43" t="n">
        <f aca="false">IF(I161="Actual",SUMIFS(Calc_Actuals!$P$2:$P$865,Calc_Actuals!$J$2:$J$865,G161,Calc_Actuals!$K$2:$K$865,O161,Calc_Actuals!$F$2:$F$865,B161,Calc_Actuals!$H$2:$H$865,C161,Calc_Actuals!$C$2:$C$865,"Actual"),0)</f>
        <v>203076</v>
      </c>
      <c r="O161" s="42" t="n">
        <f aca="false">VALUE(RIGHT(A161,2))</f>
        <v>1</v>
      </c>
      <c r="P161" s="42" t="str">
        <f aca="false">A161&amp;"|"&amp;B161&amp;"|"&amp;C161</f>
        <v>2026-01|North|Personal Care</v>
      </c>
    </row>
    <row r="162" customFormat="false" ht="15" hidden="false" customHeight="false" outlineLevel="0" collapsed="false">
      <c r="A162" s="42" t="str">
        <f aca="false">Sales_Budget!A151</f>
        <v>2026-01</v>
      </c>
      <c r="B162" s="42" t="str">
        <f aca="false">Sales_Budget!B151</f>
        <v>North</v>
      </c>
      <c r="C162" s="42" t="str">
        <f aca="false">Sales_Budget!C151</f>
        <v>Foods</v>
      </c>
      <c r="D162" s="43" t="n">
        <f aca="false">Sales_Budget!E151</f>
        <v>1279800</v>
      </c>
      <c r="E162" s="43" t="n">
        <f aca="false">Sales_Budget!F151</f>
        <v>793476</v>
      </c>
      <c r="F162" s="43" t="n">
        <f aca="false">Sales_Budget!G151</f>
        <v>486324</v>
      </c>
      <c r="G162" s="42" t="n">
        <f aca="false">VALUE(LEFT(A162,4))</f>
        <v>2026</v>
      </c>
      <c r="H162" s="42" t="n">
        <f aca="false">IF(COUNTIFS(Calc_Actuals!$F$2:$F$865,B162,Calc_Actuals!$H$2:$H$865,C162,Calc_Actuals!$C$2:$C$865,"Actual")&gt;0,1,0)</f>
        <v>0</v>
      </c>
      <c r="I162" s="42" t="str">
        <f aca="false">IFERROR(INDEX(Calendar!$E$2:$E$25,MATCH(A162,Calendar!$A$2:$A$25,0)),"UNMATCHED")</f>
        <v>Actual</v>
      </c>
      <c r="J162" s="43" t="n">
        <f aca="false">D162*$B$7</f>
        <v>325180.315363161</v>
      </c>
      <c r="K162" s="43" t="n">
        <f aca="false">E162*$B$7</f>
        <v>201611.79552516</v>
      </c>
      <c r="L162" s="43" t="n">
        <f aca="false">F162*$B$7</f>
        <v>123568.519838001</v>
      </c>
      <c r="M162" s="43" t="n">
        <f aca="false">IF(I162="Actual",SUMIFS(Calc_Actuals!$N$2:$N$865,Calc_Actuals!$J$2:$J$865,G162,Calc_Actuals!$K$2:$K$865,O162,Calc_Actuals!$F$2:$F$865,B162,Calc_Actuals!$H$2:$H$865,C162,Calc_Actuals!$C$2:$C$865,"Actual"),0)</f>
        <v>0</v>
      </c>
      <c r="N162" s="43" t="n">
        <f aca="false">IF(I162="Actual",SUMIFS(Calc_Actuals!$P$2:$P$865,Calc_Actuals!$J$2:$J$865,G162,Calc_Actuals!$K$2:$K$865,O162,Calc_Actuals!$F$2:$F$865,B162,Calc_Actuals!$H$2:$H$865,C162,Calc_Actuals!$C$2:$C$865,"Actual"),0)</f>
        <v>0</v>
      </c>
      <c r="O162" s="42" t="n">
        <f aca="false">VALUE(RIGHT(A162,2))</f>
        <v>1</v>
      </c>
      <c r="P162" s="42" t="str">
        <f aca="false">A162&amp;"|"&amp;B162&amp;"|"&amp;C162</f>
        <v>2026-01|North|Foods</v>
      </c>
    </row>
    <row r="163" customFormat="false" ht="15" hidden="false" customHeight="false" outlineLevel="0" collapsed="false">
      <c r="A163" s="42" t="str">
        <f aca="false">Sales_Budget!A152</f>
        <v>2026-01</v>
      </c>
      <c r="B163" s="42" t="str">
        <f aca="false">Sales_Budget!B152</f>
        <v>West</v>
      </c>
      <c r="C163" s="42" t="str">
        <f aca="false">Sales_Budget!C152</f>
        <v>Home Care</v>
      </c>
      <c r="D163" s="43" t="n">
        <f aca="false">Sales_Budget!E152</f>
        <v>1209600</v>
      </c>
      <c r="E163" s="43" t="n">
        <f aca="false">Sales_Budget!F152</f>
        <v>749952</v>
      </c>
      <c r="F163" s="43" t="n">
        <f aca="false">Sales_Budget!G152</f>
        <v>459648</v>
      </c>
      <c r="G163" s="42" t="n">
        <f aca="false">VALUE(LEFT(A163,4))</f>
        <v>2026</v>
      </c>
      <c r="H163" s="42" t="n">
        <f aca="false">IF(COUNTIFS(Calc_Actuals!$F$2:$F$865,B163,Calc_Actuals!$H$2:$H$865,C163,Calc_Actuals!$C$2:$C$865,"Actual")&gt;0,1,0)</f>
        <v>1</v>
      </c>
      <c r="I163" s="42" t="str">
        <f aca="false">IFERROR(INDEX(Calendar!$E$2:$E$25,MATCH(A163,Calendar!$A$2:$A$25,0)),"UNMATCHED")</f>
        <v>Actual</v>
      </c>
      <c r="J163" s="43" t="n">
        <f aca="false">D163*$B$7</f>
        <v>307343.420427629</v>
      </c>
      <c r="K163" s="43" t="n">
        <f aca="false">E163*$B$7</f>
        <v>190552.92066513</v>
      </c>
      <c r="L163" s="43" t="n">
        <f aca="false">F163*$B$7</f>
        <v>116790.499762499</v>
      </c>
      <c r="M163" s="43" t="n">
        <f aca="false">IF(I163="Actual",SUMIFS(Calc_Actuals!$N$2:$N$865,Calc_Actuals!$J$2:$J$865,G163,Calc_Actuals!$K$2:$K$865,O163,Calc_Actuals!$F$2:$F$865,B163,Calc_Actuals!$H$2:$H$865,C163,Calc_Actuals!$C$2:$C$865,"Actual"),0)</f>
        <v>243151.55</v>
      </c>
      <c r="N163" s="43" t="n">
        <f aca="false">IF(I163="Actual",SUMIFS(Calc_Actuals!$P$2:$P$865,Calc_Actuals!$J$2:$J$865,G163,Calc_Actuals!$K$2:$K$865,O163,Calc_Actuals!$F$2:$F$865,B163,Calc_Actuals!$H$2:$H$865,C163,Calc_Actuals!$C$2:$C$865,"Actual"),0)</f>
        <v>88795.31</v>
      </c>
      <c r="O163" s="42" t="n">
        <f aca="false">VALUE(RIGHT(A163,2))</f>
        <v>1</v>
      </c>
      <c r="P163" s="42" t="str">
        <f aca="false">A163&amp;"|"&amp;B163&amp;"|"&amp;C163</f>
        <v>2026-01|West|Home Care</v>
      </c>
    </row>
    <row r="164" customFormat="false" ht="15" hidden="false" customHeight="false" outlineLevel="0" collapsed="false">
      <c r="A164" s="42" t="str">
        <f aca="false">Sales_Budget!A153</f>
        <v>2026-01</v>
      </c>
      <c r="B164" s="42" t="str">
        <f aca="false">Sales_Budget!B153</f>
        <v>West</v>
      </c>
      <c r="C164" s="42" t="str">
        <f aca="false">Sales_Budget!C153</f>
        <v>Personal Care</v>
      </c>
      <c r="D164" s="43" t="n">
        <f aca="false">Sales_Budget!E153</f>
        <v>1290600</v>
      </c>
      <c r="E164" s="43" t="n">
        <f aca="false">Sales_Budget!F153</f>
        <v>800172</v>
      </c>
      <c r="F164" s="43" t="n">
        <f aca="false">Sales_Budget!G153</f>
        <v>490428</v>
      </c>
      <c r="G164" s="42" t="n">
        <f aca="false">VALUE(LEFT(A164,4))</f>
        <v>2026</v>
      </c>
      <c r="H164" s="42" t="n">
        <f aca="false">IF(COUNTIFS(Calc_Actuals!$F$2:$F$865,B164,Calc_Actuals!$H$2:$H$865,C164,Calc_Actuals!$C$2:$C$865,"Actual")&gt;0,1,0)</f>
        <v>1</v>
      </c>
      <c r="I164" s="42" t="str">
        <f aca="false">IFERROR(INDEX(Calendar!$E$2:$E$25,MATCH(A164,Calendar!$A$2:$A$25,0)),"UNMATCHED")</f>
        <v>Actual</v>
      </c>
      <c r="J164" s="43" t="n">
        <f aca="false">D164*$B$7</f>
        <v>327924.453045551</v>
      </c>
      <c r="K164" s="43" t="n">
        <f aca="false">E164*$B$7</f>
        <v>203313.160888241</v>
      </c>
      <c r="L164" s="43" t="n">
        <f aca="false">F164*$B$7</f>
        <v>124611.292157309</v>
      </c>
      <c r="M164" s="43" t="n">
        <f aca="false">IF(I164="Actual",SUMIFS(Calc_Actuals!$N$2:$N$865,Calc_Actuals!$J$2:$J$865,G164,Calc_Actuals!$K$2:$K$865,O164,Calc_Actuals!$F$2:$F$865,B164,Calc_Actuals!$H$2:$H$865,C164,Calc_Actuals!$C$2:$C$865,"Actual"),0)</f>
        <v>314004.97</v>
      </c>
      <c r="N164" s="43" t="n">
        <f aca="false">IF(I164="Actual",SUMIFS(Calc_Actuals!$P$2:$P$865,Calc_Actuals!$J$2:$J$865,G164,Calc_Actuals!$K$2:$K$865,O164,Calc_Actuals!$F$2:$F$865,B164,Calc_Actuals!$H$2:$H$865,C164,Calc_Actuals!$C$2:$C$865,"Actual"),0)</f>
        <v>112723.71</v>
      </c>
      <c r="O164" s="42" t="n">
        <f aca="false">VALUE(RIGHT(A164,2))</f>
        <v>1</v>
      </c>
      <c r="P164" s="42" t="str">
        <f aca="false">A164&amp;"|"&amp;B164&amp;"|"&amp;C164</f>
        <v>2026-01|West|Personal Care</v>
      </c>
    </row>
    <row r="165" customFormat="false" ht="15" hidden="false" customHeight="false" outlineLevel="0" collapsed="false">
      <c r="A165" s="42" t="str">
        <f aca="false">Sales_Budget!A154</f>
        <v>2026-01</v>
      </c>
      <c r="B165" s="42" t="str">
        <f aca="false">Sales_Budget!B154</f>
        <v>West</v>
      </c>
      <c r="C165" s="42" t="str">
        <f aca="false">Sales_Budget!C154</f>
        <v>Foods</v>
      </c>
      <c r="D165" s="43" t="n">
        <f aca="false">Sales_Budget!E154</f>
        <v>1371600</v>
      </c>
      <c r="E165" s="43" t="n">
        <f aca="false">Sales_Budget!F154</f>
        <v>850392</v>
      </c>
      <c r="F165" s="43" t="n">
        <f aca="false">Sales_Budget!G154</f>
        <v>521208</v>
      </c>
      <c r="G165" s="42" t="n">
        <f aca="false">VALUE(LEFT(A165,4))</f>
        <v>2026</v>
      </c>
      <c r="H165" s="42" t="n">
        <f aca="false">IF(COUNTIFS(Calc_Actuals!$F$2:$F$865,B165,Calc_Actuals!$H$2:$H$865,C165,Calc_Actuals!$C$2:$C$865,"Actual")&gt;0,1,0)</f>
        <v>0</v>
      </c>
      <c r="I165" s="42" t="str">
        <f aca="false">IFERROR(INDEX(Calendar!$E$2:$E$25,MATCH(A165,Calendar!$A$2:$A$25,0)),"UNMATCHED")</f>
        <v>Actual</v>
      </c>
      <c r="J165" s="43" t="n">
        <f aca="false">D165*$B$7</f>
        <v>348505.485663472</v>
      </c>
      <c r="K165" s="43" t="n">
        <f aca="false">E165*$B$7</f>
        <v>216073.401111353</v>
      </c>
      <c r="L165" s="43" t="n">
        <f aca="false">F165*$B$7</f>
        <v>132432.08455212</v>
      </c>
      <c r="M165" s="43" t="n">
        <f aca="false">IF(I165="Actual",SUMIFS(Calc_Actuals!$N$2:$N$865,Calc_Actuals!$J$2:$J$865,G165,Calc_Actuals!$K$2:$K$865,O165,Calc_Actuals!$F$2:$F$865,B165,Calc_Actuals!$H$2:$H$865,C165,Calc_Actuals!$C$2:$C$865,"Actual"),0)</f>
        <v>0</v>
      </c>
      <c r="N165" s="43" t="n">
        <f aca="false">IF(I165="Actual",SUMIFS(Calc_Actuals!$P$2:$P$865,Calc_Actuals!$J$2:$J$865,G165,Calc_Actuals!$K$2:$K$865,O165,Calc_Actuals!$F$2:$F$865,B165,Calc_Actuals!$H$2:$H$865,C165,Calc_Actuals!$C$2:$C$865,"Actual"),0)</f>
        <v>0</v>
      </c>
      <c r="O165" s="42" t="n">
        <f aca="false">VALUE(RIGHT(A165,2))</f>
        <v>1</v>
      </c>
      <c r="P165" s="42" t="str">
        <f aca="false">A165&amp;"|"&amp;B165&amp;"|"&amp;C165</f>
        <v>2026-01|West|Foods</v>
      </c>
    </row>
    <row r="166" customFormat="false" ht="15" hidden="false" customHeight="false" outlineLevel="0" collapsed="false">
      <c r="A166" s="42" t="str">
        <f aca="false">Sales_Budget!A155</f>
        <v>2026-01</v>
      </c>
      <c r="B166" s="42" t="str">
        <f aca="false">Sales_Budget!B155</f>
        <v>East</v>
      </c>
      <c r="C166" s="42" t="str">
        <f aca="false">Sales_Budget!C155</f>
        <v>Home Care</v>
      </c>
      <c r="D166" s="43" t="n">
        <f aca="false">Sales_Budget!E155</f>
        <v>1301400</v>
      </c>
      <c r="E166" s="43" t="n">
        <f aca="false">Sales_Budget!F155</f>
        <v>806868</v>
      </c>
      <c r="F166" s="43" t="n">
        <f aca="false">Sales_Budget!G155</f>
        <v>494532</v>
      </c>
      <c r="G166" s="42" t="n">
        <f aca="false">VALUE(LEFT(A166,4))</f>
        <v>2026</v>
      </c>
      <c r="H166" s="42" t="n">
        <f aca="false">IF(COUNTIFS(Calc_Actuals!$F$2:$F$865,B166,Calc_Actuals!$H$2:$H$865,C166,Calc_Actuals!$C$2:$C$865,"Actual")&gt;0,1,0)</f>
        <v>1</v>
      </c>
      <c r="I166" s="42" t="str">
        <f aca="false">IFERROR(INDEX(Calendar!$E$2:$E$25,MATCH(A166,Calendar!$A$2:$A$25,0)),"UNMATCHED")</f>
        <v>Actual</v>
      </c>
      <c r="J166" s="43" t="n">
        <f aca="false">D166*$B$7</f>
        <v>330668.59072794</v>
      </c>
      <c r="K166" s="43" t="n">
        <f aca="false">E166*$B$7</f>
        <v>205014.526251323</v>
      </c>
      <c r="L166" s="43" t="n">
        <f aca="false">F166*$B$7</f>
        <v>125654.064476617</v>
      </c>
      <c r="M166" s="43" t="n">
        <f aca="false">IF(I166="Actual",SUMIFS(Calc_Actuals!$N$2:$N$865,Calc_Actuals!$J$2:$J$865,G166,Calc_Actuals!$K$2:$K$865,O166,Calc_Actuals!$F$2:$F$865,B166,Calc_Actuals!$H$2:$H$865,C166,Calc_Actuals!$C$2:$C$865,"Actual"),0)</f>
        <v>168157.92</v>
      </c>
      <c r="N166" s="43" t="n">
        <f aca="false">IF(I166="Actual",SUMIFS(Calc_Actuals!$P$2:$P$865,Calc_Actuals!$J$2:$J$865,G166,Calc_Actuals!$K$2:$K$865,O166,Calc_Actuals!$F$2:$F$865,B166,Calc_Actuals!$H$2:$H$865,C166,Calc_Actuals!$C$2:$C$865,"Actual"),0)</f>
        <v>68896.42</v>
      </c>
      <c r="O166" s="42" t="n">
        <f aca="false">VALUE(RIGHT(A166,2))</f>
        <v>1</v>
      </c>
      <c r="P166" s="42" t="str">
        <f aca="false">A166&amp;"|"&amp;B166&amp;"|"&amp;C166</f>
        <v>2026-01|East|Home Care</v>
      </c>
    </row>
    <row r="167" customFormat="false" ht="15" hidden="false" customHeight="false" outlineLevel="0" collapsed="false">
      <c r="A167" s="42" t="str">
        <f aca="false">Sales_Budget!A156</f>
        <v>2026-01</v>
      </c>
      <c r="B167" s="42" t="str">
        <f aca="false">Sales_Budget!B156</f>
        <v>East</v>
      </c>
      <c r="C167" s="42" t="str">
        <f aca="false">Sales_Budget!C156</f>
        <v>Personal Care</v>
      </c>
      <c r="D167" s="43" t="n">
        <f aca="false">Sales_Budget!E156</f>
        <v>1382400</v>
      </c>
      <c r="E167" s="43" t="n">
        <f aca="false">Sales_Budget!F156</f>
        <v>857088</v>
      </c>
      <c r="F167" s="43" t="n">
        <f aca="false">Sales_Budget!G156</f>
        <v>525312</v>
      </c>
      <c r="G167" s="42" t="n">
        <f aca="false">VALUE(LEFT(A167,4))</f>
        <v>2026</v>
      </c>
      <c r="H167" s="42" t="n">
        <f aca="false">IF(COUNTIFS(Calc_Actuals!$F$2:$F$865,B167,Calc_Actuals!$H$2:$H$865,C167,Calc_Actuals!$C$2:$C$865,"Actual")&gt;0,1,0)</f>
        <v>0</v>
      </c>
      <c r="I167" s="42" t="str">
        <f aca="false">IFERROR(INDEX(Calendar!$E$2:$E$25,MATCH(A167,Calendar!$A$2:$A$25,0)),"UNMATCHED")</f>
        <v>Actual</v>
      </c>
      <c r="J167" s="43" t="n">
        <f aca="false">D167*$B$7</f>
        <v>351249.623345862</v>
      </c>
      <c r="K167" s="43" t="n">
        <f aca="false">E167*$B$7</f>
        <v>217774.766474434</v>
      </c>
      <c r="L167" s="43" t="n">
        <f aca="false">F167*$B$7</f>
        <v>133474.856871428</v>
      </c>
      <c r="M167" s="43" t="n">
        <f aca="false">IF(I167="Actual",SUMIFS(Calc_Actuals!$N$2:$N$865,Calc_Actuals!$J$2:$J$865,G167,Calc_Actuals!$K$2:$K$865,O167,Calc_Actuals!$F$2:$F$865,B167,Calc_Actuals!$H$2:$H$865,C167,Calc_Actuals!$C$2:$C$865,"Actual"),0)</f>
        <v>0</v>
      </c>
      <c r="N167" s="43" t="n">
        <f aca="false">IF(I167="Actual",SUMIFS(Calc_Actuals!$P$2:$P$865,Calc_Actuals!$J$2:$J$865,G167,Calc_Actuals!$K$2:$K$865,O167,Calc_Actuals!$F$2:$F$865,B167,Calc_Actuals!$H$2:$H$865,C167,Calc_Actuals!$C$2:$C$865,"Actual"),0)</f>
        <v>0</v>
      </c>
      <c r="O167" s="42" t="n">
        <f aca="false">VALUE(RIGHT(A167,2))</f>
        <v>1</v>
      </c>
      <c r="P167" s="42" t="str">
        <f aca="false">A167&amp;"|"&amp;B167&amp;"|"&amp;C167</f>
        <v>2026-01|East|Personal Care</v>
      </c>
    </row>
    <row r="168" customFormat="false" ht="15" hidden="false" customHeight="false" outlineLevel="0" collapsed="false">
      <c r="A168" s="42" t="str">
        <f aca="false">Sales_Budget!A157</f>
        <v>2026-01</v>
      </c>
      <c r="B168" s="42" t="str">
        <f aca="false">Sales_Budget!B157</f>
        <v>East</v>
      </c>
      <c r="C168" s="42" t="str">
        <f aca="false">Sales_Budget!C157</f>
        <v>Foods</v>
      </c>
      <c r="D168" s="43" t="n">
        <f aca="false">Sales_Budget!E157</f>
        <v>1463400</v>
      </c>
      <c r="E168" s="43" t="n">
        <f aca="false">Sales_Budget!F157</f>
        <v>907308</v>
      </c>
      <c r="F168" s="43" t="n">
        <f aca="false">Sales_Budget!G157</f>
        <v>556092</v>
      </c>
      <c r="G168" s="42" t="n">
        <f aca="false">VALUE(LEFT(A168,4))</f>
        <v>2026</v>
      </c>
      <c r="H168" s="42" t="n">
        <f aca="false">IF(COUNTIFS(Calc_Actuals!$F$2:$F$865,B168,Calc_Actuals!$H$2:$H$865,C168,Calc_Actuals!$C$2:$C$865,"Actual")&gt;0,1,0)</f>
        <v>1</v>
      </c>
      <c r="I168" s="42" t="str">
        <f aca="false">IFERROR(INDEX(Calendar!$E$2:$E$25,MATCH(A168,Calendar!$A$2:$A$25,0)),"UNMATCHED")</f>
        <v>Actual</v>
      </c>
      <c r="J168" s="43" t="n">
        <f aca="false">D168*$B$7</f>
        <v>371830.655963783</v>
      </c>
      <c r="K168" s="43" t="n">
        <f aca="false">E168*$B$7</f>
        <v>230535.006697546</v>
      </c>
      <c r="L168" s="43" t="n">
        <f aca="false">F168*$B$7</f>
        <v>141295.649266238</v>
      </c>
      <c r="M168" s="43" t="n">
        <f aca="false">IF(I168="Actual",SUMIFS(Calc_Actuals!$N$2:$N$865,Calc_Actuals!$J$2:$J$865,G168,Calc_Actuals!$K$2:$K$865,O168,Calc_Actuals!$F$2:$F$865,B168,Calc_Actuals!$H$2:$H$865,C168,Calc_Actuals!$C$2:$C$865,"Actual"),0)</f>
        <v>290655.1</v>
      </c>
      <c r="N168" s="43" t="n">
        <f aca="false">IF(I168="Actual",SUMIFS(Calc_Actuals!$P$2:$P$865,Calc_Actuals!$J$2:$J$865,G168,Calc_Actuals!$K$2:$K$865,O168,Calc_Actuals!$F$2:$F$865,B168,Calc_Actuals!$H$2:$H$865,C168,Calc_Actuals!$C$2:$C$865,"Actual"),0)</f>
        <v>90003.6</v>
      </c>
      <c r="O168" s="42" t="n">
        <f aca="false">VALUE(RIGHT(A168,2))</f>
        <v>1</v>
      </c>
      <c r="P168" s="42" t="str">
        <f aca="false">A168&amp;"|"&amp;B168&amp;"|"&amp;C168</f>
        <v>2026-01|East|Foods</v>
      </c>
    </row>
    <row r="169" customFormat="false" ht="15" hidden="false" customHeight="false" outlineLevel="0" collapsed="false">
      <c r="A169" s="42" t="str">
        <f aca="false">Sales_Budget!A158</f>
        <v>2026-02</v>
      </c>
      <c r="B169" s="42" t="str">
        <f aca="false">Sales_Budget!B158</f>
        <v>South</v>
      </c>
      <c r="C169" s="42" t="str">
        <f aca="false">Sales_Budget!C158</f>
        <v>Home Care</v>
      </c>
      <c r="D169" s="43" t="n">
        <f aca="false">Sales_Budget!E158</f>
        <v>1026000</v>
      </c>
      <c r="E169" s="43" t="n">
        <f aca="false">Sales_Budget!F158</f>
        <v>636120</v>
      </c>
      <c r="F169" s="43" t="n">
        <f aca="false">Sales_Budget!G158</f>
        <v>389880</v>
      </c>
      <c r="G169" s="42" t="n">
        <f aca="false">VALUE(LEFT(A169,4))</f>
        <v>2026</v>
      </c>
      <c r="H169" s="42" t="n">
        <f aca="false">IF(COUNTIFS(Calc_Actuals!$F$2:$F$865,B169,Calc_Actuals!$H$2:$H$865,C169,Calc_Actuals!$C$2:$C$865,"Actual")&gt;0,1,0)</f>
        <v>1</v>
      </c>
      <c r="I169" s="42" t="str">
        <f aca="false">IFERROR(INDEX(Calendar!$E$2:$E$25,MATCH(A169,Calendar!$A$2:$A$25,0)),"UNMATCHED")</f>
        <v>Actual</v>
      </c>
      <c r="J169" s="43" t="n">
        <f aca="false">D169*$B$7</f>
        <v>260693.079827007</v>
      </c>
      <c r="K169" s="43" t="n">
        <f aca="false">E169*$B$7</f>
        <v>161629.709492744</v>
      </c>
      <c r="L169" s="43" t="n">
        <f aca="false">F169*$B$7</f>
        <v>99063.3703342626</v>
      </c>
      <c r="M169" s="43" t="n">
        <f aca="false">IF(I169="Actual",SUMIFS(Calc_Actuals!$N$2:$N$865,Calc_Actuals!$J$2:$J$865,G169,Calc_Actuals!$K$2:$K$865,O169,Calc_Actuals!$F$2:$F$865,B169,Calc_Actuals!$H$2:$H$865,C169,Calc_Actuals!$C$2:$C$865,"Actual"),0)</f>
        <v>140349.4</v>
      </c>
      <c r="N169" s="43" t="n">
        <f aca="false">IF(I169="Actual",SUMIFS(Calc_Actuals!$P$2:$P$865,Calc_Actuals!$J$2:$J$865,G169,Calc_Actuals!$K$2:$K$865,O169,Calc_Actuals!$F$2:$F$865,B169,Calc_Actuals!$H$2:$H$865,C169,Calc_Actuals!$C$2:$C$865,"Actual"),0)</f>
        <v>45207.72</v>
      </c>
      <c r="O169" s="42" t="n">
        <f aca="false">VALUE(RIGHT(A169,2))</f>
        <v>2</v>
      </c>
      <c r="P169" s="42" t="str">
        <f aca="false">A169&amp;"|"&amp;B169&amp;"|"&amp;C169</f>
        <v>2026-02|South|Home Care</v>
      </c>
    </row>
    <row r="170" customFormat="false" ht="15" hidden="false" customHeight="false" outlineLevel="0" collapsed="false">
      <c r="A170" s="42" t="str">
        <f aca="false">Sales_Budget!A159</f>
        <v>2026-02</v>
      </c>
      <c r="B170" s="42" t="str">
        <f aca="false">Sales_Budget!B159</f>
        <v>South</v>
      </c>
      <c r="C170" s="42" t="str">
        <f aca="false">Sales_Budget!C159</f>
        <v>Personal Care</v>
      </c>
      <c r="D170" s="43" t="n">
        <f aca="false">Sales_Budget!E159</f>
        <v>1107000</v>
      </c>
      <c r="E170" s="43" t="n">
        <f aca="false">Sales_Budget!F159</f>
        <v>686340</v>
      </c>
      <c r="F170" s="43" t="n">
        <f aca="false">Sales_Budget!G159</f>
        <v>420660</v>
      </c>
      <c r="G170" s="42" t="n">
        <f aca="false">VALUE(LEFT(A170,4))</f>
        <v>2026</v>
      </c>
      <c r="H170" s="42" t="n">
        <f aca="false">IF(COUNTIFS(Calc_Actuals!$F$2:$F$865,B170,Calc_Actuals!$H$2:$H$865,C170,Calc_Actuals!$C$2:$C$865,"Actual")&gt;0,1,0)</f>
        <v>0</v>
      </c>
      <c r="I170" s="42" t="str">
        <f aca="false">IFERROR(INDEX(Calendar!$E$2:$E$25,MATCH(A170,Calendar!$A$2:$A$25,0)),"UNMATCHED")</f>
        <v>Actual</v>
      </c>
      <c r="J170" s="43" t="n">
        <f aca="false">D170*$B$7</f>
        <v>281274.112444928</v>
      </c>
      <c r="K170" s="43" t="n">
        <f aca="false">E170*$B$7</f>
        <v>174389.949715856</v>
      </c>
      <c r="L170" s="43" t="n">
        <f aca="false">F170*$B$7</f>
        <v>106884.162729073</v>
      </c>
      <c r="M170" s="43" t="n">
        <f aca="false">IF(I170="Actual",SUMIFS(Calc_Actuals!$N$2:$N$865,Calc_Actuals!$J$2:$J$865,G170,Calc_Actuals!$K$2:$K$865,O170,Calc_Actuals!$F$2:$F$865,B170,Calc_Actuals!$H$2:$H$865,C170,Calc_Actuals!$C$2:$C$865,"Actual"),0)</f>
        <v>0</v>
      </c>
      <c r="N170" s="43" t="n">
        <f aca="false">IF(I170="Actual",SUMIFS(Calc_Actuals!$P$2:$P$865,Calc_Actuals!$J$2:$J$865,G170,Calc_Actuals!$K$2:$K$865,O170,Calc_Actuals!$F$2:$F$865,B170,Calc_Actuals!$H$2:$H$865,C170,Calc_Actuals!$C$2:$C$865,"Actual"),0)</f>
        <v>0</v>
      </c>
      <c r="O170" s="42" t="n">
        <f aca="false">VALUE(RIGHT(A170,2))</f>
        <v>2</v>
      </c>
      <c r="P170" s="42" t="str">
        <f aca="false">A170&amp;"|"&amp;B170&amp;"|"&amp;C170</f>
        <v>2026-02|South|Personal Care</v>
      </c>
    </row>
    <row r="171" customFormat="false" ht="15" hidden="false" customHeight="false" outlineLevel="0" collapsed="false">
      <c r="A171" s="42" t="str">
        <f aca="false">Sales_Budget!A160</f>
        <v>2026-02</v>
      </c>
      <c r="B171" s="42" t="str">
        <f aca="false">Sales_Budget!B160</f>
        <v>South</v>
      </c>
      <c r="C171" s="42" t="str">
        <f aca="false">Sales_Budget!C160</f>
        <v>Foods</v>
      </c>
      <c r="D171" s="43" t="n">
        <f aca="false">Sales_Budget!E160</f>
        <v>1188000</v>
      </c>
      <c r="E171" s="43" t="n">
        <f aca="false">Sales_Budget!F160</f>
        <v>736560</v>
      </c>
      <c r="F171" s="43" t="n">
        <f aca="false">Sales_Budget!G160</f>
        <v>451440</v>
      </c>
      <c r="G171" s="42" t="n">
        <f aca="false">VALUE(LEFT(A171,4))</f>
        <v>2026</v>
      </c>
      <c r="H171" s="42" t="n">
        <f aca="false">IF(COUNTIFS(Calc_Actuals!$F$2:$F$865,B171,Calc_Actuals!$H$2:$H$865,C171,Calc_Actuals!$C$2:$C$865,"Actual")&gt;0,1,0)</f>
        <v>1</v>
      </c>
      <c r="I171" s="42" t="str">
        <f aca="false">IFERROR(INDEX(Calendar!$E$2:$E$25,MATCH(A171,Calendar!$A$2:$A$25,0)),"UNMATCHED")</f>
        <v>Actual</v>
      </c>
      <c r="J171" s="43" t="n">
        <f aca="false">D171*$B$7</f>
        <v>301855.14506285</v>
      </c>
      <c r="K171" s="43" t="n">
        <f aca="false">E171*$B$7</f>
        <v>187150.189938967</v>
      </c>
      <c r="L171" s="43" t="n">
        <f aca="false">F171*$B$7</f>
        <v>114704.955123883</v>
      </c>
      <c r="M171" s="43" t="n">
        <f aca="false">IF(I171="Actual",SUMIFS(Calc_Actuals!$N$2:$N$865,Calc_Actuals!$J$2:$J$865,G171,Calc_Actuals!$K$2:$K$865,O171,Calc_Actuals!$F$2:$F$865,B171,Calc_Actuals!$H$2:$H$865,C171,Calc_Actuals!$C$2:$C$865,"Actual"),0)</f>
        <v>123278.7</v>
      </c>
      <c r="N171" s="43" t="n">
        <f aca="false">IF(I171="Actual",SUMIFS(Calc_Actuals!$P$2:$P$865,Calc_Actuals!$J$2:$J$865,G171,Calc_Actuals!$K$2:$K$865,O171,Calc_Actuals!$F$2:$F$865,B171,Calc_Actuals!$H$2:$H$865,C171,Calc_Actuals!$C$2:$C$865,"Actual"),0)</f>
        <v>43988.33</v>
      </c>
      <c r="O171" s="42" t="n">
        <f aca="false">VALUE(RIGHT(A171,2))</f>
        <v>2</v>
      </c>
      <c r="P171" s="42" t="str">
        <f aca="false">A171&amp;"|"&amp;B171&amp;"|"&amp;C171</f>
        <v>2026-02|South|Foods</v>
      </c>
    </row>
    <row r="172" customFormat="false" ht="15" hidden="false" customHeight="false" outlineLevel="0" collapsed="false">
      <c r="A172" s="42" t="str">
        <f aca="false">Sales_Budget!A161</f>
        <v>2026-02</v>
      </c>
      <c r="B172" s="42" t="str">
        <f aca="false">Sales_Budget!B161</f>
        <v>North</v>
      </c>
      <c r="C172" s="42" t="str">
        <f aca="false">Sales_Budget!C161</f>
        <v>Home Care</v>
      </c>
      <c r="D172" s="43" t="n">
        <f aca="false">Sales_Budget!E161</f>
        <v>1117800</v>
      </c>
      <c r="E172" s="43" t="n">
        <f aca="false">Sales_Budget!F161</f>
        <v>693036</v>
      </c>
      <c r="F172" s="43" t="n">
        <f aca="false">Sales_Budget!G161</f>
        <v>424764</v>
      </c>
      <c r="G172" s="42" t="n">
        <f aca="false">VALUE(LEFT(A172,4))</f>
        <v>2026</v>
      </c>
      <c r="H172" s="42" t="n">
        <f aca="false">IF(COUNTIFS(Calc_Actuals!$F$2:$F$865,B172,Calc_Actuals!$H$2:$H$865,C172,Calc_Actuals!$C$2:$C$865,"Actual")&gt;0,1,0)</f>
        <v>0</v>
      </c>
      <c r="I172" s="42" t="str">
        <f aca="false">IFERROR(INDEX(Calendar!$E$2:$E$25,MATCH(A172,Calendar!$A$2:$A$25,0)),"UNMATCHED")</f>
        <v>Actual</v>
      </c>
      <c r="J172" s="43" t="n">
        <f aca="false">D172*$B$7</f>
        <v>284018.250127318</v>
      </c>
      <c r="K172" s="43" t="n">
        <f aca="false">E172*$B$7</f>
        <v>176091.315078937</v>
      </c>
      <c r="L172" s="43" t="n">
        <f aca="false">F172*$B$7</f>
        <v>107926.935048381</v>
      </c>
      <c r="M172" s="43" t="n">
        <f aca="false">IF(I172="Actual",SUMIFS(Calc_Actuals!$N$2:$N$865,Calc_Actuals!$J$2:$J$865,G172,Calc_Actuals!$K$2:$K$865,O172,Calc_Actuals!$F$2:$F$865,B172,Calc_Actuals!$H$2:$H$865,C172,Calc_Actuals!$C$2:$C$865,"Actual"),0)</f>
        <v>0</v>
      </c>
      <c r="N172" s="43" t="n">
        <f aca="false">IF(I172="Actual",SUMIFS(Calc_Actuals!$P$2:$P$865,Calc_Actuals!$J$2:$J$865,G172,Calc_Actuals!$K$2:$K$865,O172,Calc_Actuals!$F$2:$F$865,B172,Calc_Actuals!$H$2:$H$865,C172,Calc_Actuals!$C$2:$C$865,"Actual"),0)</f>
        <v>0</v>
      </c>
      <c r="O172" s="42" t="n">
        <f aca="false">VALUE(RIGHT(A172,2))</f>
        <v>2</v>
      </c>
      <c r="P172" s="42" t="str">
        <f aca="false">A172&amp;"|"&amp;B172&amp;"|"&amp;C172</f>
        <v>2026-02|North|Home Care</v>
      </c>
    </row>
    <row r="173" customFormat="false" ht="15" hidden="false" customHeight="false" outlineLevel="0" collapsed="false">
      <c r="A173" s="42" t="str">
        <f aca="false">Sales_Budget!A162</f>
        <v>2026-02</v>
      </c>
      <c r="B173" s="42" t="str">
        <f aca="false">Sales_Budget!B162</f>
        <v>North</v>
      </c>
      <c r="C173" s="42" t="str">
        <f aca="false">Sales_Budget!C162</f>
        <v>Personal Care</v>
      </c>
      <c r="D173" s="43" t="n">
        <f aca="false">Sales_Budget!E162</f>
        <v>1198800</v>
      </c>
      <c r="E173" s="43" t="n">
        <f aca="false">Sales_Budget!F162</f>
        <v>743256</v>
      </c>
      <c r="F173" s="43" t="n">
        <f aca="false">Sales_Budget!G162</f>
        <v>455544</v>
      </c>
      <c r="G173" s="42" t="n">
        <f aca="false">VALUE(LEFT(A173,4))</f>
        <v>2026</v>
      </c>
      <c r="H173" s="42" t="n">
        <f aca="false">IF(COUNTIFS(Calc_Actuals!$F$2:$F$865,B173,Calc_Actuals!$H$2:$H$865,C173,Calc_Actuals!$C$2:$C$865,"Actual")&gt;0,1,0)</f>
        <v>1</v>
      </c>
      <c r="I173" s="42" t="str">
        <f aca="false">IFERROR(INDEX(Calendar!$E$2:$E$25,MATCH(A173,Calendar!$A$2:$A$25,0)),"UNMATCHED")</f>
        <v>Actual</v>
      </c>
      <c r="J173" s="43" t="n">
        <f aca="false">D173*$B$7</f>
        <v>304599.28274524</v>
      </c>
      <c r="K173" s="43" t="n">
        <f aca="false">E173*$B$7</f>
        <v>188851.555302049</v>
      </c>
      <c r="L173" s="43" t="n">
        <f aca="false">F173*$B$7</f>
        <v>115747.727443191</v>
      </c>
      <c r="M173" s="43" t="n">
        <f aca="false">IF(I173="Actual",SUMIFS(Calc_Actuals!$N$2:$N$865,Calc_Actuals!$J$2:$J$865,G173,Calc_Actuals!$K$2:$K$865,O173,Calc_Actuals!$F$2:$F$865,B173,Calc_Actuals!$H$2:$H$865,C173,Calc_Actuals!$C$2:$C$865,"Actual"),0)</f>
        <v>570379.35</v>
      </c>
      <c r="N173" s="43" t="n">
        <f aca="false">IF(I173="Actual",SUMIFS(Calc_Actuals!$P$2:$P$865,Calc_Actuals!$J$2:$J$865,G173,Calc_Actuals!$K$2:$K$865,O173,Calc_Actuals!$F$2:$F$865,B173,Calc_Actuals!$H$2:$H$865,C173,Calc_Actuals!$C$2:$C$865,"Actual"),0)</f>
        <v>200210.58</v>
      </c>
      <c r="O173" s="42" t="n">
        <f aca="false">VALUE(RIGHT(A173,2))</f>
        <v>2</v>
      </c>
      <c r="P173" s="42" t="str">
        <f aca="false">A173&amp;"|"&amp;B173&amp;"|"&amp;C173</f>
        <v>2026-02|North|Personal Care</v>
      </c>
    </row>
    <row r="174" customFormat="false" ht="15" hidden="false" customHeight="false" outlineLevel="0" collapsed="false">
      <c r="A174" s="42" t="str">
        <f aca="false">Sales_Budget!A163</f>
        <v>2026-02</v>
      </c>
      <c r="B174" s="42" t="str">
        <f aca="false">Sales_Budget!B163</f>
        <v>North</v>
      </c>
      <c r="C174" s="42" t="str">
        <f aca="false">Sales_Budget!C163</f>
        <v>Foods</v>
      </c>
      <c r="D174" s="43" t="n">
        <f aca="false">Sales_Budget!E163</f>
        <v>1279800</v>
      </c>
      <c r="E174" s="43" t="n">
        <f aca="false">Sales_Budget!F163</f>
        <v>793476</v>
      </c>
      <c r="F174" s="43" t="n">
        <f aca="false">Sales_Budget!G163</f>
        <v>486324</v>
      </c>
      <c r="G174" s="42" t="n">
        <f aca="false">VALUE(LEFT(A174,4))</f>
        <v>2026</v>
      </c>
      <c r="H174" s="42" t="n">
        <f aca="false">IF(COUNTIFS(Calc_Actuals!$F$2:$F$865,B174,Calc_Actuals!$H$2:$H$865,C174,Calc_Actuals!$C$2:$C$865,"Actual")&gt;0,1,0)</f>
        <v>0</v>
      </c>
      <c r="I174" s="42" t="str">
        <f aca="false">IFERROR(INDEX(Calendar!$E$2:$E$25,MATCH(A174,Calendar!$A$2:$A$25,0)),"UNMATCHED")</f>
        <v>Actual</v>
      </c>
      <c r="J174" s="43" t="n">
        <f aca="false">D174*$B$7</f>
        <v>325180.315363161</v>
      </c>
      <c r="K174" s="43" t="n">
        <f aca="false">E174*$B$7</f>
        <v>201611.79552516</v>
      </c>
      <c r="L174" s="43" t="n">
        <f aca="false">F174*$B$7</f>
        <v>123568.519838001</v>
      </c>
      <c r="M174" s="43" t="n">
        <f aca="false">IF(I174="Actual",SUMIFS(Calc_Actuals!$N$2:$N$865,Calc_Actuals!$J$2:$J$865,G174,Calc_Actuals!$K$2:$K$865,O174,Calc_Actuals!$F$2:$F$865,B174,Calc_Actuals!$H$2:$H$865,C174,Calc_Actuals!$C$2:$C$865,"Actual"),0)</f>
        <v>0</v>
      </c>
      <c r="N174" s="43" t="n">
        <f aca="false">IF(I174="Actual",SUMIFS(Calc_Actuals!$P$2:$P$865,Calc_Actuals!$J$2:$J$865,G174,Calc_Actuals!$K$2:$K$865,O174,Calc_Actuals!$F$2:$F$865,B174,Calc_Actuals!$H$2:$H$865,C174,Calc_Actuals!$C$2:$C$865,"Actual"),0)</f>
        <v>0</v>
      </c>
      <c r="O174" s="42" t="n">
        <f aca="false">VALUE(RIGHT(A174,2))</f>
        <v>2</v>
      </c>
      <c r="P174" s="42" t="str">
        <f aca="false">A174&amp;"|"&amp;B174&amp;"|"&amp;C174</f>
        <v>2026-02|North|Foods</v>
      </c>
    </row>
    <row r="175" customFormat="false" ht="15" hidden="false" customHeight="false" outlineLevel="0" collapsed="false">
      <c r="A175" s="42" t="str">
        <f aca="false">Sales_Budget!A164</f>
        <v>2026-02</v>
      </c>
      <c r="B175" s="42" t="str">
        <f aca="false">Sales_Budget!B164</f>
        <v>West</v>
      </c>
      <c r="C175" s="42" t="str">
        <f aca="false">Sales_Budget!C164</f>
        <v>Home Care</v>
      </c>
      <c r="D175" s="43" t="n">
        <f aca="false">Sales_Budget!E164</f>
        <v>1209600</v>
      </c>
      <c r="E175" s="43" t="n">
        <f aca="false">Sales_Budget!F164</f>
        <v>749952</v>
      </c>
      <c r="F175" s="43" t="n">
        <f aca="false">Sales_Budget!G164</f>
        <v>459648</v>
      </c>
      <c r="G175" s="42" t="n">
        <f aca="false">VALUE(LEFT(A175,4))</f>
        <v>2026</v>
      </c>
      <c r="H175" s="42" t="n">
        <f aca="false">IF(COUNTIFS(Calc_Actuals!$F$2:$F$865,B175,Calc_Actuals!$H$2:$H$865,C175,Calc_Actuals!$C$2:$C$865,"Actual")&gt;0,1,0)</f>
        <v>1</v>
      </c>
      <c r="I175" s="42" t="str">
        <f aca="false">IFERROR(INDEX(Calendar!$E$2:$E$25,MATCH(A175,Calendar!$A$2:$A$25,0)),"UNMATCHED")</f>
        <v>Actual</v>
      </c>
      <c r="J175" s="43" t="n">
        <f aca="false">D175*$B$7</f>
        <v>307343.420427629</v>
      </c>
      <c r="K175" s="43" t="n">
        <f aca="false">E175*$B$7</f>
        <v>190552.92066513</v>
      </c>
      <c r="L175" s="43" t="n">
        <f aca="false">F175*$B$7</f>
        <v>116790.499762499</v>
      </c>
      <c r="M175" s="43" t="n">
        <f aca="false">IF(I175="Actual",SUMIFS(Calc_Actuals!$N$2:$N$865,Calc_Actuals!$J$2:$J$865,G175,Calc_Actuals!$K$2:$K$865,O175,Calc_Actuals!$F$2:$F$865,B175,Calc_Actuals!$H$2:$H$865,C175,Calc_Actuals!$C$2:$C$865,"Actual"),0)</f>
        <v>191863.73</v>
      </c>
      <c r="N175" s="43" t="n">
        <f aca="false">IF(I175="Actual",SUMIFS(Calc_Actuals!$P$2:$P$865,Calc_Actuals!$J$2:$J$865,G175,Calc_Actuals!$K$2:$K$865,O175,Calc_Actuals!$F$2:$F$865,B175,Calc_Actuals!$H$2:$H$865,C175,Calc_Actuals!$C$2:$C$865,"Actual"),0)</f>
        <v>77056.75</v>
      </c>
      <c r="O175" s="42" t="n">
        <f aca="false">VALUE(RIGHT(A175,2))</f>
        <v>2</v>
      </c>
      <c r="P175" s="42" t="str">
        <f aca="false">A175&amp;"|"&amp;B175&amp;"|"&amp;C175</f>
        <v>2026-02|West|Home Care</v>
      </c>
    </row>
    <row r="176" customFormat="false" ht="15" hidden="false" customHeight="false" outlineLevel="0" collapsed="false">
      <c r="A176" s="42" t="str">
        <f aca="false">Sales_Budget!A165</f>
        <v>2026-02</v>
      </c>
      <c r="B176" s="42" t="str">
        <f aca="false">Sales_Budget!B165</f>
        <v>West</v>
      </c>
      <c r="C176" s="42" t="str">
        <f aca="false">Sales_Budget!C165</f>
        <v>Personal Care</v>
      </c>
      <c r="D176" s="43" t="n">
        <f aca="false">Sales_Budget!E165</f>
        <v>1290600</v>
      </c>
      <c r="E176" s="43" t="n">
        <f aca="false">Sales_Budget!F165</f>
        <v>800172</v>
      </c>
      <c r="F176" s="43" t="n">
        <f aca="false">Sales_Budget!G165</f>
        <v>490428</v>
      </c>
      <c r="G176" s="42" t="n">
        <f aca="false">VALUE(LEFT(A176,4))</f>
        <v>2026</v>
      </c>
      <c r="H176" s="42" t="n">
        <f aca="false">IF(COUNTIFS(Calc_Actuals!$F$2:$F$865,B176,Calc_Actuals!$H$2:$H$865,C176,Calc_Actuals!$C$2:$C$865,"Actual")&gt;0,1,0)</f>
        <v>1</v>
      </c>
      <c r="I176" s="42" t="str">
        <f aca="false">IFERROR(INDEX(Calendar!$E$2:$E$25,MATCH(A176,Calendar!$A$2:$A$25,0)),"UNMATCHED")</f>
        <v>Actual</v>
      </c>
      <c r="J176" s="43" t="n">
        <f aca="false">D176*$B$7</f>
        <v>327924.453045551</v>
      </c>
      <c r="K176" s="43" t="n">
        <f aca="false">E176*$B$7</f>
        <v>203313.160888241</v>
      </c>
      <c r="L176" s="43" t="n">
        <f aca="false">F176*$B$7</f>
        <v>124611.292157309</v>
      </c>
      <c r="M176" s="43" t="n">
        <f aca="false">IF(I176="Actual",SUMIFS(Calc_Actuals!$N$2:$N$865,Calc_Actuals!$J$2:$J$865,G176,Calc_Actuals!$K$2:$K$865,O176,Calc_Actuals!$F$2:$F$865,B176,Calc_Actuals!$H$2:$H$865,C176,Calc_Actuals!$C$2:$C$865,"Actual"),0)</f>
        <v>474709.57</v>
      </c>
      <c r="N176" s="43" t="n">
        <f aca="false">IF(I176="Actual",SUMIFS(Calc_Actuals!$P$2:$P$865,Calc_Actuals!$J$2:$J$865,G176,Calc_Actuals!$K$2:$K$865,O176,Calc_Actuals!$F$2:$F$865,B176,Calc_Actuals!$H$2:$H$865,C176,Calc_Actuals!$C$2:$C$865,"Actual"),0)</f>
        <v>164076.43</v>
      </c>
      <c r="O176" s="42" t="n">
        <f aca="false">VALUE(RIGHT(A176,2))</f>
        <v>2</v>
      </c>
      <c r="P176" s="42" t="str">
        <f aca="false">A176&amp;"|"&amp;B176&amp;"|"&amp;C176</f>
        <v>2026-02|West|Personal Care</v>
      </c>
    </row>
    <row r="177" customFormat="false" ht="15" hidden="false" customHeight="false" outlineLevel="0" collapsed="false">
      <c r="A177" s="42" t="str">
        <f aca="false">Sales_Budget!A166</f>
        <v>2026-02</v>
      </c>
      <c r="B177" s="42" t="str">
        <f aca="false">Sales_Budget!B166</f>
        <v>West</v>
      </c>
      <c r="C177" s="42" t="str">
        <f aca="false">Sales_Budget!C166</f>
        <v>Foods</v>
      </c>
      <c r="D177" s="43" t="n">
        <f aca="false">Sales_Budget!E166</f>
        <v>1371600</v>
      </c>
      <c r="E177" s="43" t="n">
        <f aca="false">Sales_Budget!F166</f>
        <v>850392</v>
      </c>
      <c r="F177" s="43" t="n">
        <f aca="false">Sales_Budget!G166</f>
        <v>521208</v>
      </c>
      <c r="G177" s="42" t="n">
        <f aca="false">VALUE(LEFT(A177,4))</f>
        <v>2026</v>
      </c>
      <c r="H177" s="42" t="n">
        <f aca="false">IF(COUNTIFS(Calc_Actuals!$F$2:$F$865,B177,Calc_Actuals!$H$2:$H$865,C177,Calc_Actuals!$C$2:$C$865,"Actual")&gt;0,1,0)</f>
        <v>0</v>
      </c>
      <c r="I177" s="42" t="str">
        <f aca="false">IFERROR(INDEX(Calendar!$E$2:$E$25,MATCH(A177,Calendar!$A$2:$A$25,0)),"UNMATCHED")</f>
        <v>Actual</v>
      </c>
      <c r="J177" s="43" t="n">
        <f aca="false">D177*$B$7</f>
        <v>348505.485663472</v>
      </c>
      <c r="K177" s="43" t="n">
        <f aca="false">E177*$B$7</f>
        <v>216073.401111353</v>
      </c>
      <c r="L177" s="43" t="n">
        <f aca="false">F177*$B$7</f>
        <v>132432.08455212</v>
      </c>
      <c r="M177" s="43" t="n">
        <f aca="false">IF(I177="Actual",SUMIFS(Calc_Actuals!$N$2:$N$865,Calc_Actuals!$J$2:$J$865,G177,Calc_Actuals!$K$2:$K$865,O177,Calc_Actuals!$F$2:$F$865,B177,Calc_Actuals!$H$2:$H$865,C177,Calc_Actuals!$C$2:$C$865,"Actual"),0)</f>
        <v>0</v>
      </c>
      <c r="N177" s="43" t="n">
        <f aca="false">IF(I177="Actual",SUMIFS(Calc_Actuals!$P$2:$P$865,Calc_Actuals!$J$2:$J$865,G177,Calc_Actuals!$K$2:$K$865,O177,Calc_Actuals!$F$2:$F$865,B177,Calc_Actuals!$H$2:$H$865,C177,Calc_Actuals!$C$2:$C$865,"Actual"),0)</f>
        <v>0</v>
      </c>
      <c r="O177" s="42" t="n">
        <f aca="false">VALUE(RIGHT(A177,2))</f>
        <v>2</v>
      </c>
      <c r="P177" s="42" t="str">
        <f aca="false">A177&amp;"|"&amp;B177&amp;"|"&amp;C177</f>
        <v>2026-02|West|Foods</v>
      </c>
    </row>
    <row r="178" customFormat="false" ht="15" hidden="false" customHeight="false" outlineLevel="0" collapsed="false">
      <c r="A178" s="42" t="str">
        <f aca="false">Sales_Budget!A167</f>
        <v>2026-02</v>
      </c>
      <c r="B178" s="42" t="str">
        <f aca="false">Sales_Budget!B167</f>
        <v>East</v>
      </c>
      <c r="C178" s="42" t="str">
        <f aca="false">Sales_Budget!C167</f>
        <v>Home Care</v>
      </c>
      <c r="D178" s="43" t="n">
        <f aca="false">Sales_Budget!E167</f>
        <v>1301400</v>
      </c>
      <c r="E178" s="43" t="n">
        <f aca="false">Sales_Budget!F167</f>
        <v>806868</v>
      </c>
      <c r="F178" s="43" t="n">
        <f aca="false">Sales_Budget!G167</f>
        <v>494532</v>
      </c>
      <c r="G178" s="42" t="n">
        <f aca="false">VALUE(LEFT(A178,4))</f>
        <v>2026</v>
      </c>
      <c r="H178" s="42" t="n">
        <f aca="false">IF(COUNTIFS(Calc_Actuals!$F$2:$F$865,B178,Calc_Actuals!$H$2:$H$865,C178,Calc_Actuals!$C$2:$C$865,"Actual")&gt;0,1,0)</f>
        <v>1</v>
      </c>
      <c r="I178" s="42" t="str">
        <f aca="false">IFERROR(INDEX(Calendar!$E$2:$E$25,MATCH(A178,Calendar!$A$2:$A$25,0)),"UNMATCHED")</f>
        <v>Actual</v>
      </c>
      <c r="J178" s="43" t="n">
        <f aca="false">D178*$B$7</f>
        <v>330668.59072794</v>
      </c>
      <c r="K178" s="43" t="n">
        <f aca="false">E178*$B$7</f>
        <v>205014.526251323</v>
      </c>
      <c r="L178" s="43" t="n">
        <f aca="false">F178*$B$7</f>
        <v>125654.064476617</v>
      </c>
      <c r="M178" s="43" t="n">
        <f aca="false">IF(I178="Actual",SUMIFS(Calc_Actuals!$N$2:$N$865,Calc_Actuals!$J$2:$J$865,G178,Calc_Actuals!$K$2:$K$865,O178,Calc_Actuals!$F$2:$F$865,B178,Calc_Actuals!$H$2:$H$865,C178,Calc_Actuals!$C$2:$C$865,"Actual"),0)</f>
        <v>171126.87</v>
      </c>
      <c r="N178" s="43" t="n">
        <f aca="false">IF(I178="Actual",SUMIFS(Calc_Actuals!$P$2:$P$865,Calc_Actuals!$J$2:$J$865,G178,Calc_Actuals!$K$2:$K$865,O178,Calc_Actuals!$F$2:$F$865,B178,Calc_Actuals!$H$2:$H$865,C178,Calc_Actuals!$C$2:$C$865,"Actual"),0)</f>
        <v>70025.46</v>
      </c>
      <c r="O178" s="42" t="n">
        <f aca="false">VALUE(RIGHT(A178,2))</f>
        <v>2</v>
      </c>
      <c r="P178" s="42" t="str">
        <f aca="false">A178&amp;"|"&amp;B178&amp;"|"&amp;C178</f>
        <v>2026-02|East|Home Care</v>
      </c>
    </row>
    <row r="179" customFormat="false" ht="15" hidden="false" customHeight="false" outlineLevel="0" collapsed="false">
      <c r="A179" s="42" t="str">
        <f aca="false">Sales_Budget!A168</f>
        <v>2026-02</v>
      </c>
      <c r="B179" s="42" t="str">
        <f aca="false">Sales_Budget!B168</f>
        <v>East</v>
      </c>
      <c r="C179" s="42" t="str">
        <f aca="false">Sales_Budget!C168</f>
        <v>Personal Care</v>
      </c>
      <c r="D179" s="43" t="n">
        <f aca="false">Sales_Budget!E168</f>
        <v>1382400</v>
      </c>
      <c r="E179" s="43" t="n">
        <f aca="false">Sales_Budget!F168</f>
        <v>857088</v>
      </c>
      <c r="F179" s="43" t="n">
        <f aca="false">Sales_Budget!G168</f>
        <v>525312</v>
      </c>
      <c r="G179" s="42" t="n">
        <f aca="false">VALUE(LEFT(A179,4))</f>
        <v>2026</v>
      </c>
      <c r="H179" s="42" t="n">
        <f aca="false">IF(COUNTIFS(Calc_Actuals!$F$2:$F$865,B179,Calc_Actuals!$H$2:$H$865,C179,Calc_Actuals!$C$2:$C$865,"Actual")&gt;0,1,0)</f>
        <v>0</v>
      </c>
      <c r="I179" s="42" t="str">
        <f aca="false">IFERROR(INDEX(Calendar!$E$2:$E$25,MATCH(A179,Calendar!$A$2:$A$25,0)),"UNMATCHED")</f>
        <v>Actual</v>
      </c>
      <c r="J179" s="43" t="n">
        <f aca="false">D179*$B$7</f>
        <v>351249.623345862</v>
      </c>
      <c r="K179" s="43" t="n">
        <f aca="false">E179*$B$7</f>
        <v>217774.766474434</v>
      </c>
      <c r="L179" s="43" t="n">
        <f aca="false">F179*$B$7</f>
        <v>133474.856871428</v>
      </c>
      <c r="M179" s="43" t="n">
        <f aca="false">IF(I179="Actual",SUMIFS(Calc_Actuals!$N$2:$N$865,Calc_Actuals!$J$2:$J$865,G179,Calc_Actuals!$K$2:$K$865,O179,Calc_Actuals!$F$2:$F$865,B179,Calc_Actuals!$H$2:$H$865,C179,Calc_Actuals!$C$2:$C$865,"Actual"),0)</f>
        <v>0</v>
      </c>
      <c r="N179" s="43" t="n">
        <f aca="false">IF(I179="Actual",SUMIFS(Calc_Actuals!$P$2:$P$865,Calc_Actuals!$J$2:$J$865,G179,Calc_Actuals!$K$2:$K$865,O179,Calc_Actuals!$F$2:$F$865,B179,Calc_Actuals!$H$2:$H$865,C179,Calc_Actuals!$C$2:$C$865,"Actual"),0)</f>
        <v>0</v>
      </c>
      <c r="O179" s="42" t="n">
        <f aca="false">VALUE(RIGHT(A179,2))</f>
        <v>2</v>
      </c>
      <c r="P179" s="42" t="str">
        <f aca="false">A179&amp;"|"&amp;B179&amp;"|"&amp;C179</f>
        <v>2026-02|East|Personal Care</v>
      </c>
    </row>
    <row r="180" customFormat="false" ht="15" hidden="false" customHeight="false" outlineLevel="0" collapsed="false">
      <c r="A180" s="42" t="str">
        <f aca="false">Sales_Budget!A169</f>
        <v>2026-02</v>
      </c>
      <c r="B180" s="42" t="str">
        <f aca="false">Sales_Budget!B169</f>
        <v>East</v>
      </c>
      <c r="C180" s="42" t="str">
        <f aca="false">Sales_Budget!C169</f>
        <v>Foods</v>
      </c>
      <c r="D180" s="43" t="n">
        <f aca="false">Sales_Budget!E169</f>
        <v>1463400</v>
      </c>
      <c r="E180" s="43" t="n">
        <f aca="false">Sales_Budget!F169</f>
        <v>907308</v>
      </c>
      <c r="F180" s="43" t="n">
        <f aca="false">Sales_Budget!G169</f>
        <v>556092</v>
      </c>
      <c r="G180" s="42" t="n">
        <f aca="false">VALUE(LEFT(A180,4))</f>
        <v>2026</v>
      </c>
      <c r="H180" s="42" t="n">
        <f aca="false">IF(COUNTIFS(Calc_Actuals!$F$2:$F$865,B180,Calc_Actuals!$H$2:$H$865,C180,Calc_Actuals!$C$2:$C$865,"Actual")&gt;0,1,0)</f>
        <v>1</v>
      </c>
      <c r="I180" s="42" t="str">
        <f aca="false">IFERROR(INDEX(Calendar!$E$2:$E$25,MATCH(A180,Calendar!$A$2:$A$25,0)),"UNMATCHED")</f>
        <v>Actual</v>
      </c>
      <c r="J180" s="43" t="n">
        <f aca="false">D180*$B$7</f>
        <v>371830.655963783</v>
      </c>
      <c r="K180" s="43" t="n">
        <f aca="false">E180*$B$7</f>
        <v>230535.006697546</v>
      </c>
      <c r="L180" s="43" t="n">
        <f aca="false">F180*$B$7</f>
        <v>141295.649266238</v>
      </c>
      <c r="M180" s="43" t="n">
        <f aca="false">IF(I180="Actual",SUMIFS(Calc_Actuals!$N$2:$N$865,Calc_Actuals!$J$2:$J$865,G180,Calc_Actuals!$K$2:$K$865,O180,Calc_Actuals!$F$2:$F$865,B180,Calc_Actuals!$H$2:$H$865,C180,Calc_Actuals!$C$2:$C$865,"Actual"),0)</f>
        <v>333024.4</v>
      </c>
      <c r="N180" s="43" t="n">
        <f aca="false">IF(I180="Actual",SUMIFS(Calc_Actuals!$P$2:$P$865,Calc_Actuals!$J$2:$J$865,G180,Calc_Actuals!$K$2:$K$865,O180,Calc_Actuals!$F$2:$F$865,B180,Calc_Actuals!$H$2:$H$865,C180,Calc_Actuals!$C$2:$C$865,"Actual"),0)</f>
        <v>118438.09</v>
      </c>
      <c r="O180" s="42" t="n">
        <f aca="false">VALUE(RIGHT(A180,2))</f>
        <v>2</v>
      </c>
      <c r="P180" s="42" t="str">
        <f aca="false">A180&amp;"|"&amp;B180&amp;"|"&amp;C180</f>
        <v>2026-02|East|Foods</v>
      </c>
    </row>
    <row r="181" customFormat="false" ht="15" hidden="false" customHeight="false" outlineLevel="0" collapsed="false">
      <c r="A181" s="42" t="str">
        <f aca="false">Sales_Budget!A170</f>
        <v>2026-03</v>
      </c>
      <c r="B181" s="42" t="str">
        <f aca="false">Sales_Budget!B170</f>
        <v>South</v>
      </c>
      <c r="C181" s="42" t="str">
        <f aca="false">Sales_Budget!C170</f>
        <v>Home Care</v>
      </c>
      <c r="D181" s="43" t="n">
        <f aca="false">Sales_Budget!E170</f>
        <v>1026000</v>
      </c>
      <c r="E181" s="43" t="n">
        <f aca="false">Sales_Budget!F170</f>
        <v>636120</v>
      </c>
      <c r="F181" s="43" t="n">
        <f aca="false">Sales_Budget!G170</f>
        <v>389880</v>
      </c>
      <c r="G181" s="42" t="n">
        <f aca="false">VALUE(LEFT(A181,4))</f>
        <v>2026</v>
      </c>
      <c r="H181" s="42" t="n">
        <f aca="false">IF(COUNTIFS(Calc_Actuals!$F$2:$F$865,B181,Calc_Actuals!$H$2:$H$865,C181,Calc_Actuals!$C$2:$C$865,"Actual")&gt;0,1,0)</f>
        <v>1</v>
      </c>
      <c r="I181" s="42" t="str">
        <f aca="false">IFERROR(INDEX(Calendar!$E$2:$E$25,MATCH(A181,Calendar!$A$2:$A$25,0)),"UNMATCHED")</f>
        <v>Actual</v>
      </c>
      <c r="J181" s="43" t="n">
        <f aca="false">D181*$B$7</f>
        <v>260693.079827007</v>
      </c>
      <c r="K181" s="43" t="n">
        <f aca="false">E181*$B$7</f>
        <v>161629.709492744</v>
      </c>
      <c r="L181" s="43" t="n">
        <f aca="false">F181*$B$7</f>
        <v>99063.3703342626</v>
      </c>
      <c r="M181" s="43" t="n">
        <f aca="false">IF(I181="Actual",SUMIFS(Calc_Actuals!$N$2:$N$865,Calc_Actuals!$J$2:$J$865,G181,Calc_Actuals!$K$2:$K$865,O181,Calc_Actuals!$F$2:$F$865,B181,Calc_Actuals!$H$2:$H$865,C181,Calc_Actuals!$C$2:$C$865,"Actual"),0)</f>
        <v>228106.78</v>
      </c>
      <c r="N181" s="43" t="n">
        <f aca="false">IF(I181="Actual",SUMIFS(Calc_Actuals!$P$2:$P$865,Calc_Actuals!$J$2:$J$865,G181,Calc_Actuals!$K$2:$K$865,O181,Calc_Actuals!$F$2:$F$865,B181,Calc_Actuals!$H$2:$H$865,C181,Calc_Actuals!$C$2:$C$865,"Actual"),0)</f>
        <v>74902.93</v>
      </c>
      <c r="O181" s="42" t="n">
        <f aca="false">VALUE(RIGHT(A181,2))</f>
        <v>3</v>
      </c>
      <c r="P181" s="42" t="str">
        <f aca="false">A181&amp;"|"&amp;B181&amp;"|"&amp;C181</f>
        <v>2026-03|South|Home Care</v>
      </c>
    </row>
    <row r="182" customFormat="false" ht="15" hidden="false" customHeight="false" outlineLevel="0" collapsed="false">
      <c r="A182" s="42" t="str">
        <f aca="false">Sales_Budget!A171</f>
        <v>2026-03</v>
      </c>
      <c r="B182" s="42" t="str">
        <f aca="false">Sales_Budget!B171</f>
        <v>South</v>
      </c>
      <c r="C182" s="42" t="str">
        <f aca="false">Sales_Budget!C171</f>
        <v>Personal Care</v>
      </c>
      <c r="D182" s="43" t="n">
        <f aca="false">Sales_Budget!E171</f>
        <v>1107000</v>
      </c>
      <c r="E182" s="43" t="n">
        <f aca="false">Sales_Budget!F171</f>
        <v>686340</v>
      </c>
      <c r="F182" s="43" t="n">
        <f aca="false">Sales_Budget!G171</f>
        <v>420660</v>
      </c>
      <c r="G182" s="42" t="n">
        <f aca="false">VALUE(LEFT(A182,4))</f>
        <v>2026</v>
      </c>
      <c r="H182" s="42" t="n">
        <f aca="false">IF(COUNTIFS(Calc_Actuals!$F$2:$F$865,B182,Calc_Actuals!$H$2:$H$865,C182,Calc_Actuals!$C$2:$C$865,"Actual")&gt;0,1,0)</f>
        <v>0</v>
      </c>
      <c r="I182" s="42" t="str">
        <f aca="false">IFERROR(INDEX(Calendar!$E$2:$E$25,MATCH(A182,Calendar!$A$2:$A$25,0)),"UNMATCHED")</f>
        <v>Actual</v>
      </c>
      <c r="J182" s="43" t="n">
        <f aca="false">D182*$B$7</f>
        <v>281274.112444928</v>
      </c>
      <c r="K182" s="43" t="n">
        <f aca="false">E182*$B$7</f>
        <v>174389.949715856</v>
      </c>
      <c r="L182" s="43" t="n">
        <f aca="false">F182*$B$7</f>
        <v>106884.162729073</v>
      </c>
      <c r="M182" s="43" t="n">
        <f aca="false">IF(I182="Actual",SUMIFS(Calc_Actuals!$N$2:$N$865,Calc_Actuals!$J$2:$J$865,G182,Calc_Actuals!$K$2:$K$865,O182,Calc_Actuals!$F$2:$F$865,B182,Calc_Actuals!$H$2:$H$865,C182,Calc_Actuals!$C$2:$C$865,"Actual"),0)</f>
        <v>0</v>
      </c>
      <c r="N182" s="43" t="n">
        <f aca="false">IF(I182="Actual",SUMIFS(Calc_Actuals!$P$2:$P$865,Calc_Actuals!$J$2:$J$865,G182,Calc_Actuals!$K$2:$K$865,O182,Calc_Actuals!$F$2:$F$865,B182,Calc_Actuals!$H$2:$H$865,C182,Calc_Actuals!$C$2:$C$865,"Actual"),0)</f>
        <v>0</v>
      </c>
      <c r="O182" s="42" t="n">
        <f aca="false">VALUE(RIGHT(A182,2))</f>
        <v>3</v>
      </c>
      <c r="P182" s="42" t="str">
        <f aca="false">A182&amp;"|"&amp;B182&amp;"|"&amp;C182</f>
        <v>2026-03|South|Personal Care</v>
      </c>
    </row>
    <row r="183" customFormat="false" ht="15" hidden="false" customHeight="false" outlineLevel="0" collapsed="false">
      <c r="A183" s="42" t="str">
        <f aca="false">Sales_Budget!A172</f>
        <v>2026-03</v>
      </c>
      <c r="B183" s="42" t="str">
        <f aca="false">Sales_Budget!B172</f>
        <v>South</v>
      </c>
      <c r="C183" s="42" t="str">
        <f aca="false">Sales_Budget!C172</f>
        <v>Foods</v>
      </c>
      <c r="D183" s="43" t="n">
        <f aca="false">Sales_Budget!E172</f>
        <v>1188000</v>
      </c>
      <c r="E183" s="43" t="n">
        <f aca="false">Sales_Budget!F172</f>
        <v>736560</v>
      </c>
      <c r="F183" s="43" t="n">
        <f aca="false">Sales_Budget!G172</f>
        <v>451440</v>
      </c>
      <c r="G183" s="42" t="n">
        <f aca="false">VALUE(LEFT(A183,4))</f>
        <v>2026</v>
      </c>
      <c r="H183" s="42" t="n">
        <f aca="false">IF(COUNTIFS(Calc_Actuals!$F$2:$F$865,B183,Calc_Actuals!$H$2:$H$865,C183,Calc_Actuals!$C$2:$C$865,"Actual")&gt;0,1,0)</f>
        <v>1</v>
      </c>
      <c r="I183" s="42" t="str">
        <f aca="false">IFERROR(INDEX(Calendar!$E$2:$E$25,MATCH(A183,Calendar!$A$2:$A$25,0)),"UNMATCHED")</f>
        <v>Actual</v>
      </c>
      <c r="J183" s="43" t="n">
        <f aca="false">D183*$B$7</f>
        <v>301855.14506285</v>
      </c>
      <c r="K183" s="43" t="n">
        <f aca="false">E183*$B$7</f>
        <v>187150.189938967</v>
      </c>
      <c r="L183" s="43" t="n">
        <f aca="false">F183*$B$7</f>
        <v>114704.955123883</v>
      </c>
      <c r="M183" s="43" t="n">
        <f aca="false">IF(I183="Actual",SUMIFS(Calc_Actuals!$N$2:$N$865,Calc_Actuals!$J$2:$J$865,G183,Calc_Actuals!$K$2:$K$865,O183,Calc_Actuals!$F$2:$F$865,B183,Calc_Actuals!$H$2:$H$865,C183,Calc_Actuals!$C$2:$C$865,"Actual"),0)</f>
        <v>102416.79</v>
      </c>
      <c r="N183" s="43" t="n">
        <f aca="false">IF(I183="Actual",SUMIFS(Calc_Actuals!$P$2:$P$865,Calc_Actuals!$J$2:$J$865,G183,Calc_Actuals!$K$2:$K$865,O183,Calc_Actuals!$F$2:$F$865,B183,Calc_Actuals!$H$2:$H$865,C183,Calc_Actuals!$C$2:$C$865,"Actual"),0)</f>
        <v>33586.84</v>
      </c>
      <c r="O183" s="42" t="n">
        <f aca="false">VALUE(RIGHT(A183,2))</f>
        <v>3</v>
      </c>
      <c r="P183" s="42" t="str">
        <f aca="false">A183&amp;"|"&amp;B183&amp;"|"&amp;C183</f>
        <v>2026-03|South|Foods</v>
      </c>
    </row>
    <row r="184" customFormat="false" ht="15" hidden="false" customHeight="false" outlineLevel="0" collapsed="false">
      <c r="A184" s="42" t="str">
        <f aca="false">Sales_Budget!A173</f>
        <v>2026-03</v>
      </c>
      <c r="B184" s="42" t="str">
        <f aca="false">Sales_Budget!B173</f>
        <v>North</v>
      </c>
      <c r="C184" s="42" t="str">
        <f aca="false">Sales_Budget!C173</f>
        <v>Home Care</v>
      </c>
      <c r="D184" s="43" t="n">
        <f aca="false">Sales_Budget!E173</f>
        <v>1117800</v>
      </c>
      <c r="E184" s="43" t="n">
        <f aca="false">Sales_Budget!F173</f>
        <v>693036</v>
      </c>
      <c r="F184" s="43" t="n">
        <f aca="false">Sales_Budget!G173</f>
        <v>424764</v>
      </c>
      <c r="G184" s="42" t="n">
        <f aca="false">VALUE(LEFT(A184,4))</f>
        <v>2026</v>
      </c>
      <c r="H184" s="42" t="n">
        <f aca="false">IF(COUNTIFS(Calc_Actuals!$F$2:$F$865,B184,Calc_Actuals!$H$2:$H$865,C184,Calc_Actuals!$C$2:$C$865,"Actual")&gt;0,1,0)</f>
        <v>0</v>
      </c>
      <c r="I184" s="42" t="str">
        <f aca="false">IFERROR(INDEX(Calendar!$E$2:$E$25,MATCH(A184,Calendar!$A$2:$A$25,0)),"UNMATCHED")</f>
        <v>Actual</v>
      </c>
      <c r="J184" s="43" t="n">
        <f aca="false">D184*$B$7</f>
        <v>284018.250127318</v>
      </c>
      <c r="K184" s="43" t="n">
        <f aca="false">E184*$B$7</f>
        <v>176091.315078937</v>
      </c>
      <c r="L184" s="43" t="n">
        <f aca="false">F184*$B$7</f>
        <v>107926.935048381</v>
      </c>
      <c r="M184" s="43" t="n">
        <f aca="false">IF(I184="Actual",SUMIFS(Calc_Actuals!$N$2:$N$865,Calc_Actuals!$J$2:$J$865,G184,Calc_Actuals!$K$2:$K$865,O184,Calc_Actuals!$F$2:$F$865,B184,Calc_Actuals!$H$2:$H$865,C184,Calc_Actuals!$C$2:$C$865,"Actual"),0)</f>
        <v>0</v>
      </c>
      <c r="N184" s="43" t="n">
        <f aca="false">IF(I184="Actual",SUMIFS(Calc_Actuals!$P$2:$P$865,Calc_Actuals!$J$2:$J$865,G184,Calc_Actuals!$K$2:$K$865,O184,Calc_Actuals!$F$2:$F$865,B184,Calc_Actuals!$H$2:$H$865,C184,Calc_Actuals!$C$2:$C$865,"Actual"),0)</f>
        <v>0</v>
      </c>
      <c r="O184" s="42" t="n">
        <f aca="false">VALUE(RIGHT(A184,2))</f>
        <v>3</v>
      </c>
      <c r="P184" s="42" t="str">
        <f aca="false">A184&amp;"|"&amp;B184&amp;"|"&amp;C184</f>
        <v>2026-03|North|Home Care</v>
      </c>
    </row>
    <row r="185" customFormat="false" ht="15" hidden="false" customHeight="false" outlineLevel="0" collapsed="false">
      <c r="A185" s="42" t="str">
        <f aca="false">Sales_Budget!A174</f>
        <v>2026-03</v>
      </c>
      <c r="B185" s="42" t="str">
        <f aca="false">Sales_Budget!B174</f>
        <v>North</v>
      </c>
      <c r="C185" s="42" t="str">
        <f aca="false">Sales_Budget!C174</f>
        <v>Personal Care</v>
      </c>
      <c r="D185" s="43" t="n">
        <f aca="false">Sales_Budget!E174</f>
        <v>1198800</v>
      </c>
      <c r="E185" s="43" t="n">
        <f aca="false">Sales_Budget!F174</f>
        <v>743256</v>
      </c>
      <c r="F185" s="43" t="n">
        <f aca="false">Sales_Budget!G174</f>
        <v>455544</v>
      </c>
      <c r="G185" s="42" t="n">
        <f aca="false">VALUE(LEFT(A185,4))</f>
        <v>2026</v>
      </c>
      <c r="H185" s="42" t="n">
        <f aca="false">IF(COUNTIFS(Calc_Actuals!$F$2:$F$865,B185,Calc_Actuals!$H$2:$H$865,C185,Calc_Actuals!$C$2:$C$865,"Actual")&gt;0,1,0)</f>
        <v>1</v>
      </c>
      <c r="I185" s="42" t="str">
        <f aca="false">IFERROR(INDEX(Calendar!$E$2:$E$25,MATCH(A185,Calendar!$A$2:$A$25,0)),"UNMATCHED")</f>
        <v>Actual</v>
      </c>
      <c r="J185" s="43" t="n">
        <f aca="false">D185*$B$7</f>
        <v>304599.28274524</v>
      </c>
      <c r="K185" s="43" t="n">
        <f aca="false">E185*$B$7</f>
        <v>188851.555302049</v>
      </c>
      <c r="L185" s="43" t="n">
        <f aca="false">F185*$B$7</f>
        <v>115747.727443191</v>
      </c>
      <c r="M185" s="43" t="n">
        <f aca="false">IF(I185="Actual",SUMIFS(Calc_Actuals!$N$2:$N$865,Calc_Actuals!$J$2:$J$865,G185,Calc_Actuals!$K$2:$K$865,O185,Calc_Actuals!$F$2:$F$865,B185,Calc_Actuals!$H$2:$H$865,C185,Calc_Actuals!$C$2:$C$865,"Actual"),0)</f>
        <v>510096.77</v>
      </c>
      <c r="N185" s="43" t="n">
        <f aca="false">IF(I185="Actual",SUMIFS(Calc_Actuals!$P$2:$P$865,Calc_Actuals!$J$2:$J$865,G185,Calc_Actuals!$K$2:$K$865,O185,Calc_Actuals!$F$2:$F$865,B185,Calc_Actuals!$H$2:$H$865,C185,Calc_Actuals!$C$2:$C$865,"Actual"),0)</f>
        <v>187362.82</v>
      </c>
      <c r="O185" s="42" t="n">
        <f aca="false">VALUE(RIGHT(A185,2))</f>
        <v>3</v>
      </c>
      <c r="P185" s="42" t="str">
        <f aca="false">A185&amp;"|"&amp;B185&amp;"|"&amp;C185</f>
        <v>2026-03|North|Personal Care</v>
      </c>
    </row>
    <row r="186" customFormat="false" ht="15" hidden="false" customHeight="false" outlineLevel="0" collapsed="false">
      <c r="A186" s="42" t="str">
        <f aca="false">Sales_Budget!A175</f>
        <v>2026-03</v>
      </c>
      <c r="B186" s="42" t="str">
        <f aca="false">Sales_Budget!B175</f>
        <v>North</v>
      </c>
      <c r="C186" s="42" t="str">
        <f aca="false">Sales_Budget!C175</f>
        <v>Foods</v>
      </c>
      <c r="D186" s="43" t="n">
        <f aca="false">Sales_Budget!E175</f>
        <v>1279800</v>
      </c>
      <c r="E186" s="43" t="n">
        <f aca="false">Sales_Budget!F175</f>
        <v>793476</v>
      </c>
      <c r="F186" s="43" t="n">
        <f aca="false">Sales_Budget!G175</f>
        <v>486324</v>
      </c>
      <c r="G186" s="42" t="n">
        <f aca="false">VALUE(LEFT(A186,4))</f>
        <v>2026</v>
      </c>
      <c r="H186" s="42" t="n">
        <f aca="false">IF(COUNTIFS(Calc_Actuals!$F$2:$F$865,B186,Calc_Actuals!$H$2:$H$865,C186,Calc_Actuals!$C$2:$C$865,"Actual")&gt;0,1,0)</f>
        <v>0</v>
      </c>
      <c r="I186" s="42" t="str">
        <f aca="false">IFERROR(INDEX(Calendar!$E$2:$E$25,MATCH(A186,Calendar!$A$2:$A$25,0)),"UNMATCHED")</f>
        <v>Actual</v>
      </c>
      <c r="J186" s="43" t="n">
        <f aca="false">D186*$B$7</f>
        <v>325180.315363161</v>
      </c>
      <c r="K186" s="43" t="n">
        <f aca="false">E186*$B$7</f>
        <v>201611.79552516</v>
      </c>
      <c r="L186" s="43" t="n">
        <f aca="false">F186*$B$7</f>
        <v>123568.519838001</v>
      </c>
      <c r="M186" s="43" t="n">
        <f aca="false">IF(I186="Actual",SUMIFS(Calc_Actuals!$N$2:$N$865,Calc_Actuals!$J$2:$J$865,G186,Calc_Actuals!$K$2:$K$865,O186,Calc_Actuals!$F$2:$F$865,B186,Calc_Actuals!$H$2:$H$865,C186,Calc_Actuals!$C$2:$C$865,"Actual"),0)</f>
        <v>0</v>
      </c>
      <c r="N186" s="43" t="n">
        <f aca="false">IF(I186="Actual",SUMIFS(Calc_Actuals!$P$2:$P$865,Calc_Actuals!$J$2:$J$865,G186,Calc_Actuals!$K$2:$K$865,O186,Calc_Actuals!$F$2:$F$865,B186,Calc_Actuals!$H$2:$H$865,C186,Calc_Actuals!$C$2:$C$865,"Actual"),0)</f>
        <v>0</v>
      </c>
      <c r="O186" s="42" t="n">
        <f aca="false">VALUE(RIGHT(A186,2))</f>
        <v>3</v>
      </c>
      <c r="P186" s="42" t="str">
        <f aca="false">A186&amp;"|"&amp;B186&amp;"|"&amp;C186</f>
        <v>2026-03|North|Foods</v>
      </c>
    </row>
    <row r="187" customFormat="false" ht="15" hidden="false" customHeight="false" outlineLevel="0" collapsed="false">
      <c r="A187" s="42" t="str">
        <f aca="false">Sales_Budget!A176</f>
        <v>2026-03</v>
      </c>
      <c r="B187" s="42" t="str">
        <f aca="false">Sales_Budget!B176</f>
        <v>West</v>
      </c>
      <c r="C187" s="42" t="str">
        <f aca="false">Sales_Budget!C176</f>
        <v>Home Care</v>
      </c>
      <c r="D187" s="43" t="n">
        <f aca="false">Sales_Budget!E176</f>
        <v>1209600</v>
      </c>
      <c r="E187" s="43" t="n">
        <f aca="false">Sales_Budget!F176</f>
        <v>749952</v>
      </c>
      <c r="F187" s="43" t="n">
        <f aca="false">Sales_Budget!G176</f>
        <v>459648</v>
      </c>
      <c r="G187" s="42" t="n">
        <f aca="false">VALUE(LEFT(A187,4))</f>
        <v>2026</v>
      </c>
      <c r="H187" s="42" t="n">
        <f aca="false">IF(COUNTIFS(Calc_Actuals!$F$2:$F$865,B187,Calc_Actuals!$H$2:$H$865,C187,Calc_Actuals!$C$2:$C$865,"Actual")&gt;0,1,0)</f>
        <v>1</v>
      </c>
      <c r="I187" s="42" t="str">
        <f aca="false">IFERROR(INDEX(Calendar!$E$2:$E$25,MATCH(A187,Calendar!$A$2:$A$25,0)),"UNMATCHED")</f>
        <v>Actual</v>
      </c>
      <c r="J187" s="43" t="n">
        <f aca="false">D187*$B$7</f>
        <v>307343.420427629</v>
      </c>
      <c r="K187" s="43" t="n">
        <f aca="false">E187*$B$7</f>
        <v>190552.92066513</v>
      </c>
      <c r="L187" s="43" t="n">
        <f aca="false">F187*$B$7</f>
        <v>116790.499762499</v>
      </c>
      <c r="M187" s="43" t="n">
        <f aca="false">IF(I187="Actual",SUMIFS(Calc_Actuals!$N$2:$N$865,Calc_Actuals!$J$2:$J$865,G187,Calc_Actuals!$K$2:$K$865,O187,Calc_Actuals!$F$2:$F$865,B187,Calc_Actuals!$H$2:$H$865,C187,Calc_Actuals!$C$2:$C$865,"Actual"),0)</f>
        <v>264744.28</v>
      </c>
      <c r="N187" s="43" t="n">
        <f aca="false">IF(I187="Actual",SUMIFS(Calc_Actuals!$P$2:$P$865,Calc_Actuals!$J$2:$J$865,G187,Calc_Actuals!$K$2:$K$865,O187,Calc_Actuals!$F$2:$F$865,B187,Calc_Actuals!$H$2:$H$865,C187,Calc_Actuals!$C$2:$C$865,"Actual"),0)</f>
        <v>94113.95</v>
      </c>
      <c r="O187" s="42" t="n">
        <f aca="false">VALUE(RIGHT(A187,2))</f>
        <v>3</v>
      </c>
      <c r="P187" s="42" t="str">
        <f aca="false">A187&amp;"|"&amp;B187&amp;"|"&amp;C187</f>
        <v>2026-03|West|Home Care</v>
      </c>
    </row>
    <row r="188" customFormat="false" ht="15" hidden="false" customHeight="false" outlineLevel="0" collapsed="false">
      <c r="A188" s="42" t="str">
        <f aca="false">Sales_Budget!A177</f>
        <v>2026-03</v>
      </c>
      <c r="B188" s="42" t="str">
        <f aca="false">Sales_Budget!B177</f>
        <v>West</v>
      </c>
      <c r="C188" s="42" t="str">
        <f aca="false">Sales_Budget!C177</f>
        <v>Personal Care</v>
      </c>
      <c r="D188" s="43" t="n">
        <f aca="false">Sales_Budget!E177</f>
        <v>1290600</v>
      </c>
      <c r="E188" s="43" t="n">
        <f aca="false">Sales_Budget!F177</f>
        <v>800172</v>
      </c>
      <c r="F188" s="43" t="n">
        <f aca="false">Sales_Budget!G177</f>
        <v>490428</v>
      </c>
      <c r="G188" s="42" t="n">
        <f aca="false">VALUE(LEFT(A188,4))</f>
        <v>2026</v>
      </c>
      <c r="H188" s="42" t="n">
        <f aca="false">IF(COUNTIFS(Calc_Actuals!$F$2:$F$865,B188,Calc_Actuals!$H$2:$H$865,C188,Calc_Actuals!$C$2:$C$865,"Actual")&gt;0,1,0)</f>
        <v>1</v>
      </c>
      <c r="I188" s="42" t="str">
        <f aca="false">IFERROR(INDEX(Calendar!$E$2:$E$25,MATCH(A188,Calendar!$A$2:$A$25,0)),"UNMATCHED")</f>
        <v>Actual</v>
      </c>
      <c r="J188" s="43" t="n">
        <f aca="false">D188*$B$7</f>
        <v>327924.453045551</v>
      </c>
      <c r="K188" s="43" t="n">
        <f aca="false">E188*$B$7</f>
        <v>203313.160888241</v>
      </c>
      <c r="L188" s="43" t="n">
        <f aca="false">F188*$B$7</f>
        <v>124611.292157309</v>
      </c>
      <c r="M188" s="43" t="n">
        <f aca="false">IF(I188="Actual",SUMIFS(Calc_Actuals!$N$2:$N$865,Calc_Actuals!$J$2:$J$865,G188,Calc_Actuals!$K$2:$K$865,O188,Calc_Actuals!$F$2:$F$865,B188,Calc_Actuals!$H$2:$H$865,C188,Calc_Actuals!$C$2:$C$865,"Actual"),0)</f>
        <v>383808.43</v>
      </c>
      <c r="N188" s="43" t="n">
        <f aca="false">IF(I188="Actual",SUMIFS(Calc_Actuals!$P$2:$P$865,Calc_Actuals!$J$2:$J$865,G188,Calc_Actuals!$K$2:$K$865,O188,Calc_Actuals!$F$2:$F$865,B188,Calc_Actuals!$H$2:$H$865,C188,Calc_Actuals!$C$2:$C$865,"Actual"),0)</f>
        <v>135415.48</v>
      </c>
      <c r="O188" s="42" t="n">
        <f aca="false">VALUE(RIGHT(A188,2))</f>
        <v>3</v>
      </c>
      <c r="P188" s="42" t="str">
        <f aca="false">A188&amp;"|"&amp;B188&amp;"|"&amp;C188</f>
        <v>2026-03|West|Personal Care</v>
      </c>
    </row>
    <row r="189" customFormat="false" ht="15" hidden="false" customHeight="false" outlineLevel="0" collapsed="false">
      <c r="A189" s="42" t="str">
        <f aca="false">Sales_Budget!A178</f>
        <v>2026-03</v>
      </c>
      <c r="B189" s="42" t="str">
        <f aca="false">Sales_Budget!B178</f>
        <v>West</v>
      </c>
      <c r="C189" s="42" t="str">
        <f aca="false">Sales_Budget!C178</f>
        <v>Foods</v>
      </c>
      <c r="D189" s="43" t="n">
        <f aca="false">Sales_Budget!E178</f>
        <v>1371600</v>
      </c>
      <c r="E189" s="43" t="n">
        <f aca="false">Sales_Budget!F178</f>
        <v>850392</v>
      </c>
      <c r="F189" s="43" t="n">
        <f aca="false">Sales_Budget!G178</f>
        <v>521208</v>
      </c>
      <c r="G189" s="42" t="n">
        <f aca="false">VALUE(LEFT(A189,4))</f>
        <v>2026</v>
      </c>
      <c r="H189" s="42" t="n">
        <f aca="false">IF(COUNTIFS(Calc_Actuals!$F$2:$F$865,B189,Calc_Actuals!$H$2:$H$865,C189,Calc_Actuals!$C$2:$C$865,"Actual")&gt;0,1,0)</f>
        <v>0</v>
      </c>
      <c r="I189" s="42" t="str">
        <f aca="false">IFERROR(INDEX(Calendar!$E$2:$E$25,MATCH(A189,Calendar!$A$2:$A$25,0)),"UNMATCHED")</f>
        <v>Actual</v>
      </c>
      <c r="J189" s="43" t="n">
        <f aca="false">D189*$B$7</f>
        <v>348505.485663472</v>
      </c>
      <c r="K189" s="43" t="n">
        <f aca="false">E189*$B$7</f>
        <v>216073.401111353</v>
      </c>
      <c r="L189" s="43" t="n">
        <f aca="false">F189*$B$7</f>
        <v>132432.08455212</v>
      </c>
      <c r="M189" s="43" t="n">
        <f aca="false">IF(I189="Actual",SUMIFS(Calc_Actuals!$N$2:$N$865,Calc_Actuals!$J$2:$J$865,G189,Calc_Actuals!$K$2:$K$865,O189,Calc_Actuals!$F$2:$F$865,B189,Calc_Actuals!$H$2:$H$865,C189,Calc_Actuals!$C$2:$C$865,"Actual"),0)</f>
        <v>0</v>
      </c>
      <c r="N189" s="43" t="n">
        <f aca="false">IF(I189="Actual",SUMIFS(Calc_Actuals!$P$2:$P$865,Calc_Actuals!$J$2:$J$865,G189,Calc_Actuals!$K$2:$K$865,O189,Calc_Actuals!$F$2:$F$865,B189,Calc_Actuals!$H$2:$H$865,C189,Calc_Actuals!$C$2:$C$865,"Actual"),0)</f>
        <v>0</v>
      </c>
      <c r="O189" s="42" t="n">
        <f aca="false">VALUE(RIGHT(A189,2))</f>
        <v>3</v>
      </c>
      <c r="P189" s="42" t="str">
        <f aca="false">A189&amp;"|"&amp;B189&amp;"|"&amp;C189</f>
        <v>2026-03|West|Foods</v>
      </c>
    </row>
    <row r="190" customFormat="false" ht="15" hidden="false" customHeight="false" outlineLevel="0" collapsed="false">
      <c r="A190" s="42" t="str">
        <f aca="false">Sales_Budget!A179</f>
        <v>2026-03</v>
      </c>
      <c r="B190" s="42" t="str">
        <f aca="false">Sales_Budget!B179</f>
        <v>East</v>
      </c>
      <c r="C190" s="42" t="str">
        <f aca="false">Sales_Budget!C179</f>
        <v>Home Care</v>
      </c>
      <c r="D190" s="43" t="n">
        <f aca="false">Sales_Budget!E179</f>
        <v>1301400</v>
      </c>
      <c r="E190" s="43" t="n">
        <f aca="false">Sales_Budget!F179</f>
        <v>806868</v>
      </c>
      <c r="F190" s="43" t="n">
        <f aca="false">Sales_Budget!G179</f>
        <v>494532</v>
      </c>
      <c r="G190" s="42" t="n">
        <f aca="false">VALUE(LEFT(A190,4))</f>
        <v>2026</v>
      </c>
      <c r="H190" s="42" t="n">
        <f aca="false">IF(COUNTIFS(Calc_Actuals!$F$2:$F$865,B190,Calc_Actuals!$H$2:$H$865,C190,Calc_Actuals!$C$2:$C$865,"Actual")&gt;0,1,0)</f>
        <v>1</v>
      </c>
      <c r="I190" s="42" t="str">
        <f aca="false">IFERROR(INDEX(Calendar!$E$2:$E$25,MATCH(A190,Calendar!$A$2:$A$25,0)),"UNMATCHED")</f>
        <v>Actual</v>
      </c>
      <c r="J190" s="43" t="n">
        <f aca="false">D190*$B$7</f>
        <v>330668.59072794</v>
      </c>
      <c r="K190" s="43" t="n">
        <f aca="false">E190*$B$7</f>
        <v>205014.526251323</v>
      </c>
      <c r="L190" s="43" t="n">
        <f aca="false">F190*$B$7</f>
        <v>125654.064476617</v>
      </c>
      <c r="M190" s="43" t="n">
        <f aca="false">IF(I190="Actual",SUMIFS(Calc_Actuals!$N$2:$N$865,Calc_Actuals!$J$2:$J$865,G190,Calc_Actuals!$K$2:$K$865,O190,Calc_Actuals!$F$2:$F$865,B190,Calc_Actuals!$H$2:$H$865,C190,Calc_Actuals!$C$2:$C$865,"Actual"),0)</f>
        <v>130226.7</v>
      </c>
      <c r="N190" s="43" t="n">
        <f aca="false">IF(I190="Actual",SUMIFS(Calc_Actuals!$P$2:$P$865,Calc_Actuals!$J$2:$J$865,G190,Calc_Actuals!$K$2:$K$865,O190,Calc_Actuals!$F$2:$F$865,B190,Calc_Actuals!$H$2:$H$865,C190,Calc_Actuals!$C$2:$C$865,"Actual"),0)</f>
        <v>49634.62</v>
      </c>
      <c r="O190" s="42" t="n">
        <f aca="false">VALUE(RIGHT(A190,2))</f>
        <v>3</v>
      </c>
      <c r="P190" s="42" t="str">
        <f aca="false">A190&amp;"|"&amp;B190&amp;"|"&amp;C190</f>
        <v>2026-03|East|Home Care</v>
      </c>
    </row>
    <row r="191" customFormat="false" ht="15" hidden="false" customHeight="false" outlineLevel="0" collapsed="false">
      <c r="A191" s="42" t="str">
        <f aca="false">Sales_Budget!A180</f>
        <v>2026-03</v>
      </c>
      <c r="B191" s="42" t="str">
        <f aca="false">Sales_Budget!B180</f>
        <v>East</v>
      </c>
      <c r="C191" s="42" t="str">
        <f aca="false">Sales_Budget!C180</f>
        <v>Personal Care</v>
      </c>
      <c r="D191" s="43" t="n">
        <f aca="false">Sales_Budget!E180</f>
        <v>1382400</v>
      </c>
      <c r="E191" s="43" t="n">
        <f aca="false">Sales_Budget!F180</f>
        <v>857088</v>
      </c>
      <c r="F191" s="43" t="n">
        <f aca="false">Sales_Budget!G180</f>
        <v>525312</v>
      </c>
      <c r="G191" s="42" t="n">
        <f aca="false">VALUE(LEFT(A191,4))</f>
        <v>2026</v>
      </c>
      <c r="H191" s="42" t="n">
        <f aca="false">IF(COUNTIFS(Calc_Actuals!$F$2:$F$865,B191,Calc_Actuals!$H$2:$H$865,C191,Calc_Actuals!$C$2:$C$865,"Actual")&gt;0,1,0)</f>
        <v>0</v>
      </c>
      <c r="I191" s="42" t="str">
        <f aca="false">IFERROR(INDEX(Calendar!$E$2:$E$25,MATCH(A191,Calendar!$A$2:$A$25,0)),"UNMATCHED")</f>
        <v>Actual</v>
      </c>
      <c r="J191" s="43" t="n">
        <f aca="false">D191*$B$7</f>
        <v>351249.623345862</v>
      </c>
      <c r="K191" s="43" t="n">
        <f aca="false">E191*$B$7</f>
        <v>217774.766474434</v>
      </c>
      <c r="L191" s="43" t="n">
        <f aca="false">F191*$B$7</f>
        <v>133474.856871428</v>
      </c>
      <c r="M191" s="43" t="n">
        <f aca="false">IF(I191="Actual",SUMIFS(Calc_Actuals!$N$2:$N$865,Calc_Actuals!$J$2:$J$865,G191,Calc_Actuals!$K$2:$K$865,O191,Calc_Actuals!$F$2:$F$865,B191,Calc_Actuals!$H$2:$H$865,C191,Calc_Actuals!$C$2:$C$865,"Actual"),0)</f>
        <v>0</v>
      </c>
      <c r="N191" s="43" t="n">
        <f aca="false">IF(I191="Actual",SUMIFS(Calc_Actuals!$P$2:$P$865,Calc_Actuals!$J$2:$J$865,G191,Calc_Actuals!$K$2:$K$865,O191,Calc_Actuals!$F$2:$F$865,B191,Calc_Actuals!$H$2:$H$865,C191,Calc_Actuals!$C$2:$C$865,"Actual"),0)</f>
        <v>0</v>
      </c>
      <c r="O191" s="42" t="n">
        <f aca="false">VALUE(RIGHT(A191,2))</f>
        <v>3</v>
      </c>
      <c r="P191" s="42" t="str">
        <f aca="false">A191&amp;"|"&amp;B191&amp;"|"&amp;C191</f>
        <v>2026-03|East|Personal Care</v>
      </c>
    </row>
    <row r="192" customFormat="false" ht="15" hidden="false" customHeight="false" outlineLevel="0" collapsed="false">
      <c r="A192" s="42" t="str">
        <f aca="false">Sales_Budget!A181</f>
        <v>2026-03</v>
      </c>
      <c r="B192" s="42" t="str">
        <f aca="false">Sales_Budget!B181</f>
        <v>East</v>
      </c>
      <c r="C192" s="42" t="str">
        <f aca="false">Sales_Budget!C181</f>
        <v>Foods</v>
      </c>
      <c r="D192" s="43" t="n">
        <f aca="false">Sales_Budget!E181</f>
        <v>1463400</v>
      </c>
      <c r="E192" s="43" t="n">
        <f aca="false">Sales_Budget!F181</f>
        <v>907308</v>
      </c>
      <c r="F192" s="43" t="n">
        <f aca="false">Sales_Budget!G181</f>
        <v>556092</v>
      </c>
      <c r="G192" s="42" t="n">
        <f aca="false">VALUE(LEFT(A192,4))</f>
        <v>2026</v>
      </c>
      <c r="H192" s="42" t="n">
        <f aca="false">IF(COUNTIFS(Calc_Actuals!$F$2:$F$865,B192,Calc_Actuals!$H$2:$H$865,C192,Calc_Actuals!$C$2:$C$865,"Actual")&gt;0,1,0)</f>
        <v>1</v>
      </c>
      <c r="I192" s="42" t="str">
        <f aca="false">IFERROR(INDEX(Calendar!$E$2:$E$25,MATCH(A192,Calendar!$A$2:$A$25,0)),"UNMATCHED")</f>
        <v>Actual</v>
      </c>
      <c r="J192" s="43" t="n">
        <f aca="false">D192*$B$7</f>
        <v>371830.655963783</v>
      </c>
      <c r="K192" s="43" t="n">
        <f aca="false">E192*$B$7</f>
        <v>230535.006697546</v>
      </c>
      <c r="L192" s="43" t="n">
        <f aca="false">F192*$B$7</f>
        <v>141295.649266238</v>
      </c>
      <c r="M192" s="43" t="n">
        <f aca="false">IF(I192="Actual",SUMIFS(Calc_Actuals!$N$2:$N$865,Calc_Actuals!$J$2:$J$865,G192,Calc_Actuals!$K$2:$K$865,O192,Calc_Actuals!$F$2:$F$865,B192,Calc_Actuals!$H$2:$H$865,C192,Calc_Actuals!$C$2:$C$865,"Actual"),0)</f>
        <v>364816.01</v>
      </c>
      <c r="N192" s="43" t="n">
        <f aca="false">IF(I192="Actual",SUMIFS(Calc_Actuals!$P$2:$P$865,Calc_Actuals!$J$2:$J$865,G192,Calc_Actuals!$K$2:$K$865,O192,Calc_Actuals!$F$2:$F$865,B192,Calc_Actuals!$H$2:$H$865,C192,Calc_Actuals!$C$2:$C$865,"Actual"),0)</f>
        <v>133017.67</v>
      </c>
      <c r="O192" s="42" t="n">
        <f aca="false">VALUE(RIGHT(A192,2))</f>
        <v>3</v>
      </c>
      <c r="P192" s="42" t="str">
        <f aca="false">A192&amp;"|"&amp;B192&amp;"|"&amp;C192</f>
        <v>2026-03|East|Foods</v>
      </c>
    </row>
    <row r="193" customFormat="false" ht="15" hidden="false" customHeight="false" outlineLevel="0" collapsed="false">
      <c r="A193" s="42" t="str">
        <f aca="false">Sales_Budget!A182</f>
        <v>2026-04</v>
      </c>
      <c r="B193" s="42" t="str">
        <f aca="false">Sales_Budget!B182</f>
        <v>South</v>
      </c>
      <c r="C193" s="42" t="str">
        <f aca="false">Sales_Budget!C182</f>
        <v>Home Care</v>
      </c>
      <c r="D193" s="43" t="n">
        <f aca="false">Sales_Budget!E182</f>
        <v>1026000</v>
      </c>
      <c r="E193" s="43" t="n">
        <f aca="false">Sales_Budget!F182</f>
        <v>636120</v>
      </c>
      <c r="F193" s="43" t="n">
        <f aca="false">Sales_Budget!G182</f>
        <v>389880</v>
      </c>
      <c r="G193" s="42" t="n">
        <f aca="false">VALUE(LEFT(A193,4))</f>
        <v>2026</v>
      </c>
      <c r="H193" s="42" t="n">
        <f aca="false">IF(COUNTIFS(Calc_Actuals!$F$2:$F$865,B193,Calc_Actuals!$H$2:$H$865,C193,Calc_Actuals!$C$2:$C$865,"Actual")&gt;0,1,0)</f>
        <v>1</v>
      </c>
      <c r="I193" s="42" t="str">
        <f aca="false">IFERROR(INDEX(Calendar!$E$2:$E$25,MATCH(A193,Calendar!$A$2:$A$25,0)),"UNMATCHED")</f>
        <v>Actual</v>
      </c>
      <c r="J193" s="43" t="n">
        <f aca="false">D193*$B$7</f>
        <v>260693.079827007</v>
      </c>
      <c r="K193" s="43" t="n">
        <f aca="false">E193*$B$7</f>
        <v>161629.709492744</v>
      </c>
      <c r="L193" s="43" t="n">
        <f aca="false">F193*$B$7</f>
        <v>99063.3703342626</v>
      </c>
      <c r="M193" s="43" t="n">
        <f aca="false">IF(I193="Actual",SUMIFS(Calc_Actuals!$N$2:$N$865,Calc_Actuals!$J$2:$J$865,G193,Calc_Actuals!$K$2:$K$865,O193,Calc_Actuals!$F$2:$F$865,B193,Calc_Actuals!$H$2:$H$865,C193,Calc_Actuals!$C$2:$C$865,"Actual"),0)</f>
        <v>273265.27</v>
      </c>
      <c r="N193" s="43" t="n">
        <f aca="false">IF(I193="Actual",SUMIFS(Calc_Actuals!$P$2:$P$865,Calc_Actuals!$J$2:$J$865,G193,Calc_Actuals!$K$2:$K$865,O193,Calc_Actuals!$F$2:$F$865,B193,Calc_Actuals!$H$2:$H$865,C193,Calc_Actuals!$C$2:$C$865,"Actual"),0)</f>
        <v>87201.89</v>
      </c>
      <c r="O193" s="42" t="n">
        <f aca="false">VALUE(RIGHT(A193,2))</f>
        <v>4</v>
      </c>
      <c r="P193" s="42" t="str">
        <f aca="false">A193&amp;"|"&amp;B193&amp;"|"&amp;C193</f>
        <v>2026-04|South|Home Care</v>
      </c>
    </row>
    <row r="194" customFormat="false" ht="15" hidden="false" customHeight="false" outlineLevel="0" collapsed="false">
      <c r="A194" s="42" t="str">
        <f aca="false">Sales_Budget!A183</f>
        <v>2026-04</v>
      </c>
      <c r="B194" s="42" t="str">
        <f aca="false">Sales_Budget!B183</f>
        <v>South</v>
      </c>
      <c r="C194" s="42" t="str">
        <f aca="false">Sales_Budget!C183</f>
        <v>Personal Care</v>
      </c>
      <c r="D194" s="43" t="n">
        <f aca="false">Sales_Budget!E183</f>
        <v>1107000</v>
      </c>
      <c r="E194" s="43" t="n">
        <f aca="false">Sales_Budget!F183</f>
        <v>686340</v>
      </c>
      <c r="F194" s="43" t="n">
        <f aca="false">Sales_Budget!G183</f>
        <v>420660</v>
      </c>
      <c r="G194" s="42" t="n">
        <f aca="false">VALUE(LEFT(A194,4))</f>
        <v>2026</v>
      </c>
      <c r="H194" s="42" t="n">
        <f aca="false">IF(COUNTIFS(Calc_Actuals!$F$2:$F$865,B194,Calc_Actuals!$H$2:$H$865,C194,Calc_Actuals!$C$2:$C$865,"Actual")&gt;0,1,0)</f>
        <v>0</v>
      </c>
      <c r="I194" s="42" t="str">
        <f aca="false">IFERROR(INDEX(Calendar!$E$2:$E$25,MATCH(A194,Calendar!$A$2:$A$25,0)),"UNMATCHED")</f>
        <v>Actual</v>
      </c>
      <c r="J194" s="43" t="n">
        <f aca="false">D194*$B$7</f>
        <v>281274.112444928</v>
      </c>
      <c r="K194" s="43" t="n">
        <f aca="false">E194*$B$7</f>
        <v>174389.949715856</v>
      </c>
      <c r="L194" s="43" t="n">
        <f aca="false">F194*$B$7</f>
        <v>106884.162729073</v>
      </c>
      <c r="M194" s="43" t="n">
        <f aca="false">IF(I194="Actual",SUMIFS(Calc_Actuals!$N$2:$N$865,Calc_Actuals!$J$2:$J$865,G194,Calc_Actuals!$K$2:$K$865,O194,Calc_Actuals!$F$2:$F$865,B194,Calc_Actuals!$H$2:$H$865,C194,Calc_Actuals!$C$2:$C$865,"Actual"),0)</f>
        <v>0</v>
      </c>
      <c r="N194" s="43" t="n">
        <f aca="false">IF(I194="Actual",SUMIFS(Calc_Actuals!$P$2:$P$865,Calc_Actuals!$J$2:$J$865,G194,Calc_Actuals!$K$2:$K$865,O194,Calc_Actuals!$F$2:$F$865,B194,Calc_Actuals!$H$2:$H$865,C194,Calc_Actuals!$C$2:$C$865,"Actual"),0)</f>
        <v>0</v>
      </c>
      <c r="O194" s="42" t="n">
        <f aca="false">VALUE(RIGHT(A194,2))</f>
        <v>4</v>
      </c>
      <c r="P194" s="42" t="str">
        <f aca="false">A194&amp;"|"&amp;B194&amp;"|"&amp;C194</f>
        <v>2026-04|South|Personal Care</v>
      </c>
    </row>
    <row r="195" customFormat="false" ht="15" hidden="false" customHeight="false" outlineLevel="0" collapsed="false">
      <c r="A195" s="42" t="str">
        <f aca="false">Sales_Budget!A184</f>
        <v>2026-04</v>
      </c>
      <c r="B195" s="42" t="str">
        <f aca="false">Sales_Budget!B184</f>
        <v>South</v>
      </c>
      <c r="C195" s="42" t="str">
        <f aca="false">Sales_Budget!C184</f>
        <v>Foods</v>
      </c>
      <c r="D195" s="43" t="n">
        <f aca="false">Sales_Budget!E184</f>
        <v>1188000</v>
      </c>
      <c r="E195" s="43" t="n">
        <f aca="false">Sales_Budget!F184</f>
        <v>736560</v>
      </c>
      <c r="F195" s="43" t="n">
        <f aca="false">Sales_Budget!G184</f>
        <v>451440</v>
      </c>
      <c r="G195" s="42" t="n">
        <f aca="false">VALUE(LEFT(A195,4))</f>
        <v>2026</v>
      </c>
      <c r="H195" s="42" t="n">
        <f aca="false">IF(COUNTIFS(Calc_Actuals!$F$2:$F$865,B195,Calc_Actuals!$H$2:$H$865,C195,Calc_Actuals!$C$2:$C$865,"Actual")&gt;0,1,0)</f>
        <v>1</v>
      </c>
      <c r="I195" s="42" t="str">
        <f aca="false">IFERROR(INDEX(Calendar!$E$2:$E$25,MATCH(A195,Calendar!$A$2:$A$25,0)),"UNMATCHED")</f>
        <v>Actual</v>
      </c>
      <c r="J195" s="43" t="n">
        <f aca="false">D195*$B$7</f>
        <v>301855.14506285</v>
      </c>
      <c r="K195" s="43" t="n">
        <f aca="false">E195*$B$7</f>
        <v>187150.189938967</v>
      </c>
      <c r="L195" s="43" t="n">
        <f aca="false">F195*$B$7</f>
        <v>114704.955123883</v>
      </c>
      <c r="M195" s="43" t="n">
        <f aca="false">IF(I195="Actual",SUMIFS(Calc_Actuals!$N$2:$N$865,Calc_Actuals!$J$2:$J$865,G195,Calc_Actuals!$K$2:$K$865,O195,Calc_Actuals!$F$2:$F$865,B195,Calc_Actuals!$H$2:$H$865,C195,Calc_Actuals!$C$2:$C$865,"Actual"),0)</f>
        <v>157304.45</v>
      </c>
      <c r="N195" s="43" t="n">
        <f aca="false">IF(I195="Actual",SUMIFS(Calc_Actuals!$P$2:$P$865,Calc_Actuals!$J$2:$J$865,G195,Calc_Actuals!$K$2:$K$865,O195,Calc_Actuals!$F$2:$F$865,B195,Calc_Actuals!$H$2:$H$865,C195,Calc_Actuals!$C$2:$C$865,"Actual"),0)</f>
        <v>53305.71</v>
      </c>
      <c r="O195" s="42" t="n">
        <f aca="false">VALUE(RIGHT(A195,2))</f>
        <v>4</v>
      </c>
      <c r="P195" s="42" t="str">
        <f aca="false">A195&amp;"|"&amp;B195&amp;"|"&amp;C195</f>
        <v>2026-04|South|Foods</v>
      </c>
    </row>
    <row r="196" customFormat="false" ht="15" hidden="false" customHeight="false" outlineLevel="0" collapsed="false">
      <c r="A196" s="42" t="str">
        <f aca="false">Sales_Budget!A185</f>
        <v>2026-04</v>
      </c>
      <c r="B196" s="42" t="str">
        <f aca="false">Sales_Budget!B185</f>
        <v>North</v>
      </c>
      <c r="C196" s="42" t="str">
        <f aca="false">Sales_Budget!C185</f>
        <v>Home Care</v>
      </c>
      <c r="D196" s="43" t="n">
        <f aca="false">Sales_Budget!E185</f>
        <v>1117800</v>
      </c>
      <c r="E196" s="43" t="n">
        <f aca="false">Sales_Budget!F185</f>
        <v>693036</v>
      </c>
      <c r="F196" s="43" t="n">
        <f aca="false">Sales_Budget!G185</f>
        <v>424764</v>
      </c>
      <c r="G196" s="42" t="n">
        <f aca="false">VALUE(LEFT(A196,4))</f>
        <v>2026</v>
      </c>
      <c r="H196" s="42" t="n">
        <f aca="false">IF(COUNTIFS(Calc_Actuals!$F$2:$F$865,B196,Calc_Actuals!$H$2:$H$865,C196,Calc_Actuals!$C$2:$C$865,"Actual")&gt;0,1,0)</f>
        <v>0</v>
      </c>
      <c r="I196" s="42" t="str">
        <f aca="false">IFERROR(INDEX(Calendar!$E$2:$E$25,MATCH(A196,Calendar!$A$2:$A$25,0)),"UNMATCHED")</f>
        <v>Actual</v>
      </c>
      <c r="J196" s="43" t="n">
        <f aca="false">D196*$B$7</f>
        <v>284018.250127318</v>
      </c>
      <c r="K196" s="43" t="n">
        <f aca="false">E196*$B$7</f>
        <v>176091.315078937</v>
      </c>
      <c r="L196" s="43" t="n">
        <f aca="false">F196*$B$7</f>
        <v>107926.935048381</v>
      </c>
      <c r="M196" s="43" t="n">
        <f aca="false">IF(I196="Actual",SUMIFS(Calc_Actuals!$N$2:$N$865,Calc_Actuals!$J$2:$J$865,G196,Calc_Actuals!$K$2:$K$865,O196,Calc_Actuals!$F$2:$F$865,B196,Calc_Actuals!$H$2:$H$865,C196,Calc_Actuals!$C$2:$C$865,"Actual"),0)</f>
        <v>0</v>
      </c>
      <c r="N196" s="43" t="n">
        <f aca="false">IF(I196="Actual",SUMIFS(Calc_Actuals!$P$2:$P$865,Calc_Actuals!$J$2:$J$865,G196,Calc_Actuals!$K$2:$K$865,O196,Calc_Actuals!$F$2:$F$865,B196,Calc_Actuals!$H$2:$H$865,C196,Calc_Actuals!$C$2:$C$865,"Actual"),0)</f>
        <v>0</v>
      </c>
      <c r="O196" s="42" t="n">
        <f aca="false">VALUE(RIGHT(A196,2))</f>
        <v>4</v>
      </c>
      <c r="P196" s="42" t="str">
        <f aca="false">A196&amp;"|"&amp;B196&amp;"|"&amp;C196</f>
        <v>2026-04|North|Home Care</v>
      </c>
    </row>
    <row r="197" customFormat="false" ht="15" hidden="false" customHeight="false" outlineLevel="0" collapsed="false">
      <c r="A197" s="42" t="str">
        <f aca="false">Sales_Budget!A186</f>
        <v>2026-04</v>
      </c>
      <c r="B197" s="42" t="str">
        <f aca="false">Sales_Budget!B186</f>
        <v>North</v>
      </c>
      <c r="C197" s="42" t="str">
        <f aca="false">Sales_Budget!C186</f>
        <v>Personal Care</v>
      </c>
      <c r="D197" s="43" t="n">
        <f aca="false">Sales_Budget!E186</f>
        <v>1198800</v>
      </c>
      <c r="E197" s="43" t="n">
        <f aca="false">Sales_Budget!F186</f>
        <v>743256</v>
      </c>
      <c r="F197" s="43" t="n">
        <f aca="false">Sales_Budget!G186</f>
        <v>455544</v>
      </c>
      <c r="G197" s="42" t="n">
        <f aca="false">VALUE(LEFT(A197,4))</f>
        <v>2026</v>
      </c>
      <c r="H197" s="42" t="n">
        <f aca="false">IF(COUNTIFS(Calc_Actuals!$F$2:$F$865,B197,Calc_Actuals!$H$2:$H$865,C197,Calc_Actuals!$C$2:$C$865,"Actual")&gt;0,1,0)</f>
        <v>1</v>
      </c>
      <c r="I197" s="42" t="str">
        <f aca="false">IFERROR(INDEX(Calendar!$E$2:$E$25,MATCH(A197,Calendar!$A$2:$A$25,0)),"UNMATCHED")</f>
        <v>Actual</v>
      </c>
      <c r="J197" s="43" t="n">
        <f aca="false">D197*$B$7</f>
        <v>304599.28274524</v>
      </c>
      <c r="K197" s="43" t="n">
        <f aca="false">E197*$B$7</f>
        <v>188851.555302049</v>
      </c>
      <c r="L197" s="43" t="n">
        <f aca="false">F197*$B$7</f>
        <v>115747.727443191</v>
      </c>
      <c r="M197" s="43" t="n">
        <f aca="false">IF(I197="Actual",SUMIFS(Calc_Actuals!$N$2:$N$865,Calc_Actuals!$J$2:$J$865,G197,Calc_Actuals!$K$2:$K$865,O197,Calc_Actuals!$F$2:$F$865,B197,Calc_Actuals!$H$2:$H$865,C197,Calc_Actuals!$C$2:$C$865,"Actual"),0)</f>
        <v>535693.3</v>
      </c>
      <c r="N197" s="43" t="n">
        <f aca="false">IF(I197="Actual",SUMIFS(Calc_Actuals!$P$2:$P$865,Calc_Actuals!$J$2:$J$865,G197,Calc_Actuals!$K$2:$K$865,O197,Calc_Actuals!$F$2:$F$865,B197,Calc_Actuals!$H$2:$H$865,C197,Calc_Actuals!$C$2:$C$865,"Actual"),0)</f>
        <v>191714.16</v>
      </c>
      <c r="O197" s="42" t="n">
        <f aca="false">VALUE(RIGHT(A197,2))</f>
        <v>4</v>
      </c>
      <c r="P197" s="42" t="str">
        <f aca="false">A197&amp;"|"&amp;B197&amp;"|"&amp;C197</f>
        <v>2026-04|North|Personal Care</v>
      </c>
    </row>
    <row r="198" customFormat="false" ht="15" hidden="false" customHeight="false" outlineLevel="0" collapsed="false">
      <c r="A198" s="42" t="str">
        <f aca="false">Sales_Budget!A187</f>
        <v>2026-04</v>
      </c>
      <c r="B198" s="42" t="str">
        <f aca="false">Sales_Budget!B187</f>
        <v>North</v>
      </c>
      <c r="C198" s="42" t="str">
        <f aca="false">Sales_Budget!C187</f>
        <v>Foods</v>
      </c>
      <c r="D198" s="43" t="n">
        <f aca="false">Sales_Budget!E187</f>
        <v>1279800</v>
      </c>
      <c r="E198" s="43" t="n">
        <f aca="false">Sales_Budget!F187</f>
        <v>793476</v>
      </c>
      <c r="F198" s="43" t="n">
        <f aca="false">Sales_Budget!G187</f>
        <v>486324</v>
      </c>
      <c r="G198" s="42" t="n">
        <f aca="false">VALUE(LEFT(A198,4))</f>
        <v>2026</v>
      </c>
      <c r="H198" s="42" t="n">
        <f aca="false">IF(COUNTIFS(Calc_Actuals!$F$2:$F$865,B198,Calc_Actuals!$H$2:$H$865,C198,Calc_Actuals!$C$2:$C$865,"Actual")&gt;0,1,0)</f>
        <v>0</v>
      </c>
      <c r="I198" s="42" t="str">
        <f aca="false">IFERROR(INDEX(Calendar!$E$2:$E$25,MATCH(A198,Calendar!$A$2:$A$25,0)),"UNMATCHED")</f>
        <v>Actual</v>
      </c>
      <c r="J198" s="43" t="n">
        <f aca="false">D198*$B$7</f>
        <v>325180.315363161</v>
      </c>
      <c r="K198" s="43" t="n">
        <f aca="false">E198*$B$7</f>
        <v>201611.79552516</v>
      </c>
      <c r="L198" s="43" t="n">
        <f aca="false">F198*$B$7</f>
        <v>123568.519838001</v>
      </c>
      <c r="M198" s="43" t="n">
        <f aca="false">IF(I198="Actual",SUMIFS(Calc_Actuals!$N$2:$N$865,Calc_Actuals!$J$2:$J$865,G198,Calc_Actuals!$K$2:$K$865,O198,Calc_Actuals!$F$2:$F$865,B198,Calc_Actuals!$H$2:$H$865,C198,Calc_Actuals!$C$2:$C$865,"Actual"),0)</f>
        <v>0</v>
      </c>
      <c r="N198" s="43" t="n">
        <f aca="false">IF(I198="Actual",SUMIFS(Calc_Actuals!$P$2:$P$865,Calc_Actuals!$J$2:$J$865,G198,Calc_Actuals!$K$2:$K$865,O198,Calc_Actuals!$F$2:$F$865,B198,Calc_Actuals!$H$2:$H$865,C198,Calc_Actuals!$C$2:$C$865,"Actual"),0)</f>
        <v>0</v>
      </c>
      <c r="O198" s="42" t="n">
        <f aca="false">VALUE(RIGHT(A198,2))</f>
        <v>4</v>
      </c>
      <c r="P198" s="42" t="str">
        <f aca="false">A198&amp;"|"&amp;B198&amp;"|"&amp;C198</f>
        <v>2026-04|North|Foods</v>
      </c>
    </row>
    <row r="199" customFormat="false" ht="15" hidden="false" customHeight="false" outlineLevel="0" collapsed="false">
      <c r="A199" s="42" t="str">
        <f aca="false">Sales_Budget!A188</f>
        <v>2026-04</v>
      </c>
      <c r="B199" s="42" t="str">
        <f aca="false">Sales_Budget!B188</f>
        <v>West</v>
      </c>
      <c r="C199" s="42" t="str">
        <f aca="false">Sales_Budget!C188</f>
        <v>Home Care</v>
      </c>
      <c r="D199" s="43" t="n">
        <f aca="false">Sales_Budget!E188</f>
        <v>1209600</v>
      </c>
      <c r="E199" s="43" t="n">
        <f aca="false">Sales_Budget!F188</f>
        <v>749952</v>
      </c>
      <c r="F199" s="43" t="n">
        <f aca="false">Sales_Budget!G188</f>
        <v>459648</v>
      </c>
      <c r="G199" s="42" t="n">
        <f aca="false">VALUE(LEFT(A199,4))</f>
        <v>2026</v>
      </c>
      <c r="H199" s="42" t="n">
        <f aca="false">IF(COUNTIFS(Calc_Actuals!$F$2:$F$865,B199,Calc_Actuals!$H$2:$H$865,C199,Calc_Actuals!$C$2:$C$865,"Actual")&gt;0,1,0)</f>
        <v>1</v>
      </c>
      <c r="I199" s="42" t="str">
        <f aca="false">IFERROR(INDEX(Calendar!$E$2:$E$25,MATCH(A199,Calendar!$A$2:$A$25,0)),"UNMATCHED")</f>
        <v>Actual</v>
      </c>
      <c r="J199" s="43" t="n">
        <f aca="false">D199*$B$7</f>
        <v>307343.420427629</v>
      </c>
      <c r="K199" s="43" t="n">
        <f aca="false">E199*$B$7</f>
        <v>190552.92066513</v>
      </c>
      <c r="L199" s="43" t="n">
        <f aca="false">F199*$B$7</f>
        <v>116790.499762499</v>
      </c>
      <c r="M199" s="43" t="n">
        <f aca="false">IF(I199="Actual",SUMIFS(Calc_Actuals!$N$2:$N$865,Calc_Actuals!$J$2:$J$865,G199,Calc_Actuals!$K$2:$K$865,O199,Calc_Actuals!$F$2:$F$865,B199,Calc_Actuals!$H$2:$H$865,C199,Calc_Actuals!$C$2:$C$865,"Actual"),0)</f>
        <v>248188.14</v>
      </c>
      <c r="N199" s="43" t="n">
        <f aca="false">IF(I199="Actual",SUMIFS(Calc_Actuals!$P$2:$P$865,Calc_Actuals!$J$2:$J$865,G199,Calc_Actuals!$K$2:$K$865,O199,Calc_Actuals!$F$2:$F$865,B199,Calc_Actuals!$H$2:$H$865,C199,Calc_Actuals!$C$2:$C$865,"Actual"),0)</f>
        <v>93460.26</v>
      </c>
      <c r="O199" s="42" t="n">
        <f aca="false">VALUE(RIGHT(A199,2))</f>
        <v>4</v>
      </c>
      <c r="P199" s="42" t="str">
        <f aca="false">A199&amp;"|"&amp;B199&amp;"|"&amp;C199</f>
        <v>2026-04|West|Home Care</v>
      </c>
    </row>
    <row r="200" customFormat="false" ht="15" hidden="false" customHeight="false" outlineLevel="0" collapsed="false">
      <c r="A200" s="42" t="str">
        <f aca="false">Sales_Budget!A189</f>
        <v>2026-04</v>
      </c>
      <c r="B200" s="42" t="str">
        <f aca="false">Sales_Budget!B189</f>
        <v>West</v>
      </c>
      <c r="C200" s="42" t="str">
        <f aca="false">Sales_Budget!C189</f>
        <v>Personal Care</v>
      </c>
      <c r="D200" s="43" t="n">
        <f aca="false">Sales_Budget!E189</f>
        <v>1290600</v>
      </c>
      <c r="E200" s="43" t="n">
        <f aca="false">Sales_Budget!F189</f>
        <v>800172</v>
      </c>
      <c r="F200" s="43" t="n">
        <f aca="false">Sales_Budget!G189</f>
        <v>490428</v>
      </c>
      <c r="G200" s="42" t="n">
        <f aca="false">VALUE(LEFT(A200,4))</f>
        <v>2026</v>
      </c>
      <c r="H200" s="42" t="n">
        <f aca="false">IF(COUNTIFS(Calc_Actuals!$F$2:$F$865,B200,Calc_Actuals!$H$2:$H$865,C200,Calc_Actuals!$C$2:$C$865,"Actual")&gt;0,1,0)</f>
        <v>1</v>
      </c>
      <c r="I200" s="42" t="str">
        <f aca="false">IFERROR(INDEX(Calendar!$E$2:$E$25,MATCH(A200,Calendar!$A$2:$A$25,0)),"UNMATCHED")</f>
        <v>Actual</v>
      </c>
      <c r="J200" s="43" t="n">
        <f aca="false">D200*$B$7</f>
        <v>327924.453045551</v>
      </c>
      <c r="K200" s="43" t="n">
        <f aca="false">E200*$B$7</f>
        <v>203313.160888241</v>
      </c>
      <c r="L200" s="43" t="n">
        <f aca="false">F200*$B$7</f>
        <v>124611.292157309</v>
      </c>
      <c r="M200" s="43" t="n">
        <f aca="false">IF(I200="Actual",SUMIFS(Calc_Actuals!$N$2:$N$865,Calc_Actuals!$J$2:$J$865,G200,Calc_Actuals!$K$2:$K$865,O200,Calc_Actuals!$F$2:$F$865,B200,Calc_Actuals!$H$2:$H$865,C200,Calc_Actuals!$C$2:$C$865,"Actual"),0)</f>
        <v>259955.79</v>
      </c>
      <c r="N200" s="43" t="n">
        <f aca="false">IF(I200="Actual",SUMIFS(Calc_Actuals!$P$2:$P$865,Calc_Actuals!$J$2:$J$865,G200,Calc_Actuals!$K$2:$K$865,O200,Calc_Actuals!$F$2:$F$865,B200,Calc_Actuals!$H$2:$H$865,C200,Calc_Actuals!$C$2:$C$865,"Actual"),0)</f>
        <v>80335.97</v>
      </c>
      <c r="O200" s="42" t="n">
        <f aca="false">VALUE(RIGHT(A200,2))</f>
        <v>4</v>
      </c>
      <c r="P200" s="42" t="str">
        <f aca="false">A200&amp;"|"&amp;B200&amp;"|"&amp;C200</f>
        <v>2026-04|West|Personal Care</v>
      </c>
    </row>
    <row r="201" customFormat="false" ht="15" hidden="false" customHeight="false" outlineLevel="0" collapsed="false">
      <c r="A201" s="42" t="str">
        <f aca="false">Sales_Budget!A190</f>
        <v>2026-04</v>
      </c>
      <c r="B201" s="42" t="str">
        <f aca="false">Sales_Budget!B190</f>
        <v>West</v>
      </c>
      <c r="C201" s="42" t="str">
        <f aca="false">Sales_Budget!C190</f>
        <v>Foods</v>
      </c>
      <c r="D201" s="43" t="n">
        <f aca="false">Sales_Budget!E190</f>
        <v>1371600</v>
      </c>
      <c r="E201" s="43" t="n">
        <f aca="false">Sales_Budget!F190</f>
        <v>850392</v>
      </c>
      <c r="F201" s="43" t="n">
        <f aca="false">Sales_Budget!G190</f>
        <v>521208</v>
      </c>
      <c r="G201" s="42" t="n">
        <f aca="false">VALUE(LEFT(A201,4))</f>
        <v>2026</v>
      </c>
      <c r="H201" s="42" t="n">
        <f aca="false">IF(COUNTIFS(Calc_Actuals!$F$2:$F$865,B201,Calc_Actuals!$H$2:$H$865,C201,Calc_Actuals!$C$2:$C$865,"Actual")&gt;0,1,0)</f>
        <v>0</v>
      </c>
      <c r="I201" s="42" t="str">
        <f aca="false">IFERROR(INDEX(Calendar!$E$2:$E$25,MATCH(A201,Calendar!$A$2:$A$25,0)),"UNMATCHED")</f>
        <v>Actual</v>
      </c>
      <c r="J201" s="43" t="n">
        <f aca="false">D201*$B$7</f>
        <v>348505.485663472</v>
      </c>
      <c r="K201" s="43" t="n">
        <f aca="false">E201*$B$7</f>
        <v>216073.401111353</v>
      </c>
      <c r="L201" s="43" t="n">
        <f aca="false">F201*$B$7</f>
        <v>132432.08455212</v>
      </c>
      <c r="M201" s="43" t="n">
        <f aca="false">IF(I201="Actual",SUMIFS(Calc_Actuals!$N$2:$N$865,Calc_Actuals!$J$2:$J$865,G201,Calc_Actuals!$K$2:$K$865,O201,Calc_Actuals!$F$2:$F$865,B201,Calc_Actuals!$H$2:$H$865,C201,Calc_Actuals!$C$2:$C$865,"Actual"),0)</f>
        <v>0</v>
      </c>
      <c r="N201" s="43" t="n">
        <f aca="false">IF(I201="Actual",SUMIFS(Calc_Actuals!$P$2:$P$865,Calc_Actuals!$J$2:$J$865,G201,Calc_Actuals!$K$2:$K$865,O201,Calc_Actuals!$F$2:$F$865,B201,Calc_Actuals!$H$2:$H$865,C201,Calc_Actuals!$C$2:$C$865,"Actual"),0)</f>
        <v>0</v>
      </c>
      <c r="O201" s="42" t="n">
        <f aca="false">VALUE(RIGHT(A201,2))</f>
        <v>4</v>
      </c>
      <c r="P201" s="42" t="str">
        <f aca="false">A201&amp;"|"&amp;B201&amp;"|"&amp;C201</f>
        <v>2026-04|West|Foods</v>
      </c>
    </row>
    <row r="202" customFormat="false" ht="15" hidden="false" customHeight="false" outlineLevel="0" collapsed="false">
      <c r="A202" s="42" t="str">
        <f aca="false">Sales_Budget!A191</f>
        <v>2026-04</v>
      </c>
      <c r="B202" s="42" t="str">
        <f aca="false">Sales_Budget!B191</f>
        <v>East</v>
      </c>
      <c r="C202" s="42" t="str">
        <f aca="false">Sales_Budget!C191</f>
        <v>Home Care</v>
      </c>
      <c r="D202" s="43" t="n">
        <f aca="false">Sales_Budget!E191</f>
        <v>1301400</v>
      </c>
      <c r="E202" s="43" t="n">
        <f aca="false">Sales_Budget!F191</f>
        <v>806868</v>
      </c>
      <c r="F202" s="43" t="n">
        <f aca="false">Sales_Budget!G191</f>
        <v>494532</v>
      </c>
      <c r="G202" s="42" t="n">
        <f aca="false">VALUE(LEFT(A202,4))</f>
        <v>2026</v>
      </c>
      <c r="H202" s="42" t="n">
        <f aca="false">IF(COUNTIFS(Calc_Actuals!$F$2:$F$865,B202,Calc_Actuals!$H$2:$H$865,C202,Calc_Actuals!$C$2:$C$865,"Actual")&gt;0,1,0)</f>
        <v>1</v>
      </c>
      <c r="I202" s="42" t="str">
        <f aca="false">IFERROR(INDEX(Calendar!$E$2:$E$25,MATCH(A202,Calendar!$A$2:$A$25,0)),"UNMATCHED")</f>
        <v>Actual</v>
      </c>
      <c r="J202" s="43" t="n">
        <f aca="false">D202*$B$7</f>
        <v>330668.59072794</v>
      </c>
      <c r="K202" s="43" t="n">
        <f aca="false">E202*$B$7</f>
        <v>205014.526251323</v>
      </c>
      <c r="L202" s="43" t="n">
        <f aca="false">F202*$B$7</f>
        <v>125654.064476617</v>
      </c>
      <c r="M202" s="43" t="n">
        <f aca="false">IF(I202="Actual",SUMIFS(Calc_Actuals!$N$2:$N$865,Calc_Actuals!$J$2:$J$865,G202,Calc_Actuals!$K$2:$K$865,O202,Calc_Actuals!$F$2:$F$865,B202,Calc_Actuals!$H$2:$H$865,C202,Calc_Actuals!$C$2:$C$865,"Actual"),0)</f>
        <v>128901.45</v>
      </c>
      <c r="N202" s="43" t="n">
        <f aca="false">IF(I202="Actual",SUMIFS(Calc_Actuals!$P$2:$P$865,Calc_Actuals!$J$2:$J$865,G202,Calc_Actuals!$K$2:$K$865,O202,Calc_Actuals!$F$2:$F$865,B202,Calc_Actuals!$H$2:$H$865,C202,Calc_Actuals!$C$2:$C$865,"Actual"),0)</f>
        <v>50422.41</v>
      </c>
      <c r="O202" s="42" t="n">
        <f aca="false">VALUE(RIGHT(A202,2))</f>
        <v>4</v>
      </c>
      <c r="P202" s="42" t="str">
        <f aca="false">A202&amp;"|"&amp;B202&amp;"|"&amp;C202</f>
        <v>2026-04|East|Home Care</v>
      </c>
    </row>
    <row r="203" customFormat="false" ht="15" hidden="false" customHeight="false" outlineLevel="0" collapsed="false">
      <c r="A203" s="42" t="str">
        <f aca="false">Sales_Budget!A192</f>
        <v>2026-04</v>
      </c>
      <c r="B203" s="42" t="str">
        <f aca="false">Sales_Budget!B192</f>
        <v>East</v>
      </c>
      <c r="C203" s="42" t="str">
        <f aca="false">Sales_Budget!C192</f>
        <v>Personal Care</v>
      </c>
      <c r="D203" s="43" t="n">
        <f aca="false">Sales_Budget!E192</f>
        <v>1382400</v>
      </c>
      <c r="E203" s="43" t="n">
        <f aca="false">Sales_Budget!F192</f>
        <v>857088</v>
      </c>
      <c r="F203" s="43" t="n">
        <f aca="false">Sales_Budget!G192</f>
        <v>525312</v>
      </c>
      <c r="G203" s="42" t="n">
        <f aca="false">VALUE(LEFT(A203,4))</f>
        <v>2026</v>
      </c>
      <c r="H203" s="42" t="n">
        <f aca="false">IF(COUNTIFS(Calc_Actuals!$F$2:$F$865,B203,Calc_Actuals!$H$2:$H$865,C203,Calc_Actuals!$C$2:$C$865,"Actual")&gt;0,1,0)</f>
        <v>0</v>
      </c>
      <c r="I203" s="42" t="str">
        <f aca="false">IFERROR(INDEX(Calendar!$E$2:$E$25,MATCH(A203,Calendar!$A$2:$A$25,0)),"UNMATCHED")</f>
        <v>Actual</v>
      </c>
      <c r="J203" s="43" t="n">
        <f aca="false">D203*$B$7</f>
        <v>351249.623345862</v>
      </c>
      <c r="K203" s="43" t="n">
        <f aca="false">E203*$B$7</f>
        <v>217774.766474434</v>
      </c>
      <c r="L203" s="43" t="n">
        <f aca="false">F203*$B$7</f>
        <v>133474.856871428</v>
      </c>
      <c r="M203" s="43" t="n">
        <f aca="false">IF(I203="Actual",SUMIFS(Calc_Actuals!$N$2:$N$865,Calc_Actuals!$J$2:$J$865,G203,Calc_Actuals!$K$2:$K$865,O203,Calc_Actuals!$F$2:$F$865,B203,Calc_Actuals!$H$2:$H$865,C203,Calc_Actuals!$C$2:$C$865,"Actual"),0)</f>
        <v>0</v>
      </c>
      <c r="N203" s="43" t="n">
        <f aca="false">IF(I203="Actual",SUMIFS(Calc_Actuals!$P$2:$P$865,Calc_Actuals!$J$2:$J$865,G203,Calc_Actuals!$K$2:$K$865,O203,Calc_Actuals!$F$2:$F$865,B203,Calc_Actuals!$H$2:$H$865,C203,Calc_Actuals!$C$2:$C$865,"Actual"),0)</f>
        <v>0</v>
      </c>
      <c r="O203" s="42" t="n">
        <f aca="false">VALUE(RIGHT(A203,2))</f>
        <v>4</v>
      </c>
      <c r="P203" s="42" t="str">
        <f aca="false">A203&amp;"|"&amp;B203&amp;"|"&amp;C203</f>
        <v>2026-04|East|Personal Care</v>
      </c>
    </row>
    <row r="204" customFormat="false" ht="15" hidden="false" customHeight="false" outlineLevel="0" collapsed="false">
      <c r="A204" s="42" t="str">
        <f aca="false">Sales_Budget!A193</f>
        <v>2026-04</v>
      </c>
      <c r="B204" s="42" t="str">
        <f aca="false">Sales_Budget!B193</f>
        <v>East</v>
      </c>
      <c r="C204" s="42" t="str">
        <f aca="false">Sales_Budget!C193</f>
        <v>Foods</v>
      </c>
      <c r="D204" s="43" t="n">
        <f aca="false">Sales_Budget!E193</f>
        <v>1463400</v>
      </c>
      <c r="E204" s="43" t="n">
        <f aca="false">Sales_Budget!F193</f>
        <v>907308</v>
      </c>
      <c r="F204" s="43" t="n">
        <f aca="false">Sales_Budget!G193</f>
        <v>556092</v>
      </c>
      <c r="G204" s="42" t="n">
        <f aca="false">VALUE(LEFT(A204,4))</f>
        <v>2026</v>
      </c>
      <c r="H204" s="42" t="n">
        <f aca="false">IF(COUNTIFS(Calc_Actuals!$F$2:$F$865,B204,Calc_Actuals!$H$2:$H$865,C204,Calc_Actuals!$C$2:$C$865,"Actual")&gt;0,1,0)</f>
        <v>1</v>
      </c>
      <c r="I204" s="42" t="str">
        <f aca="false">IFERROR(INDEX(Calendar!$E$2:$E$25,MATCH(A204,Calendar!$A$2:$A$25,0)),"UNMATCHED")</f>
        <v>Actual</v>
      </c>
      <c r="J204" s="43" t="n">
        <f aca="false">D204*$B$7</f>
        <v>371830.655963783</v>
      </c>
      <c r="K204" s="43" t="n">
        <f aca="false">E204*$B$7</f>
        <v>230535.006697546</v>
      </c>
      <c r="L204" s="43" t="n">
        <f aca="false">F204*$B$7</f>
        <v>141295.649266238</v>
      </c>
      <c r="M204" s="43" t="n">
        <f aca="false">IF(I204="Actual",SUMIFS(Calc_Actuals!$N$2:$N$865,Calc_Actuals!$J$2:$J$865,G204,Calc_Actuals!$K$2:$K$865,O204,Calc_Actuals!$F$2:$F$865,B204,Calc_Actuals!$H$2:$H$865,C204,Calc_Actuals!$C$2:$C$865,"Actual"),0)</f>
        <v>335351.82</v>
      </c>
      <c r="N204" s="43" t="n">
        <f aca="false">IF(I204="Actual",SUMIFS(Calc_Actuals!$P$2:$P$865,Calc_Actuals!$J$2:$J$865,G204,Calc_Actuals!$K$2:$K$865,O204,Calc_Actuals!$F$2:$F$865,B204,Calc_Actuals!$H$2:$H$865,C204,Calc_Actuals!$C$2:$C$865,"Actual"),0)</f>
        <v>127409</v>
      </c>
      <c r="O204" s="42" t="n">
        <f aca="false">VALUE(RIGHT(A204,2))</f>
        <v>4</v>
      </c>
      <c r="P204" s="42" t="str">
        <f aca="false">A204&amp;"|"&amp;B204&amp;"|"&amp;C204</f>
        <v>2026-04|East|Foods</v>
      </c>
    </row>
    <row r="205" customFormat="false" ht="15" hidden="false" customHeight="false" outlineLevel="0" collapsed="false">
      <c r="A205" s="42" t="str">
        <f aca="false">Sales_Budget!A194</f>
        <v>2026-05</v>
      </c>
      <c r="B205" s="42" t="str">
        <f aca="false">Sales_Budget!B194</f>
        <v>South</v>
      </c>
      <c r="C205" s="42" t="str">
        <f aca="false">Sales_Budget!C194</f>
        <v>Home Care</v>
      </c>
      <c r="D205" s="43" t="n">
        <f aca="false">Sales_Budget!E194</f>
        <v>1026000</v>
      </c>
      <c r="E205" s="43" t="n">
        <f aca="false">Sales_Budget!F194</f>
        <v>636120</v>
      </c>
      <c r="F205" s="43" t="n">
        <f aca="false">Sales_Budget!G194</f>
        <v>389880</v>
      </c>
      <c r="G205" s="42" t="n">
        <f aca="false">VALUE(LEFT(A205,4))</f>
        <v>2026</v>
      </c>
      <c r="H205" s="42" t="n">
        <f aca="false">IF(COUNTIFS(Calc_Actuals!$F$2:$F$865,B205,Calc_Actuals!$H$2:$H$865,C205,Calc_Actuals!$C$2:$C$865,"Actual")&gt;0,1,0)</f>
        <v>1</v>
      </c>
      <c r="I205" s="42" t="str">
        <f aca="false">IFERROR(INDEX(Calendar!$E$2:$E$25,MATCH(A205,Calendar!$A$2:$A$25,0)),"UNMATCHED")</f>
        <v>Actual</v>
      </c>
      <c r="J205" s="43" t="n">
        <f aca="false">D205*$B$7</f>
        <v>260693.079827007</v>
      </c>
      <c r="K205" s="43" t="n">
        <f aca="false">E205*$B$7</f>
        <v>161629.709492744</v>
      </c>
      <c r="L205" s="43" t="n">
        <f aca="false">F205*$B$7</f>
        <v>99063.3703342626</v>
      </c>
      <c r="M205" s="43" t="n">
        <f aca="false">IF(I205="Actual",SUMIFS(Calc_Actuals!$N$2:$N$865,Calc_Actuals!$J$2:$J$865,G205,Calc_Actuals!$K$2:$K$865,O205,Calc_Actuals!$F$2:$F$865,B205,Calc_Actuals!$H$2:$H$865,C205,Calc_Actuals!$C$2:$C$865,"Actual"),0)</f>
        <v>290529.14</v>
      </c>
      <c r="N205" s="43" t="n">
        <f aca="false">IF(I205="Actual",SUMIFS(Calc_Actuals!$P$2:$P$865,Calc_Actuals!$J$2:$J$865,G205,Calc_Actuals!$K$2:$K$865,O205,Calc_Actuals!$F$2:$F$865,B205,Calc_Actuals!$H$2:$H$865,C205,Calc_Actuals!$C$2:$C$865,"Actual"),0)</f>
        <v>91030.72</v>
      </c>
      <c r="O205" s="42" t="n">
        <f aca="false">VALUE(RIGHT(A205,2))</f>
        <v>5</v>
      </c>
      <c r="P205" s="42" t="str">
        <f aca="false">A205&amp;"|"&amp;B205&amp;"|"&amp;C205</f>
        <v>2026-05|South|Home Care</v>
      </c>
    </row>
    <row r="206" customFormat="false" ht="15" hidden="false" customHeight="false" outlineLevel="0" collapsed="false">
      <c r="A206" s="42" t="str">
        <f aca="false">Sales_Budget!A195</f>
        <v>2026-05</v>
      </c>
      <c r="B206" s="42" t="str">
        <f aca="false">Sales_Budget!B195</f>
        <v>South</v>
      </c>
      <c r="C206" s="42" t="str">
        <f aca="false">Sales_Budget!C195</f>
        <v>Personal Care</v>
      </c>
      <c r="D206" s="43" t="n">
        <f aca="false">Sales_Budget!E195</f>
        <v>1107000</v>
      </c>
      <c r="E206" s="43" t="n">
        <f aca="false">Sales_Budget!F195</f>
        <v>686340</v>
      </c>
      <c r="F206" s="43" t="n">
        <f aca="false">Sales_Budget!G195</f>
        <v>420660</v>
      </c>
      <c r="G206" s="42" t="n">
        <f aca="false">VALUE(LEFT(A206,4))</f>
        <v>2026</v>
      </c>
      <c r="H206" s="42" t="n">
        <f aca="false">IF(COUNTIFS(Calc_Actuals!$F$2:$F$865,B206,Calc_Actuals!$H$2:$H$865,C206,Calc_Actuals!$C$2:$C$865,"Actual")&gt;0,1,0)</f>
        <v>0</v>
      </c>
      <c r="I206" s="42" t="str">
        <f aca="false">IFERROR(INDEX(Calendar!$E$2:$E$25,MATCH(A206,Calendar!$A$2:$A$25,0)),"UNMATCHED")</f>
        <v>Actual</v>
      </c>
      <c r="J206" s="43" t="n">
        <f aca="false">D206*$B$7</f>
        <v>281274.112444928</v>
      </c>
      <c r="K206" s="43" t="n">
        <f aca="false">E206*$B$7</f>
        <v>174389.949715856</v>
      </c>
      <c r="L206" s="43" t="n">
        <f aca="false">F206*$B$7</f>
        <v>106884.162729073</v>
      </c>
      <c r="M206" s="43" t="n">
        <f aca="false">IF(I206="Actual",SUMIFS(Calc_Actuals!$N$2:$N$865,Calc_Actuals!$J$2:$J$865,G206,Calc_Actuals!$K$2:$K$865,O206,Calc_Actuals!$F$2:$F$865,B206,Calc_Actuals!$H$2:$H$865,C206,Calc_Actuals!$C$2:$C$865,"Actual"),0)</f>
        <v>0</v>
      </c>
      <c r="N206" s="43" t="n">
        <f aca="false">IF(I206="Actual",SUMIFS(Calc_Actuals!$P$2:$P$865,Calc_Actuals!$J$2:$J$865,G206,Calc_Actuals!$K$2:$K$865,O206,Calc_Actuals!$F$2:$F$865,B206,Calc_Actuals!$H$2:$H$865,C206,Calc_Actuals!$C$2:$C$865,"Actual"),0)</f>
        <v>0</v>
      </c>
      <c r="O206" s="42" t="n">
        <f aca="false">VALUE(RIGHT(A206,2))</f>
        <v>5</v>
      </c>
      <c r="P206" s="42" t="str">
        <f aca="false">A206&amp;"|"&amp;B206&amp;"|"&amp;C206</f>
        <v>2026-05|South|Personal Care</v>
      </c>
    </row>
    <row r="207" customFormat="false" ht="15" hidden="false" customHeight="false" outlineLevel="0" collapsed="false">
      <c r="A207" s="42" t="str">
        <f aca="false">Sales_Budget!A196</f>
        <v>2026-05</v>
      </c>
      <c r="B207" s="42" t="str">
        <f aca="false">Sales_Budget!B196</f>
        <v>South</v>
      </c>
      <c r="C207" s="42" t="str">
        <f aca="false">Sales_Budget!C196</f>
        <v>Foods</v>
      </c>
      <c r="D207" s="43" t="n">
        <f aca="false">Sales_Budget!E196</f>
        <v>1188000</v>
      </c>
      <c r="E207" s="43" t="n">
        <f aca="false">Sales_Budget!F196</f>
        <v>736560</v>
      </c>
      <c r="F207" s="43" t="n">
        <f aca="false">Sales_Budget!G196</f>
        <v>451440</v>
      </c>
      <c r="G207" s="42" t="n">
        <f aca="false">VALUE(LEFT(A207,4))</f>
        <v>2026</v>
      </c>
      <c r="H207" s="42" t="n">
        <f aca="false">IF(COUNTIFS(Calc_Actuals!$F$2:$F$865,B207,Calc_Actuals!$H$2:$H$865,C207,Calc_Actuals!$C$2:$C$865,"Actual")&gt;0,1,0)</f>
        <v>1</v>
      </c>
      <c r="I207" s="42" t="str">
        <f aca="false">IFERROR(INDEX(Calendar!$E$2:$E$25,MATCH(A207,Calendar!$A$2:$A$25,0)),"UNMATCHED")</f>
        <v>Actual</v>
      </c>
      <c r="J207" s="43" t="n">
        <f aca="false">D207*$B$7</f>
        <v>301855.14506285</v>
      </c>
      <c r="K207" s="43" t="n">
        <f aca="false">E207*$B$7</f>
        <v>187150.189938967</v>
      </c>
      <c r="L207" s="43" t="n">
        <f aca="false">F207*$B$7</f>
        <v>114704.955123883</v>
      </c>
      <c r="M207" s="43" t="n">
        <f aca="false">IF(I207="Actual",SUMIFS(Calc_Actuals!$N$2:$N$865,Calc_Actuals!$J$2:$J$865,G207,Calc_Actuals!$K$2:$K$865,O207,Calc_Actuals!$F$2:$F$865,B207,Calc_Actuals!$H$2:$H$865,C207,Calc_Actuals!$C$2:$C$865,"Actual"),0)</f>
        <v>129094.37</v>
      </c>
      <c r="N207" s="43" t="n">
        <f aca="false">IF(I207="Actual",SUMIFS(Calc_Actuals!$P$2:$P$865,Calc_Actuals!$J$2:$J$865,G207,Calc_Actuals!$K$2:$K$865,O207,Calc_Actuals!$F$2:$F$865,B207,Calc_Actuals!$H$2:$H$865,C207,Calc_Actuals!$C$2:$C$865,"Actual"),0)</f>
        <v>42835.57</v>
      </c>
      <c r="O207" s="42" t="n">
        <f aca="false">VALUE(RIGHT(A207,2))</f>
        <v>5</v>
      </c>
      <c r="P207" s="42" t="str">
        <f aca="false">A207&amp;"|"&amp;B207&amp;"|"&amp;C207</f>
        <v>2026-05|South|Foods</v>
      </c>
    </row>
    <row r="208" customFormat="false" ht="15" hidden="false" customHeight="false" outlineLevel="0" collapsed="false">
      <c r="A208" s="42" t="str">
        <f aca="false">Sales_Budget!A197</f>
        <v>2026-05</v>
      </c>
      <c r="B208" s="42" t="str">
        <f aca="false">Sales_Budget!B197</f>
        <v>North</v>
      </c>
      <c r="C208" s="42" t="str">
        <f aca="false">Sales_Budget!C197</f>
        <v>Home Care</v>
      </c>
      <c r="D208" s="43" t="n">
        <f aca="false">Sales_Budget!E197</f>
        <v>1117800</v>
      </c>
      <c r="E208" s="43" t="n">
        <f aca="false">Sales_Budget!F197</f>
        <v>693036</v>
      </c>
      <c r="F208" s="43" t="n">
        <f aca="false">Sales_Budget!G197</f>
        <v>424764</v>
      </c>
      <c r="G208" s="42" t="n">
        <f aca="false">VALUE(LEFT(A208,4))</f>
        <v>2026</v>
      </c>
      <c r="H208" s="42" t="n">
        <f aca="false">IF(COUNTIFS(Calc_Actuals!$F$2:$F$865,B208,Calc_Actuals!$H$2:$H$865,C208,Calc_Actuals!$C$2:$C$865,"Actual")&gt;0,1,0)</f>
        <v>0</v>
      </c>
      <c r="I208" s="42" t="str">
        <f aca="false">IFERROR(INDEX(Calendar!$E$2:$E$25,MATCH(A208,Calendar!$A$2:$A$25,0)),"UNMATCHED")</f>
        <v>Actual</v>
      </c>
      <c r="J208" s="43" t="n">
        <f aca="false">D208*$B$7</f>
        <v>284018.250127318</v>
      </c>
      <c r="K208" s="43" t="n">
        <f aca="false">E208*$B$7</f>
        <v>176091.315078937</v>
      </c>
      <c r="L208" s="43" t="n">
        <f aca="false">F208*$B$7</f>
        <v>107926.935048381</v>
      </c>
      <c r="M208" s="43" t="n">
        <f aca="false">IF(I208="Actual",SUMIFS(Calc_Actuals!$N$2:$N$865,Calc_Actuals!$J$2:$J$865,G208,Calc_Actuals!$K$2:$K$865,O208,Calc_Actuals!$F$2:$F$865,B208,Calc_Actuals!$H$2:$H$865,C208,Calc_Actuals!$C$2:$C$865,"Actual"),0)</f>
        <v>0</v>
      </c>
      <c r="N208" s="43" t="n">
        <f aca="false">IF(I208="Actual",SUMIFS(Calc_Actuals!$P$2:$P$865,Calc_Actuals!$J$2:$J$865,G208,Calc_Actuals!$K$2:$K$865,O208,Calc_Actuals!$F$2:$F$865,B208,Calc_Actuals!$H$2:$H$865,C208,Calc_Actuals!$C$2:$C$865,"Actual"),0)</f>
        <v>0</v>
      </c>
      <c r="O208" s="42" t="n">
        <f aca="false">VALUE(RIGHT(A208,2))</f>
        <v>5</v>
      </c>
      <c r="P208" s="42" t="str">
        <f aca="false">A208&amp;"|"&amp;B208&amp;"|"&amp;C208</f>
        <v>2026-05|North|Home Care</v>
      </c>
    </row>
    <row r="209" customFormat="false" ht="15" hidden="false" customHeight="false" outlineLevel="0" collapsed="false">
      <c r="A209" s="42" t="str">
        <f aca="false">Sales_Budget!A198</f>
        <v>2026-05</v>
      </c>
      <c r="B209" s="42" t="str">
        <f aca="false">Sales_Budget!B198</f>
        <v>North</v>
      </c>
      <c r="C209" s="42" t="str">
        <f aca="false">Sales_Budget!C198</f>
        <v>Personal Care</v>
      </c>
      <c r="D209" s="43" t="n">
        <f aca="false">Sales_Budget!E198</f>
        <v>1198800</v>
      </c>
      <c r="E209" s="43" t="n">
        <f aca="false">Sales_Budget!F198</f>
        <v>743256</v>
      </c>
      <c r="F209" s="43" t="n">
        <f aca="false">Sales_Budget!G198</f>
        <v>455544</v>
      </c>
      <c r="G209" s="42" t="n">
        <f aca="false">VALUE(LEFT(A209,4))</f>
        <v>2026</v>
      </c>
      <c r="H209" s="42" t="n">
        <f aca="false">IF(COUNTIFS(Calc_Actuals!$F$2:$F$865,B209,Calc_Actuals!$H$2:$H$865,C209,Calc_Actuals!$C$2:$C$865,"Actual")&gt;0,1,0)</f>
        <v>1</v>
      </c>
      <c r="I209" s="42" t="str">
        <f aca="false">IFERROR(INDEX(Calendar!$E$2:$E$25,MATCH(A209,Calendar!$A$2:$A$25,0)),"UNMATCHED")</f>
        <v>Actual</v>
      </c>
      <c r="J209" s="43" t="n">
        <f aca="false">D209*$B$7</f>
        <v>304599.28274524</v>
      </c>
      <c r="K209" s="43" t="n">
        <f aca="false">E209*$B$7</f>
        <v>188851.555302049</v>
      </c>
      <c r="L209" s="43" t="n">
        <f aca="false">F209*$B$7</f>
        <v>115747.727443191</v>
      </c>
      <c r="M209" s="43" t="n">
        <f aca="false">IF(I209="Actual",SUMIFS(Calc_Actuals!$N$2:$N$865,Calc_Actuals!$J$2:$J$865,G209,Calc_Actuals!$K$2:$K$865,O209,Calc_Actuals!$F$2:$F$865,B209,Calc_Actuals!$H$2:$H$865,C209,Calc_Actuals!$C$2:$C$865,"Actual"),0)</f>
        <v>631891.58</v>
      </c>
      <c r="N209" s="43" t="n">
        <f aca="false">IF(I209="Actual",SUMIFS(Calc_Actuals!$P$2:$P$865,Calc_Actuals!$J$2:$J$865,G209,Calc_Actuals!$K$2:$K$865,O209,Calc_Actuals!$F$2:$F$865,B209,Calc_Actuals!$H$2:$H$865,C209,Calc_Actuals!$C$2:$C$865,"Actual"),0)</f>
        <v>236636.67</v>
      </c>
      <c r="O209" s="42" t="n">
        <f aca="false">VALUE(RIGHT(A209,2))</f>
        <v>5</v>
      </c>
      <c r="P209" s="42" t="str">
        <f aca="false">A209&amp;"|"&amp;B209&amp;"|"&amp;C209</f>
        <v>2026-05|North|Personal Care</v>
      </c>
    </row>
    <row r="210" customFormat="false" ht="15" hidden="false" customHeight="false" outlineLevel="0" collapsed="false">
      <c r="A210" s="42" t="str">
        <f aca="false">Sales_Budget!A199</f>
        <v>2026-05</v>
      </c>
      <c r="B210" s="42" t="str">
        <f aca="false">Sales_Budget!B199</f>
        <v>North</v>
      </c>
      <c r="C210" s="42" t="str">
        <f aca="false">Sales_Budget!C199</f>
        <v>Foods</v>
      </c>
      <c r="D210" s="43" t="n">
        <f aca="false">Sales_Budget!E199</f>
        <v>1279800</v>
      </c>
      <c r="E210" s="43" t="n">
        <f aca="false">Sales_Budget!F199</f>
        <v>793476</v>
      </c>
      <c r="F210" s="43" t="n">
        <f aca="false">Sales_Budget!G199</f>
        <v>486324</v>
      </c>
      <c r="G210" s="42" t="n">
        <f aca="false">VALUE(LEFT(A210,4))</f>
        <v>2026</v>
      </c>
      <c r="H210" s="42" t="n">
        <f aca="false">IF(COUNTIFS(Calc_Actuals!$F$2:$F$865,B210,Calc_Actuals!$H$2:$H$865,C210,Calc_Actuals!$C$2:$C$865,"Actual")&gt;0,1,0)</f>
        <v>0</v>
      </c>
      <c r="I210" s="42" t="str">
        <f aca="false">IFERROR(INDEX(Calendar!$E$2:$E$25,MATCH(A210,Calendar!$A$2:$A$25,0)),"UNMATCHED")</f>
        <v>Actual</v>
      </c>
      <c r="J210" s="43" t="n">
        <f aca="false">D210*$B$7</f>
        <v>325180.315363161</v>
      </c>
      <c r="K210" s="43" t="n">
        <f aca="false">E210*$B$7</f>
        <v>201611.79552516</v>
      </c>
      <c r="L210" s="43" t="n">
        <f aca="false">F210*$B$7</f>
        <v>123568.519838001</v>
      </c>
      <c r="M210" s="43" t="n">
        <f aca="false">IF(I210="Actual",SUMIFS(Calc_Actuals!$N$2:$N$865,Calc_Actuals!$J$2:$J$865,G210,Calc_Actuals!$K$2:$K$865,O210,Calc_Actuals!$F$2:$F$865,B210,Calc_Actuals!$H$2:$H$865,C210,Calc_Actuals!$C$2:$C$865,"Actual"),0)</f>
        <v>0</v>
      </c>
      <c r="N210" s="43" t="n">
        <f aca="false">IF(I210="Actual",SUMIFS(Calc_Actuals!$P$2:$P$865,Calc_Actuals!$J$2:$J$865,G210,Calc_Actuals!$K$2:$K$865,O210,Calc_Actuals!$F$2:$F$865,B210,Calc_Actuals!$H$2:$H$865,C210,Calc_Actuals!$C$2:$C$865,"Actual"),0)</f>
        <v>0</v>
      </c>
      <c r="O210" s="42" t="n">
        <f aca="false">VALUE(RIGHT(A210,2))</f>
        <v>5</v>
      </c>
      <c r="P210" s="42" t="str">
        <f aca="false">A210&amp;"|"&amp;B210&amp;"|"&amp;C210</f>
        <v>2026-05|North|Foods</v>
      </c>
    </row>
    <row r="211" customFormat="false" ht="15" hidden="false" customHeight="false" outlineLevel="0" collapsed="false">
      <c r="A211" s="42" t="str">
        <f aca="false">Sales_Budget!A200</f>
        <v>2026-05</v>
      </c>
      <c r="B211" s="42" t="str">
        <f aca="false">Sales_Budget!B200</f>
        <v>West</v>
      </c>
      <c r="C211" s="42" t="str">
        <f aca="false">Sales_Budget!C200</f>
        <v>Home Care</v>
      </c>
      <c r="D211" s="43" t="n">
        <f aca="false">Sales_Budget!E200</f>
        <v>1209600</v>
      </c>
      <c r="E211" s="43" t="n">
        <f aca="false">Sales_Budget!F200</f>
        <v>749952</v>
      </c>
      <c r="F211" s="43" t="n">
        <f aca="false">Sales_Budget!G200</f>
        <v>459648</v>
      </c>
      <c r="G211" s="42" t="n">
        <f aca="false">VALUE(LEFT(A211,4))</f>
        <v>2026</v>
      </c>
      <c r="H211" s="42" t="n">
        <f aca="false">IF(COUNTIFS(Calc_Actuals!$F$2:$F$865,B211,Calc_Actuals!$H$2:$H$865,C211,Calc_Actuals!$C$2:$C$865,"Actual")&gt;0,1,0)</f>
        <v>1</v>
      </c>
      <c r="I211" s="42" t="str">
        <f aca="false">IFERROR(INDEX(Calendar!$E$2:$E$25,MATCH(A211,Calendar!$A$2:$A$25,0)),"UNMATCHED")</f>
        <v>Actual</v>
      </c>
      <c r="J211" s="43" t="n">
        <f aca="false">D211*$B$7</f>
        <v>307343.420427629</v>
      </c>
      <c r="K211" s="43" t="n">
        <f aca="false">E211*$B$7</f>
        <v>190552.92066513</v>
      </c>
      <c r="L211" s="43" t="n">
        <f aca="false">F211*$B$7</f>
        <v>116790.499762499</v>
      </c>
      <c r="M211" s="43" t="n">
        <f aca="false">IF(I211="Actual",SUMIFS(Calc_Actuals!$N$2:$N$865,Calc_Actuals!$J$2:$J$865,G211,Calc_Actuals!$K$2:$K$865,O211,Calc_Actuals!$F$2:$F$865,B211,Calc_Actuals!$H$2:$H$865,C211,Calc_Actuals!$C$2:$C$865,"Actual"),0)</f>
        <v>243940.15</v>
      </c>
      <c r="N211" s="43" t="n">
        <f aca="false">IF(I211="Actual",SUMIFS(Calc_Actuals!$P$2:$P$865,Calc_Actuals!$J$2:$J$865,G211,Calc_Actuals!$K$2:$K$865,O211,Calc_Actuals!$F$2:$F$865,B211,Calc_Actuals!$H$2:$H$865,C211,Calc_Actuals!$C$2:$C$865,"Actual"),0)</f>
        <v>83217.3</v>
      </c>
      <c r="O211" s="42" t="n">
        <f aca="false">VALUE(RIGHT(A211,2))</f>
        <v>5</v>
      </c>
      <c r="P211" s="42" t="str">
        <f aca="false">A211&amp;"|"&amp;B211&amp;"|"&amp;C211</f>
        <v>2026-05|West|Home Care</v>
      </c>
    </row>
    <row r="212" customFormat="false" ht="15" hidden="false" customHeight="false" outlineLevel="0" collapsed="false">
      <c r="A212" s="42" t="str">
        <f aca="false">Sales_Budget!A201</f>
        <v>2026-05</v>
      </c>
      <c r="B212" s="42" t="str">
        <f aca="false">Sales_Budget!B201</f>
        <v>West</v>
      </c>
      <c r="C212" s="42" t="str">
        <f aca="false">Sales_Budget!C201</f>
        <v>Personal Care</v>
      </c>
      <c r="D212" s="43" t="n">
        <f aca="false">Sales_Budget!E201</f>
        <v>1290600</v>
      </c>
      <c r="E212" s="43" t="n">
        <f aca="false">Sales_Budget!F201</f>
        <v>800172</v>
      </c>
      <c r="F212" s="43" t="n">
        <f aca="false">Sales_Budget!G201</f>
        <v>490428</v>
      </c>
      <c r="G212" s="42" t="n">
        <f aca="false">VALUE(LEFT(A212,4))</f>
        <v>2026</v>
      </c>
      <c r="H212" s="42" t="n">
        <f aca="false">IF(COUNTIFS(Calc_Actuals!$F$2:$F$865,B212,Calc_Actuals!$H$2:$H$865,C212,Calc_Actuals!$C$2:$C$865,"Actual")&gt;0,1,0)</f>
        <v>1</v>
      </c>
      <c r="I212" s="42" t="str">
        <f aca="false">IFERROR(INDEX(Calendar!$E$2:$E$25,MATCH(A212,Calendar!$A$2:$A$25,0)),"UNMATCHED")</f>
        <v>Actual</v>
      </c>
      <c r="J212" s="43" t="n">
        <f aca="false">D212*$B$7</f>
        <v>327924.453045551</v>
      </c>
      <c r="K212" s="43" t="n">
        <f aca="false">E212*$B$7</f>
        <v>203313.160888241</v>
      </c>
      <c r="L212" s="43" t="n">
        <f aca="false">F212*$B$7</f>
        <v>124611.292157309</v>
      </c>
      <c r="M212" s="43" t="n">
        <f aca="false">IF(I212="Actual",SUMIFS(Calc_Actuals!$N$2:$N$865,Calc_Actuals!$J$2:$J$865,G212,Calc_Actuals!$K$2:$K$865,O212,Calc_Actuals!$F$2:$F$865,B212,Calc_Actuals!$H$2:$H$865,C212,Calc_Actuals!$C$2:$C$865,"Actual"),0)</f>
        <v>434135.45</v>
      </c>
      <c r="N212" s="43" t="n">
        <f aca="false">IF(I212="Actual",SUMIFS(Calc_Actuals!$P$2:$P$865,Calc_Actuals!$J$2:$J$865,G212,Calc_Actuals!$K$2:$K$865,O212,Calc_Actuals!$F$2:$F$865,B212,Calc_Actuals!$H$2:$H$865,C212,Calc_Actuals!$C$2:$C$865,"Actual"),0)</f>
        <v>153865.93</v>
      </c>
      <c r="O212" s="42" t="n">
        <f aca="false">VALUE(RIGHT(A212,2))</f>
        <v>5</v>
      </c>
      <c r="P212" s="42" t="str">
        <f aca="false">A212&amp;"|"&amp;B212&amp;"|"&amp;C212</f>
        <v>2026-05|West|Personal Care</v>
      </c>
    </row>
    <row r="213" customFormat="false" ht="15" hidden="false" customHeight="false" outlineLevel="0" collapsed="false">
      <c r="A213" s="42" t="str">
        <f aca="false">Sales_Budget!A202</f>
        <v>2026-05</v>
      </c>
      <c r="B213" s="42" t="str">
        <f aca="false">Sales_Budget!B202</f>
        <v>West</v>
      </c>
      <c r="C213" s="42" t="str">
        <f aca="false">Sales_Budget!C202</f>
        <v>Foods</v>
      </c>
      <c r="D213" s="43" t="n">
        <f aca="false">Sales_Budget!E202</f>
        <v>1371600</v>
      </c>
      <c r="E213" s="43" t="n">
        <f aca="false">Sales_Budget!F202</f>
        <v>850392</v>
      </c>
      <c r="F213" s="43" t="n">
        <f aca="false">Sales_Budget!G202</f>
        <v>521208</v>
      </c>
      <c r="G213" s="42" t="n">
        <f aca="false">VALUE(LEFT(A213,4))</f>
        <v>2026</v>
      </c>
      <c r="H213" s="42" t="n">
        <f aca="false">IF(COUNTIFS(Calc_Actuals!$F$2:$F$865,B213,Calc_Actuals!$H$2:$H$865,C213,Calc_Actuals!$C$2:$C$865,"Actual")&gt;0,1,0)</f>
        <v>0</v>
      </c>
      <c r="I213" s="42" t="str">
        <f aca="false">IFERROR(INDEX(Calendar!$E$2:$E$25,MATCH(A213,Calendar!$A$2:$A$25,0)),"UNMATCHED")</f>
        <v>Actual</v>
      </c>
      <c r="J213" s="43" t="n">
        <f aca="false">D213*$B$7</f>
        <v>348505.485663472</v>
      </c>
      <c r="K213" s="43" t="n">
        <f aca="false">E213*$B$7</f>
        <v>216073.401111353</v>
      </c>
      <c r="L213" s="43" t="n">
        <f aca="false">F213*$B$7</f>
        <v>132432.08455212</v>
      </c>
      <c r="M213" s="43" t="n">
        <f aca="false">IF(I213="Actual",SUMIFS(Calc_Actuals!$N$2:$N$865,Calc_Actuals!$J$2:$J$865,G213,Calc_Actuals!$K$2:$K$865,O213,Calc_Actuals!$F$2:$F$865,B213,Calc_Actuals!$H$2:$H$865,C213,Calc_Actuals!$C$2:$C$865,"Actual"),0)</f>
        <v>0</v>
      </c>
      <c r="N213" s="43" t="n">
        <f aca="false">IF(I213="Actual",SUMIFS(Calc_Actuals!$P$2:$P$865,Calc_Actuals!$J$2:$J$865,G213,Calc_Actuals!$K$2:$K$865,O213,Calc_Actuals!$F$2:$F$865,B213,Calc_Actuals!$H$2:$H$865,C213,Calc_Actuals!$C$2:$C$865,"Actual"),0)</f>
        <v>0</v>
      </c>
      <c r="O213" s="42" t="n">
        <f aca="false">VALUE(RIGHT(A213,2))</f>
        <v>5</v>
      </c>
      <c r="P213" s="42" t="str">
        <f aca="false">A213&amp;"|"&amp;B213&amp;"|"&amp;C213</f>
        <v>2026-05|West|Foods</v>
      </c>
    </row>
    <row r="214" customFormat="false" ht="15" hidden="false" customHeight="false" outlineLevel="0" collapsed="false">
      <c r="A214" s="42" t="str">
        <f aca="false">Sales_Budget!A203</f>
        <v>2026-05</v>
      </c>
      <c r="B214" s="42" t="str">
        <f aca="false">Sales_Budget!B203</f>
        <v>East</v>
      </c>
      <c r="C214" s="42" t="str">
        <f aca="false">Sales_Budget!C203</f>
        <v>Home Care</v>
      </c>
      <c r="D214" s="43" t="n">
        <f aca="false">Sales_Budget!E203</f>
        <v>1301400</v>
      </c>
      <c r="E214" s="43" t="n">
        <f aca="false">Sales_Budget!F203</f>
        <v>806868</v>
      </c>
      <c r="F214" s="43" t="n">
        <f aca="false">Sales_Budget!G203</f>
        <v>494532</v>
      </c>
      <c r="G214" s="42" t="n">
        <f aca="false">VALUE(LEFT(A214,4))</f>
        <v>2026</v>
      </c>
      <c r="H214" s="42" t="n">
        <f aca="false">IF(COUNTIFS(Calc_Actuals!$F$2:$F$865,B214,Calc_Actuals!$H$2:$H$865,C214,Calc_Actuals!$C$2:$C$865,"Actual")&gt;0,1,0)</f>
        <v>1</v>
      </c>
      <c r="I214" s="42" t="str">
        <f aca="false">IFERROR(INDEX(Calendar!$E$2:$E$25,MATCH(A214,Calendar!$A$2:$A$25,0)),"UNMATCHED")</f>
        <v>Actual</v>
      </c>
      <c r="J214" s="43" t="n">
        <f aca="false">D214*$B$7</f>
        <v>330668.59072794</v>
      </c>
      <c r="K214" s="43" t="n">
        <f aca="false">E214*$B$7</f>
        <v>205014.526251323</v>
      </c>
      <c r="L214" s="43" t="n">
        <f aca="false">F214*$B$7</f>
        <v>125654.064476617</v>
      </c>
      <c r="M214" s="43" t="n">
        <f aca="false">IF(I214="Actual",SUMIFS(Calc_Actuals!$N$2:$N$865,Calc_Actuals!$J$2:$J$865,G214,Calc_Actuals!$K$2:$K$865,O214,Calc_Actuals!$F$2:$F$865,B214,Calc_Actuals!$H$2:$H$865,C214,Calc_Actuals!$C$2:$C$865,"Actual"),0)</f>
        <v>120005.57</v>
      </c>
      <c r="N214" s="43" t="n">
        <f aca="false">IF(I214="Actual",SUMIFS(Calc_Actuals!$P$2:$P$865,Calc_Actuals!$J$2:$J$865,G214,Calc_Actuals!$K$2:$K$865,O214,Calc_Actuals!$F$2:$F$865,B214,Calc_Actuals!$H$2:$H$865,C214,Calc_Actuals!$C$2:$C$865,"Actual"),0)</f>
        <v>46990.9</v>
      </c>
      <c r="O214" s="42" t="n">
        <f aca="false">VALUE(RIGHT(A214,2))</f>
        <v>5</v>
      </c>
      <c r="P214" s="42" t="str">
        <f aca="false">A214&amp;"|"&amp;B214&amp;"|"&amp;C214</f>
        <v>2026-05|East|Home Care</v>
      </c>
    </row>
    <row r="215" customFormat="false" ht="15" hidden="false" customHeight="false" outlineLevel="0" collapsed="false">
      <c r="A215" s="42" t="str">
        <f aca="false">Sales_Budget!A204</f>
        <v>2026-05</v>
      </c>
      <c r="B215" s="42" t="str">
        <f aca="false">Sales_Budget!B204</f>
        <v>East</v>
      </c>
      <c r="C215" s="42" t="str">
        <f aca="false">Sales_Budget!C204</f>
        <v>Personal Care</v>
      </c>
      <c r="D215" s="43" t="n">
        <f aca="false">Sales_Budget!E204</f>
        <v>1382400</v>
      </c>
      <c r="E215" s="43" t="n">
        <f aca="false">Sales_Budget!F204</f>
        <v>857088</v>
      </c>
      <c r="F215" s="43" t="n">
        <f aca="false">Sales_Budget!G204</f>
        <v>525312</v>
      </c>
      <c r="G215" s="42" t="n">
        <f aca="false">VALUE(LEFT(A215,4))</f>
        <v>2026</v>
      </c>
      <c r="H215" s="42" t="n">
        <f aca="false">IF(COUNTIFS(Calc_Actuals!$F$2:$F$865,B215,Calc_Actuals!$H$2:$H$865,C215,Calc_Actuals!$C$2:$C$865,"Actual")&gt;0,1,0)</f>
        <v>0</v>
      </c>
      <c r="I215" s="42" t="str">
        <f aca="false">IFERROR(INDEX(Calendar!$E$2:$E$25,MATCH(A215,Calendar!$A$2:$A$25,0)),"UNMATCHED")</f>
        <v>Actual</v>
      </c>
      <c r="J215" s="43" t="n">
        <f aca="false">D215*$B$7</f>
        <v>351249.623345862</v>
      </c>
      <c r="K215" s="43" t="n">
        <f aca="false">E215*$B$7</f>
        <v>217774.766474434</v>
      </c>
      <c r="L215" s="43" t="n">
        <f aca="false">F215*$B$7</f>
        <v>133474.856871428</v>
      </c>
      <c r="M215" s="43" t="n">
        <f aca="false">IF(I215="Actual",SUMIFS(Calc_Actuals!$N$2:$N$865,Calc_Actuals!$J$2:$J$865,G215,Calc_Actuals!$K$2:$K$865,O215,Calc_Actuals!$F$2:$F$865,B215,Calc_Actuals!$H$2:$H$865,C215,Calc_Actuals!$C$2:$C$865,"Actual"),0)</f>
        <v>0</v>
      </c>
      <c r="N215" s="43" t="n">
        <f aca="false">IF(I215="Actual",SUMIFS(Calc_Actuals!$P$2:$P$865,Calc_Actuals!$J$2:$J$865,G215,Calc_Actuals!$K$2:$K$865,O215,Calc_Actuals!$F$2:$F$865,B215,Calc_Actuals!$H$2:$H$865,C215,Calc_Actuals!$C$2:$C$865,"Actual"),0)</f>
        <v>0</v>
      </c>
      <c r="O215" s="42" t="n">
        <f aca="false">VALUE(RIGHT(A215,2))</f>
        <v>5</v>
      </c>
      <c r="P215" s="42" t="str">
        <f aca="false">A215&amp;"|"&amp;B215&amp;"|"&amp;C215</f>
        <v>2026-05|East|Personal Care</v>
      </c>
    </row>
    <row r="216" customFormat="false" ht="15" hidden="false" customHeight="false" outlineLevel="0" collapsed="false">
      <c r="A216" s="42" t="str">
        <f aca="false">Sales_Budget!A205</f>
        <v>2026-05</v>
      </c>
      <c r="B216" s="42" t="str">
        <f aca="false">Sales_Budget!B205</f>
        <v>East</v>
      </c>
      <c r="C216" s="42" t="str">
        <f aca="false">Sales_Budget!C205</f>
        <v>Foods</v>
      </c>
      <c r="D216" s="43" t="n">
        <f aca="false">Sales_Budget!E205</f>
        <v>1463400</v>
      </c>
      <c r="E216" s="43" t="n">
        <f aca="false">Sales_Budget!F205</f>
        <v>907308</v>
      </c>
      <c r="F216" s="43" t="n">
        <f aca="false">Sales_Budget!G205</f>
        <v>556092</v>
      </c>
      <c r="G216" s="42" t="n">
        <f aca="false">VALUE(LEFT(A216,4))</f>
        <v>2026</v>
      </c>
      <c r="H216" s="42" t="n">
        <f aca="false">IF(COUNTIFS(Calc_Actuals!$F$2:$F$865,B216,Calc_Actuals!$H$2:$H$865,C216,Calc_Actuals!$C$2:$C$865,"Actual")&gt;0,1,0)</f>
        <v>1</v>
      </c>
      <c r="I216" s="42" t="str">
        <f aca="false">IFERROR(INDEX(Calendar!$E$2:$E$25,MATCH(A216,Calendar!$A$2:$A$25,0)),"UNMATCHED")</f>
        <v>Actual</v>
      </c>
      <c r="J216" s="43" t="n">
        <f aca="false">D216*$B$7</f>
        <v>371830.655963783</v>
      </c>
      <c r="K216" s="43" t="n">
        <f aca="false">E216*$B$7</f>
        <v>230535.006697546</v>
      </c>
      <c r="L216" s="43" t="n">
        <f aca="false">F216*$B$7</f>
        <v>141295.649266238</v>
      </c>
      <c r="M216" s="43" t="n">
        <f aca="false">IF(I216="Actual",SUMIFS(Calc_Actuals!$N$2:$N$865,Calc_Actuals!$J$2:$J$865,G216,Calc_Actuals!$K$2:$K$865,O216,Calc_Actuals!$F$2:$F$865,B216,Calc_Actuals!$H$2:$H$865,C216,Calc_Actuals!$C$2:$C$865,"Actual"),0)</f>
        <v>341018.33</v>
      </c>
      <c r="N216" s="43" t="n">
        <f aca="false">IF(I216="Actual",SUMIFS(Calc_Actuals!$P$2:$P$865,Calc_Actuals!$J$2:$J$865,G216,Calc_Actuals!$K$2:$K$865,O216,Calc_Actuals!$F$2:$F$865,B216,Calc_Actuals!$H$2:$H$865,C216,Calc_Actuals!$C$2:$C$865,"Actual"),0)</f>
        <v>125289.65</v>
      </c>
      <c r="O216" s="42" t="n">
        <f aca="false">VALUE(RIGHT(A216,2))</f>
        <v>5</v>
      </c>
      <c r="P216" s="42" t="str">
        <f aca="false">A216&amp;"|"&amp;B216&amp;"|"&amp;C216</f>
        <v>2026-05|East|Foods</v>
      </c>
    </row>
    <row r="217" customFormat="false" ht="15" hidden="false" customHeight="false" outlineLevel="0" collapsed="false">
      <c r="A217" s="42" t="str">
        <f aca="false">Sales_Budget!A206</f>
        <v>2026-06</v>
      </c>
      <c r="B217" s="42" t="str">
        <f aca="false">Sales_Budget!B206</f>
        <v>South</v>
      </c>
      <c r="C217" s="42" t="str">
        <f aca="false">Sales_Budget!C206</f>
        <v>Home Care</v>
      </c>
      <c r="D217" s="43" t="n">
        <f aca="false">Sales_Budget!E206</f>
        <v>1026000</v>
      </c>
      <c r="E217" s="43" t="n">
        <f aca="false">Sales_Budget!F206</f>
        <v>636120</v>
      </c>
      <c r="F217" s="43" t="n">
        <f aca="false">Sales_Budget!G206</f>
        <v>389880</v>
      </c>
      <c r="G217" s="42" t="n">
        <f aca="false">VALUE(LEFT(A217,4))</f>
        <v>2026</v>
      </c>
      <c r="H217" s="42" t="n">
        <f aca="false">IF(COUNTIFS(Calc_Actuals!$F$2:$F$865,B217,Calc_Actuals!$H$2:$H$865,C217,Calc_Actuals!$C$2:$C$865,"Actual")&gt;0,1,0)</f>
        <v>1</v>
      </c>
      <c r="I217" s="42" t="str">
        <f aca="false">IFERROR(INDEX(Calendar!$E$2:$E$25,MATCH(A217,Calendar!$A$2:$A$25,0)),"UNMATCHED")</f>
        <v>Actual</v>
      </c>
      <c r="J217" s="43" t="n">
        <f aca="false">D217*$B$7</f>
        <v>260693.079827007</v>
      </c>
      <c r="K217" s="43" t="n">
        <f aca="false">E217*$B$7</f>
        <v>161629.709492744</v>
      </c>
      <c r="L217" s="43" t="n">
        <f aca="false">F217*$B$7</f>
        <v>99063.3703342626</v>
      </c>
      <c r="M217" s="43" t="n">
        <f aca="false">IF(I217="Actual",SUMIFS(Calc_Actuals!$N$2:$N$865,Calc_Actuals!$J$2:$J$865,G217,Calc_Actuals!$K$2:$K$865,O217,Calc_Actuals!$F$2:$F$865,B217,Calc_Actuals!$H$2:$H$865,C217,Calc_Actuals!$C$2:$C$865,"Actual"),0)</f>
        <v>338596.54</v>
      </c>
      <c r="N217" s="43" t="n">
        <f aca="false">IF(I217="Actual",SUMIFS(Calc_Actuals!$P$2:$P$865,Calc_Actuals!$J$2:$J$865,G217,Calc_Actuals!$K$2:$K$865,O217,Calc_Actuals!$F$2:$F$865,B217,Calc_Actuals!$H$2:$H$865,C217,Calc_Actuals!$C$2:$C$865,"Actual"),0)</f>
        <v>117951.68</v>
      </c>
      <c r="O217" s="42" t="n">
        <f aca="false">VALUE(RIGHT(A217,2))</f>
        <v>6</v>
      </c>
      <c r="P217" s="42" t="str">
        <f aca="false">A217&amp;"|"&amp;B217&amp;"|"&amp;C217</f>
        <v>2026-06|South|Home Care</v>
      </c>
    </row>
    <row r="218" customFormat="false" ht="15" hidden="false" customHeight="false" outlineLevel="0" collapsed="false">
      <c r="A218" s="42" t="str">
        <f aca="false">Sales_Budget!A207</f>
        <v>2026-06</v>
      </c>
      <c r="B218" s="42" t="str">
        <f aca="false">Sales_Budget!B207</f>
        <v>South</v>
      </c>
      <c r="C218" s="42" t="str">
        <f aca="false">Sales_Budget!C207</f>
        <v>Personal Care</v>
      </c>
      <c r="D218" s="43" t="n">
        <f aca="false">Sales_Budget!E207</f>
        <v>1107000</v>
      </c>
      <c r="E218" s="43" t="n">
        <f aca="false">Sales_Budget!F207</f>
        <v>686340</v>
      </c>
      <c r="F218" s="43" t="n">
        <f aca="false">Sales_Budget!G207</f>
        <v>420660</v>
      </c>
      <c r="G218" s="42" t="n">
        <f aca="false">VALUE(LEFT(A218,4))</f>
        <v>2026</v>
      </c>
      <c r="H218" s="42" t="n">
        <f aca="false">IF(COUNTIFS(Calc_Actuals!$F$2:$F$865,B218,Calc_Actuals!$H$2:$H$865,C218,Calc_Actuals!$C$2:$C$865,"Actual")&gt;0,1,0)</f>
        <v>0</v>
      </c>
      <c r="I218" s="42" t="str">
        <f aca="false">IFERROR(INDEX(Calendar!$E$2:$E$25,MATCH(A218,Calendar!$A$2:$A$25,0)),"UNMATCHED")</f>
        <v>Actual</v>
      </c>
      <c r="J218" s="43" t="n">
        <f aca="false">D218*$B$7</f>
        <v>281274.112444928</v>
      </c>
      <c r="K218" s="43" t="n">
        <f aca="false">E218*$B$7</f>
        <v>174389.949715856</v>
      </c>
      <c r="L218" s="43" t="n">
        <f aca="false">F218*$B$7</f>
        <v>106884.162729073</v>
      </c>
      <c r="M218" s="43" t="n">
        <f aca="false">IF(I218="Actual",SUMIFS(Calc_Actuals!$N$2:$N$865,Calc_Actuals!$J$2:$J$865,G218,Calc_Actuals!$K$2:$K$865,O218,Calc_Actuals!$F$2:$F$865,B218,Calc_Actuals!$H$2:$H$865,C218,Calc_Actuals!$C$2:$C$865,"Actual"),0)</f>
        <v>0</v>
      </c>
      <c r="N218" s="43" t="n">
        <f aca="false">IF(I218="Actual",SUMIFS(Calc_Actuals!$P$2:$P$865,Calc_Actuals!$J$2:$J$865,G218,Calc_Actuals!$K$2:$K$865,O218,Calc_Actuals!$F$2:$F$865,B218,Calc_Actuals!$H$2:$H$865,C218,Calc_Actuals!$C$2:$C$865,"Actual"),0)</f>
        <v>0</v>
      </c>
      <c r="O218" s="42" t="n">
        <f aca="false">VALUE(RIGHT(A218,2))</f>
        <v>6</v>
      </c>
      <c r="P218" s="42" t="str">
        <f aca="false">A218&amp;"|"&amp;B218&amp;"|"&amp;C218</f>
        <v>2026-06|South|Personal Care</v>
      </c>
    </row>
    <row r="219" customFormat="false" ht="15" hidden="false" customHeight="false" outlineLevel="0" collapsed="false">
      <c r="A219" s="42" t="str">
        <f aca="false">Sales_Budget!A208</f>
        <v>2026-06</v>
      </c>
      <c r="B219" s="42" t="str">
        <f aca="false">Sales_Budget!B208</f>
        <v>South</v>
      </c>
      <c r="C219" s="42" t="str">
        <f aca="false">Sales_Budget!C208</f>
        <v>Foods</v>
      </c>
      <c r="D219" s="43" t="n">
        <f aca="false">Sales_Budget!E208</f>
        <v>1188000</v>
      </c>
      <c r="E219" s="43" t="n">
        <f aca="false">Sales_Budget!F208</f>
        <v>736560</v>
      </c>
      <c r="F219" s="43" t="n">
        <f aca="false">Sales_Budget!G208</f>
        <v>451440</v>
      </c>
      <c r="G219" s="42" t="n">
        <f aca="false">VALUE(LEFT(A219,4))</f>
        <v>2026</v>
      </c>
      <c r="H219" s="42" t="n">
        <f aca="false">IF(COUNTIFS(Calc_Actuals!$F$2:$F$865,B219,Calc_Actuals!$H$2:$H$865,C219,Calc_Actuals!$C$2:$C$865,"Actual")&gt;0,1,0)</f>
        <v>1</v>
      </c>
      <c r="I219" s="42" t="str">
        <f aca="false">IFERROR(INDEX(Calendar!$E$2:$E$25,MATCH(A219,Calendar!$A$2:$A$25,0)),"UNMATCHED")</f>
        <v>Actual</v>
      </c>
      <c r="J219" s="43" t="n">
        <f aca="false">D219*$B$7</f>
        <v>301855.14506285</v>
      </c>
      <c r="K219" s="43" t="n">
        <f aca="false">E219*$B$7</f>
        <v>187150.189938967</v>
      </c>
      <c r="L219" s="43" t="n">
        <f aca="false">F219*$B$7</f>
        <v>114704.955123883</v>
      </c>
      <c r="M219" s="43" t="n">
        <f aca="false">IF(I219="Actual",SUMIFS(Calc_Actuals!$N$2:$N$865,Calc_Actuals!$J$2:$J$865,G219,Calc_Actuals!$K$2:$K$865,O219,Calc_Actuals!$F$2:$F$865,B219,Calc_Actuals!$H$2:$H$865,C219,Calc_Actuals!$C$2:$C$865,"Actual"),0)</f>
        <v>100821.98</v>
      </c>
      <c r="N219" s="43" t="n">
        <f aca="false">IF(I219="Actual",SUMIFS(Calc_Actuals!$P$2:$P$865,Calc_Actuals!$J$2:$J$865,G219,Calc_Actuals!$K$2:$K$865,O219,Calc_Actuals!$F$2:$F$865,B219,Calc_Actuals!$H$2:$H$865,C219,Calc_Actuals!$C$2:$C$865,"Actual"),0)</f>
        <v>34896.22</v>
      </c>
      <c r="O219" s="42" t="n">
        <f aca="false">VALUE(RIGHT(A219,2))</f>
        <v>6</v>
      </c>
      <c r="P219" s="42" t="str">
        <f aca="false">A219&amp;"|"&amp;B219&amp;"|"&amp;C219</f>
        <v>2026-06|South|Foods</v>
      </c>
    </row>
    <row r="220" customFormat="false" ht="15" hidden="false" customHeight="false" outlineLevel="0" collapsed="false">
      <c r="A220" s="42" t="str">
        <f aca="false">Sales_Budget!A209</f>
        <v>2026-06</v>
      </c>
      <c r="B220" s="42" t="str">
        <f aca="false">Sales_Budget!B209</f>
        <v>North</v>
      </c>
      <c r="C220" s="42" t="str">
        <f aca="false">Sales_Budget!C209</f>
        <v>Home Care</v>
      </c>
      <c r="D220" s="43" t="n">
        <f aca="false">Sales_Budget!E209</f>
        <v>1117800</v>
      </c>
      <c r="E220" s="43" t="n">
        <f aca="false">Sales_Budget!F209</f>
        <v>693036</v>
      </c>
      <c r="F220" s="43" t="n">
        <f aca="false">Sales_Budget!G209</f>
        <v>424764</v>
      </c>
      <c r="G220" s="42" t="n">
        <f aca="false">VALUE(LEFT(A220,4))</f>
        <v>2026</v>
      </c>
      <c r="H220" s="42" t="n">
        <f aca="false">IF(COUNTIFS(Calc_Actuals!$F$2:$F$865,B220,Calc_Actuals!$H$2:$H$865,C220,Calc_Actuals!$C$2:$C$865,"Actual")&gt;0,1,0)</f>
        <v>0</v>
      </c>
      <c r="I220" s="42" t="str">
        <f aca="false">IFERROR(INDEX(Calendar!$E$2:$E$25,MATCH(A220,Calendar!$A$2:$A$25,0)),"UNMATCHED")</f>
        <v>Actual</v>
      </c>
      <c r="J220" s="43" t="n">
        <f aca="false">D220*$B$7</f>
        <v>284018.250127318</v>
      </c>
      <c r="K220" s="43" t="n">
        <f aca="false">E220*$B$7</f>
        <v>176091.315078937</v>
      </c>
      <c r="L220" s="43" t="n">
        <f aca="false">F220*$B$7</f>
        <v>107926.935048381</v>
      </c>
      <c r="M220" s="43" t="n">
        <f aca="false">IF(I220="Actual",SUMIFS(Calc_Actuals!$N$2:$N$865,Calc_Actuals!$J$2:$J$865,G220,Calc_Actuals!$K$2:$K$865,O220,Calc_Actuals!$F$2:$F$865,B220,Calc_Actuals!$H$2:$H$865,C220,Calc_Actuals!$C$2:$C$865,"Actual"),0)</f>
        <v>0</v>
      </c>
      <c r="N220" s="43" t="n">
        <f aca="false">IF(I220="Actual",SUMIFS(Calc_Actuals!$P$2:$P$865,Calc_Actuals!$J$2:$J$865,G220,Calc_Actuals!$K$2:$K$865,O220,Calc_Actuals!$F$2:$F$865,B220,Calc_Actuals!$H$2:$H$865,C220,Calc_Actuals!$C$2:$C$865,"Actual"),0)</f>
        <v>0</v>
      </c>
      <c r="O220" s="42" t="n">
        <f aca="false">VALUE(RIGHT(A220,2))</f>
        <v>6</v>
      </c>
      <c r="P220" s="42" t="str">
        <f aca="false">A220&amp;"|"&amp;B220&amp;"|"&amp;C220</f>
        <v>2026-06|North|Home Care</v>
      </c>
    </row>
    <row r="221" customFormat="false" ht="15" hidden="false" customHeight="false" outlineLevel="0" collapsed="false">
      <c r="A221" s="42" t="str">
        <f aca="false">Sales_Budget!A210</f>
        <v>2026-06</v>
      </c>
      <c r="B221" s="42" t="str">
        <f aca="false">Sales_Budget!B210</f>
        <v>North</v>
      </c>
      <c r="C221" s="42" t="str">
        <f aca="false">Sales_Budget!C210</f>
        <v>Personal Care</v>
      </c>
      <c r="D221" s="43" t="n">
        <f aca="false">Sales_Budget!E210</f>
        <v>1198800</v>
      </c>
      <c r="E221" s="43" t="n">
        <f aca="false">Sales_Budget!F210</f>
        <v>743256</v>
      </c>
      <c r="F221" s="43" t="n">
        <f aca="false">Sales_Budget!G210</f>
        <v>455544</v>
      </c>
      <c r="G221" s="42" t="n">
        <f aca="false">VALUE(LEFT(A221,4))</f>
        <v>2026</v>
      </c>
      <c r="H221" s="42" t="n">
        <f aca="false">IF(COUNTIFS(Calc_Actuals!$F$2:$F$865,B221,Calc_Actuals!$H$2:$H$865,C221,Calc_Actuals!$C$2:$C$865,"Actual")&gt;0,1,0)</f>
        <v>1</v>
      </c>
      <c r="I221" s="42" t="str">
        <f aca="false">IFERROR(INDEX(Calendar!$E$2:$E$25,MATCH(A221,Calendar!$A$2:$A$25,0)),"UNMATCHED")</f>
        <v>Actual</v>
      </c>
      <c r="J221" s="43" t="n">
        <f aca="false">D221*$B$7</f>
        <v>304599.28274524</v>
      </c>
      <c r="K221" s="43" t="n">
        <f aca="false">E221*$B$7</f>
        <v>188851.555302049</v>
      </c>
      <c r="L221" s="43" t="n">
        <f aca="false">F221*$B$7</f>
        <v>115747.727443191</v>
      </c>
      <c r="M221" s="43" t="n">
        <f aca="false">IF(I221="Actual",SUMIFS(Calc_Actuals!$N$2:$N$865,Calc_Actuals!$J$2:$J$865,G221,Calc_Actuals!$K$2:$K$865,O221,Calc_Actuals!$F$2:$F$865,B221,Calc_Actuals!$H$2:$H$865,C221,Calc_Actuals!$C$2:$C$865,"Actual"),0)</f>
        <v>465407.59</v>
      </c>
      <c r="N221" s="43" t="n">
        <f aca="false">IF(I221="Actual",SUMIFS(Calc_Actuals!$P$2:$P$865,Calc_Actuals!$J$2:$J$865,G221,Calc_Actuals!$K$2:$K$865,O221,Calc_Actuals!$F$2:$F$865,B221,Calc_Actuals!$H$2:$H$865,C221,Calc_Actuals!$C$2:$C$865,"Actual"),0)</f>
        <v>164272.24</v>
      </c>
      <c r="O221" s="42" t="n">
        <f aca="false">VALUE(RIGHT(A221,2))</f>
        <v>6</v>
      </c>
      <c r="P221" s="42" t="str">
        <f aca="false">A221&amp;"|"&amp;B221&amp;"|"&amp;C221</f>
        <v>2026-06|North|Personal Care</v>
      </c>
    </row>
    <row r="222" customFormat="false" ht="15" hidden="false" customHeight="false" outlineLevel="0" collapsed="false">
      <c r="A222" s="42" t="str">
        <f aca="false">Sales_Budget!A211</f>
        <v>2026-06</v>
      </c>
      <c r="B222" s="42" t="str">
        <f aca="false">Sales_Budget!B211</f>
        <v>North</v>
      </c>
      <c r="C222" s="42" t="str">
        <f aca="false">Sales_Budget!C211</f>
        <v>Foods</v>
      </c>
      <c r="D222" s="43" t="n">
        <f aca="false">Sales_Budget!E211</f>
        <v>1279800</v>
      </c>
      <c r="E222" s="43" t="n">
        <f aca="false">Sales_Budget!F211</f>
        <v>793476</v>
      </c>
      <c r="F222" s="43" t="n">
        <f aca="false">Sales_Budget!G211</f>
        <v>486324</v>
      </c>
      <c r="G222" s="42" t="n">
        <f aca="false">VALUE(LEFT(A222,4))</f>
        <v>2026</v>
      </c>
      <c r="H222" s="42" t="n">
        <f aca="false">IF(COUNTIFS(Calc_Actuals!$F$2:$F$865,B222,Calc_Actuals!$H$2:$H$865,C222,Calc_Actuals!$C$2:$C$865,"Actual")&gt;0,1,0)</f>
        <v>0</v>
      </c>
      <c r="I222" s="42" t="str">
        <f aca="false">IFERROR(INDEX(Calendar!$E$2:$E$25,MATCH(A222,Calendar!$A$2:$A$25,0)),"UNMATCHED")</f>
        <v>Actual</v>
      </c>
      <c r="J222" s="43" t="n">
        <f aca="false">D222*$B$7</f>
        <v>325180.315363161</v>
      </c>
      <c r="K222" s="43" t="n">
        <f aca="false">E222*$B$7</f>
        <v>201611.79552516</v>
      </c>
      <c r="L222" s="43" t="n">
        <f aca="false">F222*$B$7</f>
        <v>123568.519838001</v>
      </c>
      <c r="M222" s="43" t="n">
        <f aca="false">IF(I222="Actual",SUMIFS(Calc_Actuals!$N$2:$N$865,Calc_Actuals!$J$2:$J$865,G222,Calc_Actuals!$K$2:$K$865,O222,Calc_Actuals!$F$2:$F$865,B222,Calc_Actuals!$H$2:$H$865,C222,Calc_Actuals!$C$2:$C$865,"Actual"),0)</f>
        <v>0</v>
      </c>
      <c r="N222" s="43" t="n">
        <f aca="false">IF(I222="Actual",SUMIFS(Calc_Actuals!$P$2:$P$865,Calc_Actuals!$J$2:$J$865,G222,Calc_Actuals!$K$2:$K$865,O222,Calc_Actuals!$F$2:$F$865,B222,Calc_Actuals!$H$2:$H$865,C222,Calc_Actuals!$C$2:$C$865,"Actual"),0)</f>
        <v>0</v>
      </c>
      <c r="O222" s="42" t="n">
        <f aca="false">VALUE(RIGHT(A222,2))</f>
        <v>6</v>
      </c>
      <c r="P222" s="42" t="str">
        <f aca="false">A222&amp;"|"&amp;B222&amp;"|"&amp;C222</f>
        <v>2026-06|North|Foods</v>
      </c>
    </row>
    <row r="223" customFormat="false" ht="15" hidden="false" customHeight="false" outlineLevel="0" collapsed="false">
      <c r="A223" s="42" t="str">
        <f aca="false">Sales_Budget!A212</f>
        <v>2026-06</v>
      </c>
      <c r="B223" s="42" t="str">
        <f aca="false">Sales_Budget!B212</f>
        <v>West</v>
      </c>
      <c r="C223" s="42" t="str">
        <f aca="false">Sales_Budget!C212</f>
        <v>Home Care</v>
      </c>
      <c r="D223" s="43" t="n">
        <f aca="false">Sales_Budget!E212</f>
        <v>1209600</v>
      </c>
      <c r="E223" s="43" t="n">
        <f aca="false">Sales_Budget!F212</f>
        <v>749952</v>
      </c>
      <c r="F223" s="43" t="n">
        <f aca="false">Sales_Budget!G212</f>
        <v>459648</v>
      </c>
      <c r="G223" s="42" t="n">
        <f aca="false">VALUE(LEFT(A223,4))</f>
        <v>2026</v>
      </c>
      <c r="H223" s="42" t="n">
        <f aca="false">IF(COUNTIFS(Calc_Actuals!$F$2:$F$865,B223,Calc_Actuals!$H$2:$H$865,C223,Calc_Actuals!$C$2:$C$865,"Actual")&gt;0,1,0)</f>
        <v>1</v>
      </c>
      <c r="I223" s="42" t="str">
        <f aca="false">IFERROR(INDEX(Calendar!$E$2:$E$25,MATCH(A223,Calendar!$A$2:$A$25,0)),"UNMATCHED")</f>
        <v>Actual</v>
      </c>
      <c r="J223" s="43" t="n">
        <f aca="false">D223*$B$7</f>
        <v>307343.420427629</v>
      </c>
      <c r="K223" s="43" t="n">
        <f aca="false">E223*$B$7</f>
        <v>190552.92066513</v>
      </c>
      <c r="L223" s="43" t="n">
        <f aca="false">F223*$B$7</f>
        <v>116790.499762499</v>
      </c>
      <c r="M223" s="43" t="n">
        <f aca="false">IF(I223="Actual",SUMIFS(Calc_Actuals!$N$2:$N$865,Calc_Actuals!$J$2:$J$865,G223,Calc_Actuals!$K$2:$K$865,O223,Calc_Actuals!$F$2:$F$865,B223,Calc_Actuals!$H$2:$H$865,C223,Calc_Actuals!$C$2:$C$865,"Actual"),0)</f>
        <v>218326.74</v>
      </c>
      <c r="N223" s="43" t="n">
        <f aca="false">IF(I223="Actual",SUMIFS(Calc_Actuals!$P$2:$P$865,Calc_Actuals!$J$2:$J$865,G223,Calc_Actuals!$K$2:$K$865,O223,Calc_Actuals!$F$2:$F$865,B223,Calc_Actuals!$H$2:$H$865,C223,Calc_Actuals!$C$2:$C$865,"Actual"),0)</f>
        <v>81707.46</v>
      </c>
      <c r="O223" s="42" t="n">
        <f aca="false">VALUE(RIGHT(A223,2))</f>
        <v>6</v>
      </c>
      <c r="P223" s="42" t="str">
        <f aca="false">A223&amp;"|"&amp;B223&amp;"|"&amp;C223</f>
        <v>2026-06|West|Home Care</v>
      </c>
    </row>
    <row r="224" customFormat="false" ht="15" hidden="false" customHeight="false" outlineLevel="0" collapsed="false">
      <c r="A224" s="42" t="str">
        <f aca="false">Sales_Budget!A213</f>
        <v>2026-06</v>
      </c>
      <c r="B224" s="42" t="str">
        <f aca="false">Sales_Budget!B213</f>
        <v>West</v>
      </c>
      <c r="C224" s="42" t="str">
        <f aca="false">Sales_Budget!C213</f>
        <v>Personal Care</v>
      </c>
      <c r="D224" s="43" t="n">
        <f aca="false">Sales_Budget!E213</f>
        <v>1290600</v>
      </c>
      <c r="E224" s="43" t="n">
        <f aca="false">Sales_Budget!F213</f>
        <v>800172</v>
      </c>
      <c r="F224" s="43" t="n">
        <f aca="false">Sales_Budget!G213</f>
        <v>490428</v>
      </c>
      <c r="G224" s="42" t="n">
        <f aca="false">VALUE(LEFT(A224,4))</f>
        <v>2026</v>
      </c>
      <c r="H224" s="42" t="n">
        <f aca="false">IF(COUNTIFS(Calc_Actuals!$F$2:$F$865,B224,Calc_Actuals!$H$2:$H$865,C224,Calc_Actuals!$C$2:$C$865,"Actual")&gt;0,1,0)</f>
        <v>1</v>
      </c>
      <c r="I224" s="42" t="str">
        <f aca="false">IFERROR(INDEX(Calendar!$E$2:$E$25,MATCH(A224,Calendar!$A$2:$A$25,0)),"UNMATCHED")</f>
        <v>Actual</v>
      </c>
      <c r="J224" s="43" t="n">
        <f aca="false">D224*$B$7</f>
        <v>327924.453045551</v>
      </c>
      <c r="K224" s="43" t="n">
        <f aca="false">E224*$B$7</f>
        <v>203313.160888241</v>
      </c>
      <c r="L224" s="43" t="n">
        <f aca="false">F224*$B$7</f>
        <v>124611.292157309</v>
      </c>
      <c r="M224" s="43" t="n">
        <f aca="false">IF(I224="Actual",SUMIFS(Calc_Actuals!$N$2:$N$865,Calc_Actuals!$J$2:$J$865,G224,Calc_Actuals!$K$2:$K$865,O224,Calc_Actuals!$F$2:$F$865,B224,Calc_Actuals!$H$2:$H$865,C224,Calc_Actuals!$C$2:$C$865,"Actual"),0)</f>
        <v>283762.52</v>
      </c>
      <c r="N224" s="43" t="n">
        <f aca="false">IF(I224="Actual",SUMIFS(Calc_Actuals!$P$2:$P$865,Calc_Actuals!$J$2:$J$865,G224,Calc_Actuals!$K$2:$K$865,O224,Calc_Actuals!$F$2:$F$865,B224,Calc_Actuals!$H$2:$H$865,C224,Calc_Actuals!$C$2:$C$865,"Actual"),0)</f>
        <v>89039.26</v>
      </c>
      <c r="O224" s="42" t="n">
        <f aca="false">VALUE(RIGHT(A224,2))</f>
        <v>6</v>
      </c>
      <c r="P224" s="42" t="str">
        <f aca="false">A224&amp;"|"&amp;B224&amp;"|"&amp;C224</f>
        <v>2026-06|West|Personal Care</v>
      </c>
    </row>
    <row r="225" customFormat="false" ht="15" hidden="false" customHeight="false" outlineLevel="0" collapsed="false">
      <c r="A225" s="42" t="str">
        <f aca="false">Sales_Budget!A214</f>
        <v>2026-06</v>
      </c>
      <c r="B225" s="42" t="str">
        <f aca="false">Sales_Budget!B214</f>
        <v>West</v>
      </c>
      <c r="C225" s="42" t="str">
        <f aca="false">Sales_Budget!C214</f>
        <v>Foods</v>
      </c>
      <c r="D225" s="43" t="n">
        <f aca="false">Sales_Budget!E214</f>
        <v>1371600</v>
      </c>
      <c r="E225" s="43" t="n">
        <f aca="false">Sales_Budget!F214</f>
        <v>850392</v>
      </c>
      <c r="F225" s="43" t="n">
        <f aca="false">Sales_Budget!G214</f>
        <v>521208</v>
      </c>
      <c r="G225" s="42" t="n">
        <f aca="false">VALUE(LEFT(A225,4))</f>
        <v>2026</v>
      </c>
      <c r="H225" s="42" t="n">
        <f aca="false">IF(COUNTIFS(Calc_Actuals!$F$2:$F$865,B225,Calc_Actuals!$H$2:$H$865,C225,Calc_Actuals!$C$2:$C$865,"Actual")&gt;0,1,0)</f>
        <v>0</v>
      </c>
      <c r="I225" s="42" t="str">
        <f aca="false">IFERROR(INDEX(Calendar!$E$2:$E$25,MATCH(A225,Calendar!$A$2:$A$25,0)),"UNMATCHED")</f>
        <v>Actual</v>
      </c>
      <c r="J225" s="43" t="n">
        <f aca="false">D225*$B$7</f>
        <v>348505.485663472</v>
      </c>
      <c r="K225" s="43" t="n">
        <f aca="false">E225*$B$7</f>
        <v>216073.401111353</v>
      </c>
      <c r="L225" s="43" t="n">
        <f aca="false">F225*$B$7</f>
        <v>132432.08455212</v>
      </c>
      <c r="M225" s="43" t="n">
        <f aca="false">IF(I225="Actual",SUMIFS(Calc_Actuals!$N$2:$N$865,Calc_Actuals!$J$2:$J$865,G225,Calc_Actuals!$K$2:$K$865,O225,Calc_Actuals!$F$2:$F$865,B225,Calc_Actuals!$H$2:$H$865,C225,Calc_Actuals!$C$2:$C$865,"Actual"),0)</f>
        <v>0</v>
      </c>
      <c r="N225" s="43" t="n">
        <f aca="false">IF(I225="Actual",SUMIFS(Calc_Actuals!$P$2:$P$865,Calc_Actuals!$J$2:$J$865,G225,Calc_Actuals!$K$2:$K$865,O225,Calc_Actuals!$F$2:$F$865,B225,Calc_Actuals!$H$2:$H$865,C225,Calc_Actuals!$C$2:$C$865,"Actual"),0)</f>
        <v>0</v>
      </c>
      <c r="O225" s="42" t="n">
        <f aca="false">VALUE(RIGHT(A225,2))</f>
        <v>6</v>
      </c>
      <c r="P225" s="42" t="str">
        <f aca="false">A225&amp;"|"&amp;B225&amp;"|"&amp;C225</f>
        <v>2026-06|West|Foods</v>
      </c>
    </row>
    <row r="226" customFormat="false" ht="15" hidden="false" customHeight="false" outlineLevel="0" collapsed="false">
      <c r="A226" s="42" t="str">
        <f aca="false">Sales_Budget!A215</f>
        <v>2026-06</v>
      </c>
      <c r="B226" s="42" t="str">
        <f aca="false">Sales_Budget!B215</f>
        <v>East</v>
      </c>
      <c r="C226" s="42" t="str">
        <f aca="false">Sales_Budget!C215</f>
        <v>Home Care</v>
      </c>
      <c r="D226" s="43" t="n">
        <f aca="false">Sales_Budget!E215</f>
        <v>1301400</v>
      </c>
      <c r="E226" s="43" t="n">
        <f aca="false">Sales_Budget!F215</f>
        <v>806868</v>
      </c>
      <c r="F226" s="43" t="n">
        <f aca="false">Sales_Budget!G215</f>
        <v>494532</v>
      </c>
      <c r="G226" s="42" t="n">
        <f aca="false">VALUE(LEFT(A226,4))</f>
        <v>2026</v>
      </c>
      <c r="H226" s="42" t="n">
        <f aca="false">IF(COUNTIFS(Calc_Actuals!$F$2:$F$865,B226,Calc_Actuals!$H$2:$H$865,C226,Calc_Actuals!$C$2:$C$865,"Actual")&gt;0,1,0)</f>
        <v>1</v>
      </c>
      <c r="I226" s="42" t="str">
        <f aca="false">IFERROR(INDEX(Calendar!$E$2:$E$25,MATCH(A226,Calendar!$A$2:$A$25,0)),"UNMATCHED")</f>
        <v>Actual</v>
      </c>
      <c r="J226" s="43" t="n">
        <f aca="false">D226*$B$7</f>
        <v>330668.59072794</v>
      </c>
      <c r="K226" s="43" t="n">
        <f aca="false">E226*$B$7</f>
        <v>205014.526251323</v>
      </c>
      <c r="L226" s="43" t="n">
        <f aca="false">F226*$B$7</f>
        <v>125654.064476617</v>
      </c>
      <c r="M226" s="43" t="n">
        <f aca="false">IF(I226="Actual",SUMIFS(Calc_Actuals!$N$2:$N$865,Calc_Actuals!$J$2:$J$865,G226,Calc_Actuals!$K$2:$K$865,O226,Calc_Actuals!$F$2:$F$865,B226,Calc_Actuals!$H$2:$H$865,C226,Calc_Actuals!$C$2:$C$865,"Actual"),0)</f>
        <v>222710.97</v>
      </c>
      <c r="N226" s="43" t="n">
        <f aca="false">IF(I226="Actual",SUMIFS(Calc_Actuals!$P$2:$P$865,Calc_Actuals!$J$2:$J$865,G226,Calc_Actuals!$K$2:$K$865,O226,Calc_Actuals!$F$2:$F$865,B226,Calc_Actuals!$H$2:$H$865,C226,Calc_Actuals!$C$2:$C$865,"Actual"),0)</f>
        <v>85461.71</v>
      </c>
      <c r="O226" s="42" t="n">
        <f aca="false">VALUE(RIGHT(A226,2))</f>
        <v>6</v>
      </c>
      <c r="P226" s="42" t="str">
        <f aca="false">A226&amp;"|"&amp;B226&amp;"|"&amp;C226</f>
        <v>2026-06|East|Home Care</v>
      </c>
    </row>
    <row r="227" customFormat="false" ht="15" hidden="false" customHeight="false" outlineLevel="0" collapsed="false">
      <c r="A227" s="42" t="str">
        <f aca="false">Sales_Budget!A216</f>
        <v>2026-06</v>
      </c>
      <c r="B227" s="42" t="str">
        <f aca="false">Sales_Budget!B216</f>
        <v>East</v>
      </c>
      <c r="C227" s="42" t="str">
        <f aca="false">Sales_Budget!C216</f>
        <v>Personal Care</v>
      </c>
      <c r="D227" s="43" t="n">
        <f aca="false">Sales_Budget!E216</f>
        <v>1382400</v>
      </c>
      <c r="E227" s="43" t="n">
        <f aca="false">Sales_Budget!F216</f>
        <v>857088</v>
      </c>
      <c r="F227" s="43" t="n">
        <f aca="false">Sales_Budget!G216</f>
        <v>525312</v>
      </c>
      <c r="G227" s="42" t="n">
        <f aca="false">VALUE(LEFT(A227,4))</f>
        <v>2026</v>
      </c>
      <c r="H227" s="42" t="n">
        <f aca="false">IF(COUNTIFS(Calc_Actuals!$F$2:$F$865,B227,Calc_Actuals!$H$2:$H$865,C227,Calc_Actuals!$C$2:$C$865,"Actual")&gt;0,1,0)</f>
        <v>0</v>
      </c>
      <c r="I227" s="42" t="str">
        <f aca="false">IFERROR(INDEX(Calendar!$E$2:$E$25,MATCH(A227,Calendar!$A$2:$A$25,0)),"UNMATCHED")</f>
        <v>Actual</v>
      </c>
      <c r="J227" s="43" t="n">
        <f aca="false">D227*$B$7</f>
        <v>351249.623345862</v>
      </c>
      <c r="K227" s="43" t="n">
        <f aca="false">E227*$B$7</f>
        <v>217774.766474434</v>
      </c>
      <c r="L227" s="43" t="n">
        <f aca="false">F227*$B$7</f>
        <v>133474.856871428</v>
      </c>
      <c r="M227" s="43" t="n">
        <f aca="false">IF(I227="Actual",SUMIFS(Calc_Actuals!$N$2:$N$865,Calc_Actuals!$J$2:$J$865,G227,Calc_Actuals!$K$2:$K$865,O227,Calc_Actuals!$F$2:$F$865,B227,Calc_Actuals!$H$2:$H$865,C227,Calc_Actuals!$C$2:$C$865,"Actual"),0)</f>
        <v>0</v>
      </c>
      <c r="N227" s="43" t="n">
        <f aca="false">IF(I227="Actual",SUMIFS(Calc_Actuals!$P$2:$P$865,Calc_Actuals!$J$2:$J$865,G227,Calc_Actuals!$K$2:$K$865,O227,Calc_Actuals!$F$2:$F$865,B227,Calc_Actuals!$H$2:$H$865,C227,Calc_Actuals!$C$2:$C$865,"Actual"),0)</f>
        <v>0</v>
      </c>
      <c r="O227" s="42" t="n">
        <f aca="false">VALUE(RIGHT(A227,2))</f>
        <v>6</v>
      </c>
      <c r="P227" s="42" t="str">
        <f aca="false">A227&amp;"|"&amp;B227&amp;"|"&amp;C227</f>
        <v>2026-06|East|Personal Care</v>
      </c>
    </row>
    <row r="228" customFormat="false" ht="15" hidden="false" customHeight="false" outlineLevel="0" collapsed="false">
      <c r="A228" s="42" t="str">
        <f aca="false">Sales_Budget!A217</f>
        <v>2026-06</v>
      </c>
      <c r="B228" s="42" t="str">
        <f aca="false">Sales_Budget!B217</f>
        <v>East</v>
      </c>
      <c r="C228" s="42" t="str">
        <f aca="false">Sales_Budget!C217</f>
        <v>Foods</v>
      </c>
      <c r="D228" s="43" t="n">
        <f aca="false">Sales_Budget!E217</f>
        <v>1463400</v>
      </c>
      <c r="E228" s="43" t="n">
        <f aca="false">Sales_Budget!F217</f>
        <v>907308</v>
      </c>
      <c r="F228" s="43" t="n">
        <f aca="false">Sales_Budget!G217</f>
        <v>556092</v>
      </c>
      <c r="G228" s="42" t="n">
        <f aca="false">VALUE(LEFT(A228,4))</f>
        <v>2026</v>
      </c>
      <c r="H228" s="42" t="n">
        <f aca="false">IF(COUNTIFS(Calc_Actuals!$F$2:$F$865,B228,Calc_Actuals!$H$2:$H$865,C228,Calc_Actuals!$C$2:$C$865,"Actual")&gt;0,1,0)</f>
        <v>1</v>
      </c>
      <c r="I228" s="42" t="str">
        <f aca="false">IFERROR(INDEX(Calendar!$E$2:$E$25,MATCH(A228,Calendar!$A$2:$A$25,0)),"UNMATCHED")</f>
        <v>Actual</v>
      </c>
      <c r="J228" s="43" t="n">
        <f aca="false">D228*$B$7</f>
        <v>371830.655963783</v>
      </c>
      <c r="K228" s="43" t="n">
        <f aca="false">E228*$B$7</f>
        <v>230535.006697546</v>
      </c>
      <c r="L228" s="43" t="n">
        <f aca="false">F228*$B$7</f>
        <v>141295.649266238</v>
      </c>
      <c r="M228" s="43" t="n">
        <f aca="false">IF(I228="Actual",SUMIFS(Calc_Actuals!$N$2:$N$865,Calc_Actuals!$J$2:$J$865,G228,Calc_Actuals!$K$2:$K$865,O228,Calc_Actuals!$F$2:$F$865,B228,Calc_Actuals!$H$2:$H$865,C228,Calc_Actuals!$C$2:$C$865,"Actual"),0)</f>
        <v>319672.7</v>
      </c>
      <c r="N228" s="43" t="n">
        <f aca="false">IF(I228="Actual",SUMIFS(Calc_Actuals!$P$2:$P$865,Calc_Actuals!$J$2:$J$865,G228,Calc_Actuals!$K$2:$K$865,O228,Calc_Actuals!$F$2:$F$865,B228,Calc_Actuals!$H$2:$H$865,C228,Calc_Actuals!$C$2:$C$865,"Actual"),0)</f>
        <v>106787.36</v>
      </c>
      <c r="O228" s="42" t="n">
        <f aca="false">VALUE(RIGHT(A228,2))</f>
        <v>6</v>
      </c>
      <c r="P228" s="42" t="str">
        <f aca="false">A228&amp;"|"&amp;B228&amp;"|"&amp;C228</f>
        <v>2026-06|East|Foods</v>
      </c>
    </row>
    <row r="229" customFormat="false" ht="15" hidden="false" customHeight="false" outlineLevel="0" collapsed="false">
      <c r="A229" s="42" t="str">
        <f aca="false">Sales_Budget!A218</f>
        <v>2026-07</v>
      </c>
      <c r="B229" s="42" t="str">
        <f aca="false">Sales_Budget!B218</f>
        <v>South</v>
      </c>
      <c r="C229" s="42" t="str">
        <f aca="false">Sales_Budget!C218</f>
        <v>Home Care</v>
      </c>
      <c r="D229" s="43" t="n">
        <f aca="false">Sales_Budget!E218</f>
        <v>1026000</v>
      </c>
      <c r="E229" s="43" t="n">
        <f aca="false">Sales_Budget!F218</f>
        <v>636120</v>
      </c>
      <c r="F229" s="43" t="n">
        <f aca="false">Sales_Budget!G218</f>
        <v>389880</v>
      </c>
      <c r="G229" s="42" t="n">
        <f aca="false">VALUE(LEFT(A229,4))</f>
        <v>2026</v>
      </c>
      <c r="H229" s="42" t="n">
        <f aca="false">IF(COUNTIFS(Calc_Actuals!$F$2:$F$865,B229,Calc_Actuals!$H$2:$H$865,C229,Calc_Actuals!$C$2:$C$865,"Actual")&gt;0,1,0)</f>
        <v>1</v>
      </c>
      <c r="I229" s="42" t="str">
        <f aca="false">IFERROR(INDEX(Calendar!$E$2:$E$25,MATCH(A229,Calendar!$A$2:$A$25,0)),"UNMATCHED")</f>
        <v>Actual</v>
      </c>
      <c r="J229" s="43" t="n">
        <f aca="false">D229*$B$7</f>
        <v>260693.079827007</v>
      </c>
      <c r="K229" s="43" t="n">
        <f aca="false">E229*$B$7</f>
        <v>161629.709492744</v>
      </c>
      <c r="L229" s="43" t="n">
        <f aca="false">F229*$B$7</f>
        <v>99063.3703342626</v>
      </c>
      <c r="M229" s="43" t="n">
        <f aca="false">IF(I229="Actual",SUMIFS(Calc_Actuals!$N$2:$N$865,Calc_Actuals!$J$2:$J$865,G229,Calc_Actuals!$K$2:$K$865,O229,Calc_Actuals!$F$2:$F$865,B229,Calc_Actuals!$H$2:$H$865,C229,Calc_Actuals!$C$2:$C$865,"Actual"),0)</f>
        <v>239093.63</v>
      </c>
      <c r="N229" s="43" t="n">
        <f aca="false">IF(I229="Actual",SUMIFS(Calc_Actuals!$P$2:$P$865,Calc_Actuals!$J$2:$J$865,G229,Calc_Actuals!$K$2:$K$865,O229,Calc_Actuals!$F$2:$F$865,B229,Calc_Actuals!$H$2:$H$865,C229,Calc_Actuals!$C$2:$C$865,"Actual"),0)</f>
        <v>84210.25</v>
      </c>
      <c r="O229" s="42" t="n">
        <f aca="false">VALUE(RIGHT(A229,2))</f>
        <v>7</v>
      </c>
      <c r="P229" s="42" t="str">
        <f aca="false">A229&amp;"|"&amp;B229&amp;"|"&amp;C229</f>
        <v>2026-07|South|Home Care</v>
      </c>
    </row>
    <row r="230" customFormat="false" ht="15" hidden="false" customHeight="false" outlineLevel="0" collapsed="false">
      <c r="A230" s="42" t="str">
        <f aca="false">Sales_Budget!A219</f>
        <v>2026-07</v>
      </c>
      <c r="B230" s="42" t="str">
        <f aca="false">Sales_Budget!B219</f>
        <v>South</v>
      </c>
      <c r="C230" s="42" t="str">
        <f aca="false">Sales_Budget!C219</f>
        <v>Personal Care</v>
      </c>
      <c r="D230" s="43" t="n">
        <f aca="false">Sales_Budget!E219</f>
        <v>1107000</v>
      </c>
      <c r="E230" s="43" t="n">
        <f aca="false">Sales_Budget!F219</f>
        <v>686340</v>
      </c>
      <c r="F230" s="43" t="n">
        <f aca="false">Sales_Budget!G219</f>
        <v>420660</v>
      </c>
      <c r="G230" s="42" t="n">
        <f aca="false">VALUE(LEFT(A230,4))</f>
        <v>2026</v>
      </c>
      <c r="H230" s="42" t="n">
        <f aca="false">IF(COUNTIFS(Calc_Actuals!$F$2:$F$865,B230,Calc_Actuals!$H$2:$H$865,C230,Calc_Actuals!$C$2:$C$865,"Actual")&gt;0,1,0)</f>
        <v>0</v>
      </c>
      <c r="I230" s="42" t="str">
        <f aca="false">IFERROR(INDEX(Calendar!$E$2:$E$25,MATCH(A230,Calendar!$A$2:$A$25,0)),"UNMATCHED")</f>
        <v>Actual</v>
      </c>
      <c r="J230" s="43" t="n">
        <f aca="false">D230*$B$7</f>
        <v>281274.112444928</v>
      </c>
      <c r="K230" s="43" t="n">
        <f aca="false">E230*$B$7</f>
        <v>174389.949715856</v>
      </c>
      <c r="L230" s="43" t="n">
        <f aca="false">F230*$B$7</f>
        <v>106884.162729073</v>
      </c>
      <c r="M230" s="43" t="n">
        <f aca="false">IF(I230="Actual",SUMIFS(Calc_Actuals!$N$2:$N$865,Calc_Actuals!$J$2:$J$865,G230,Calc_Actuals!$K$2:$K$865,O230,Calc_Actuals!$F$2:$F$865,B230,Calc_Actuals!$H$2:$H$865,C230,Calc_Actuals!$C$2:$C$865,"Actual"),0)</f>
        <v>0</v>
      </c>
      <c r="N230" s="43" t="n">
        <f aca="false">IF(I230="Actual",SUMIFS(Calc_Actuals!$P$2:$P$865,Calc_Actuals!$J$2:$J$865,G230,Calc_Actuals!$K$2:$K$865,O230,Calc_Actuals!$F$2:$F$865,B230,Calc_Actuals!$H$2:$H$865,C230,Calc_Actuals!$C$2:$C$865,"Actual"),0)</f>
        <v>0</v>
      </c>
      <c r="O230" s="42" t="n">
        <f aca="false">VALUE(RIGHT(A230,2))</f>
        <v>7</v>
      </c>
      <c r="P230" s="42" t="str">
        <f aca="false">A230&amp;"|"&amp;B230&amp;"|"&amp;C230</f>
        <v>2026-07|South|Personal Care</v>
      </c>
    </row>
    <row r="231" customFormat="false" ht="15" hidden="false" customHeight="false" outlineLevel="0" collapsed="false">
      <c r="A231" s="42" t="str">
        <f aca="false">Sales_Budget!A220</f>
        <v>2026-07</v>
      </c>
      <c r="B231" s="42" t="str">
        <f aca="false">Sales_Budget!B220</f>
        <v>South</v>
      </c>
      <c r="C231" s="42" t="str">
        <f aca="false">Sales_Budget!C220</f>
        <v>Foods</v>
      </c>
      <c r="D231" s="43" t="n">
        <f aca="false">Sales_Budget!E220</f>
        <v>1188000</v>
      </c>
      <c r="E231" s="43" t="n">
        <f aca="false">Sales_Budget!F220</f>
        <v>736560</v>
      </c>
      <c r="F231" s="43" t="n">
        <f aca="false">Sales_Budget!G220</f>
        <v>451440</v>
      </c>
      <c r="G231" s="42" t="n">
        <f aca="false">VALUE(LEFT(A231,4))</f>
        <v>2026</v>
      </c>
      <c r="H231" s="42" t="n">
        <f aca="false">IF(COUNTIFS(Calc_Actuals!$F$2:$F$865,B231,Calc_Actuals!$H$2:$H$865,C231,Calc_Actuals!$C$2:$C$865,"Actual")&gt;0,1,0)</f>
        <v>1</v>
      </c>
      <c r="I231" s="42" t="str">
        <f aca="false">IFERROR(INDEX(Calendar!$E$2:$E$25,MATCH(A231,Calendar!$A$2:$A$25,0)),"UNMATCHED")</f>
        <v>Actual</v>
      </c>
      <c r="J231" s="43" t="n">
        <f aca="false">D231*$B$7</f>
        <v>301855.14506285</v>
      </c>
      <c r="K231" s="43" t="n">
        <f aca="false">E231*$B$7</f>
        <v>187150.189938967</v>
      </c>
      <c r="L231" s="43" t="n">
        <f aca="false">F231*$B$7</f>
        <v>114704.955123883</v>
      </c>
      <c r="M231" s="43" t="n">
        <f aca="false">IF(I231="Actual",SUMIFS(Calc_Actuals!$N$2:$N$865,Calc_Actuals!$J$2:$J$865,G231,Calc_Actuals!$K$2:$K$865,O231,Calc_Actuals!$F$2:$F$865,B231,Calc_Actuals!$H$2:$H$865,C231,Calc_Actuals!$C$2:$C$865,"Actual"),0)</f>
        <v>150030.12</v>
      </c>
      <c r="N231" s="43" t="n">
        <f aca="false">IF(I231="Actual",SUMIFS(Calc_Actuals!$P$2:$P$865,Calc_Actuals!$J$2:$J$865,G231,Calc_Actuals!$K$2:$K$865,O231,Calc_Actuals!$F$2:$F$865,B231,Calc_Actuals!$H$2:$H$865,C231,Calc_Actuals!$C$2:$C$865,"Actual"),0)</f>
        <v>49082.48</v>
      </c>
      <c r="O231" s="42" t="n">
        <f aca="false">VALUE(RIGHT(A231,2))</f>
        <v>7</v>
      </c>
      <c r="P231" s="42" t="str">
        <f aca="false">A231&amp;"|"&amp;B231&amp;"|"&amp;C231</f>
        <v>2026-07|South|Foods</v>
      </c>
    </row>
    <row r="232" customFormat="false" ht="15" hidden="false" customHeight="false" outlineLevel="0" collapsed="false">
      <c r="A232" s="42" t="str">
        <f aca="false">Sales_Budget!A221</f>
        <v>2026-07</v>
      </c>
      <c r="B232" s="42" t="str">
        <f aca="false">Sales_Budget!B221</f>
        <v>North</v>
      </c>
      <c r="C232" s="42" t="str">
        <f aca="false">Sales_Budget!C221</f>
        <v>Home Care</v>
      </c>
      <c r="D232" s="43" t="n">
        <f aca="false">Sales_Budget!E221</f>
        <v>1117800</v>
      </c>
      <c r="E232" s="43" t="n">
        <f aca="false">Sales_Budget!F221</f>
        <v>693036</v>
      </c>
      <c r="F232" s="43" t="n">
        <f aca="false">Sales_Budget!G221</f>
        <v>424764</v>
      </c>
      <c r="G232" s="42" t="n">
        <f aca="false">VALUE(LEFT(A232,4))</f>
        <v>2026</v>
      </c>
      <c r="H232" s="42" t="n">
        <f aca="false">IF(COUNTIFS(Calc_Actuals!$F$2:$F$865,B232,Calc_Actuals!$H$2:$H$865,C232,Calc_Actuals!$C$2:$C$865,"Actual")&gt;0,1,0)</f>
        <v>0</v>
      </c>
      <c r="I232" s="42" t="str">
        <f aca="false">IFERROR(INDEX(Calendar!$E$2:$E$25,MATCH(A232,Calendar!$A$2:$A$25,0)),"UNMATCHED")</f>
        <v>Actual</v>
      </c>
      <c r="J232" s="43" t="n">
        <f aca="false">D232*$B$7</f>
        <v>284018.250127318</v>
      </c>
      <c r="K232" s="43" t="n">
        <f aca="false">E232*$B$7</f>
        <v>176091.315078937</v>
      </c>
      <c r="L232" s="43" t="n">
        <f aca="false">F232*$B$7</f>
        <v>107926.935048381</v>
      </c>
      <c r="M232" s="43" t="n">
        <f aca="false">IF(I232="Actual",SUMIFS(Calc_Actuals!$N$2:$N$865,Calc_Actuals!$J$2:$J$865,G232,Calc_Actuals!$K$2:$K$865,O232,Calc_Actuals!$F$2:$F$865,B232,Calc_Actuals!$H$2:$H$865,C232,Calc_Actuals!$C$2:$C$865,"Actual"),0)</f>
        <v>0</v>
      </c>
      <c r="N232" s="43" t="n">
        <f aca="false">IF(I232="Actual",SUMIFS(Calc_Actuals!$P$2:$P$865,Calc_Actuals!$J$2:$J$865,G232,Calc_Actuals!$K$2:$K$865,O232,Calc_Actuals!$F$2:$F$865,B232,Calc_Actuals!$H$2:$H$865,C232,Calc_Actuals!$C$2:$C$865,"Actual"),0)</f>
        <v>0</v>
      </c>
      <c r="O232" s="42" t="n">
        <f aca="false">VALUE(RIGHT(A232,2))</f>
        <v>7</v>
      </c>
      <c r="P232" s="42" t="str">
        <f aca="false">A232&amp;"|"&amp;B232&amp;"|"&amp;C232</f>
        <v>2026-07|North|Home Care</v>
      </c>
    </row>
    <row r="233" customFormat="false" ht="15" hidden="false" customHeight="false" outlineLevel="0" collapsed="false">
      <c r="A233" s="42" t="str">
        <f aca="false">Sales_Budget!A222</f>
        <v>2026-07</v>
      </c>
      <c r="B233" s="42" t="str">
        <f aca="false">Sales_Budget!B222</f>
        <v>North</v>
      </c>
      <c r="C233" s="42" t="str">
        <f aca="false">Sales_Budget!C222</f>
        <v>Personal Care</v>
      </c>
      <c r="D233" s="43" t="n">
        <f aca="false">Sales_Budget!E222</f>
        <v>1198800</v>
      </c>
      <c r="E233" s="43" t="n">
        <f aca="false">Sales_Budget!F222</f>
        <v>743256</v>
      </c>
      <c r="F233" s="43" t="n">
        <f aca="false">Sales_Budget!G222</f>
        <v>455544</v>
      </c>
      <c r="G233" s="42" t="n">
        <f aca="false">VALUE(LEFT(A233,4))</f>
        <v>2026</v>
      </c>
      <c r="H233" s="42" t="n">
        <f aca="false">IF(COUNTIFS(Calc_Actuals!$F$2:$F$865,B233,Calc_Actuals!$H$2:$H$865,C233,Calc_Actuals!$C$2:$C$865,"Actual")&gt;0,1,0)</f>
        <v>1</v>
      </c>
      <c r="I233" s="42" t="str">
        <f aca="false">IFERROR(INDEX(Calendar!$E$2:$E$25,MATCH(A233,Calendar!$A$2:$A$25,0)),"UNMATCHED")</f>
        <v>Actual</v>
      </c>
      <c r="J233" s="43" t="n">
        <f aca="false">D233*$B$7</f>
        <v>304599.28274524</v>
      </c>
      <c r="K233" s="43" t="n">
        <f aca="false">E233*$B$7</f>
        <v>188851.555302049</v>
      </c>
      <c r="L233" s="43" t="n">
        <f aca="false">F233*$B$7</f>
        <v>115747.727443191</v>
      </c>
      <c r="M233" s="43" t="n">
        <f aca="false">IF(I233="Actual",SUMIFS(Calc_Actuals!$N$2:$N$865,Calc_Actuals!$J$2:$J$865,G233,Calc_Actuals!$K$2:$K$865,O233,Calc_Actuals!$F$2:$F$865,B233,Calc_Actuals!$H$2:$H$865,C233,Calc_Actuals!$C$2:$C$865,"Actual"),0)</f>
        <v>671123.1</v>
      </c>
      <c r="N233" s="43" t="n">
        <f aca="false">IF(I233="Actual",SUMIFS(Calc_Actuals!$P$2:$P$865,Calc_Actuals!$J$2:$J$865,G233,Calc_Actuals!$K$2:$K$865,O233,Calc_Actuals!$F$2:$F$865,B233,Calc_Actuals!$H$2:$H$865,C233,Calc_Actuals!$C$2:$C$865,"Actual"),0)</f>
        <v>254516.5</v>
      </c>
      <c r="O233" s="42" t="n">
        <f aca="false">VALUE(RIGHT(A233,2))</f>
        <v>7</v>
      </c>
      <c r="P233" s="42" t="str">
        <f aca="false">A233&amp;"|"&amp;B233&amp;"|"&amp;C233</f>
        <v>2026-07|North|Personal Care</v>
      </c>
    </row>
    <row r="234" customFormat="false" ht="15" hidden="false" customHeight="false" outlineLevel="0" collapsed="false">
      <c r="A234" s="42" t="str">
        <f aca="false">Sales_Budget!A223</f>
        <v>2026-07</v>
      </c>
      <c r="B234" s="42" t="str">
        <f aca="false">Sales_Budget!B223</f>
        <v>North</v>
      </c>
      <c r="C234" s="42" t="str">
        <f aca="false">Sales_Budget!C223</f>
        <v>Foods</v>
      </c>
      <c r="D234" s="43" t="n">
        <f aca="false">Sales_Budget!E223</f>
        <v>1279800</v>
      </c>
      <c r="E234" s="43" t="n">
        <f aca="false">Sales_Budget!F223</f>
        <v>793476</v>
      </c>
      <c r="F234" s="43" t="n">
        <f aca="false">Sales_Budget!G223</f>
        <v>486324</v>
      </c>
      <c r="G234" s="42" t="n">
        <f aca="false">VALUE(LEFT(A234,4))</f>
        <v>2026</v>
      </c>
      <c r="H234" s="42" t="n">
        <f aca="false">IF(COUNTIFS(Calc_Actuals!$F$2:$F$865,B234,Calc_Actuals!$H$2:$H$865,C234,Calc_Actuals!$C$2:$C$865,"Actual")&gt;0,1,0)</f>
        <v>0</v>
      </c>
      <c r="I234" s="42" t="str">
        <f aca="false">IFERROR(INDEX(Calendar!$E$2:$E$25,MATCH(A234,Calendar!$A$2:$A$25,0)),"UNMATCHED")</f>
        <v>Actual</v>
      </c>
      <c r="J234" s="43" t="n">
        <f aca="false">D234*$B$7</f>
        <v>325180.315363161</v>
      </c>
      <c r="K234" s="43" t="n">
        <f aca="false">E234*$B$7</f>
        <v>201611.79552516</v>
      </c>
      <c r="L234" s="43" t="n">
        <f aca="false">F234*$B$7</f>
        <v>123568.519838001</v>
      </c>
      <c r="M234" s="43" t="n">
        <f aca="false">IF(I234="Actual",SUMIFS(Calc_Actuals!$N$2:$N$865,Calc_Actuals!$J$2:$J$865,G234,Calc_Actuals!$K$2:$K$865,O234,Calc_Actuals!$F$2:$F$865,B234,Calc_Actuals!$H$2:$H$865,C234,Calc_Actuals!$C$2:$C$865,"Actual"),0)</f>
        <v>0</v>
      </c>
      <c r="N234" s="43" t="n">
        <f aca="false">IF(I234="Actual",SUMIFS(Calc_Actuals!$P$2:$P$865,Calc_Actuals!$J$2:$J$865,G234,Calc_Actuals!$K$2:$K$865,O234,Calc_Actuals!$F$2:$F$865,B234,Calc_Actuals!$H$2:$H$865,C234,Calc_Actuals!$C$2:$C$865,"Actual"),0)</f>
        <v>0</v>
      </c>
      <c r="O234" s="42" t="n">
        <f aca="false">VALUE(RIGHT(A234,2))</f>
        <v>7</v>
      </c>
      <c r="P234" s="42" t="str">
        <f aca="false">A234&amp;"|"&amp;B234&amp;"|"&amp;C234</f>
        <v>2026-07|North|Foods</v>
      </c>
    </row>
    <row r="235" customFormat="false" ht="15" hidden="false" customHeight="false" outlineLevel="0" collapsed="false">
      <c r="A235" s="42" t="str">
        <f aca="false">Sales_Budget!A224</f>
        <v>2026-07</v>
      </c>
      <c r="B235" s="42" t="str">
        <f aca="false">Sales_Budget!B224</f>
        <v>West</v>
      </c>
      <c r="C235" s="42" t="str">
        <f aca="false">Sales_Budget!C224</f>
        <v>Home Care</v>
      </c>
      <c r="D235" s="43" t="n">
        <f aca="false">Sales_Budget!E224</f>
        <v>1209600</v>
      </c>
      <c r="E235" s="43" t="n">
        <f aca="false">Sales_Budget!F224</f>
        <v>749952</v>
      </c>
      <c r="F235" s="43" t="n">
        <f aca="false">Sales_Budget!G224</f>
        <v>459648</v>
      </c>
      <c r="G235" s="42" t="n">
        <f aca="false">VALUE(LEFT(A235,4))</f>
        <v>2026</v>
      </c>
      <c r="H235" s="42" t="n">
        <f aca="false">IF(COUNTIFS(Calc_Actuals!$F$2:$F$865,B235,Calc_Actuals!$H$2:$H$865,C235,Calc_Actuals!$C$2:$C$865,"Actual")&gt;0,1,0)</f>
        <v>1</v>
      </c>
      <c r="I235" s="42" t="str">
        <f aca="false">IFERROR(INDEX(Calendar!$E$2:$E$25,MATCH(A235,Calendar!$A$2:$A$25,0)),"UNMATCHED")</f>
        <v>Actual</v>
      </c>
      <c r="J235" s="43" t="n">
        <f aca="false">D235*$B$7</f>
        <v>307343.420427629</v>
      </c>
      <c r="K235" s="43" t="n">
        <f aca="false">E235*$B$7</f>
        <v>190552.92066513</v>
      </c>
      <c r="L235" s="43" t="n">
        <f aca="false">F235*$B$7</f>
        <v>116790.499762499</v>
      </c>
      <c r="M235" s="43" t="n">
        <f aca="false">IF(I235="Actual",SUMIFS(Calc_Actuals!$N$2:$N$865,Calc_Actuals!$J$2:$J$865,G235,Calc_Actuals!$K$2:$K$865,O235,Calc_Actuals!$F$2:$F$865,B235,Calc_Actuals!$H$2:$H$865,C235,Calc_Actuals!$C$2:$C$865,"Actual"),0)</f>
        <v>221581.74</v>
      </c>
      <c r="N235" s="43" t="n">
        <f aca="false">IF(I235="Actual",SUMIFS(Calc_Actuals!$P$2:$P$865,Calc_Actuals!$J$2:$J$865,G235,Calc_Actuals!$K$2:$K$865,O235,Calc_Actuals!$F$2:$F$865,B235,Calc_Actuals!$H$2:$H$865,C235,Calc_Actuals!$C$2:$C$865,"Actual"),0)</f>
        <v>84746.08</v>
      </c>
      <c r="O235" s="42" t="n">
        <f aca="false">VALUE(RIGHT(A235,2))</f>
        <v>7</v>
      </c>
      <c r="P235" s="42" t="str">
        <f aca="false">A235&amp;"|"&amp;B235&amp;"|"&amp;C235</f>
        <v>2026-07|West|Home Care</v>
      </c>
    </row>
    <row r="236" customFormat="false" ht="15" hidden="false" customHeight="false" outlineLevel="0" collapsed="false">
      <c r="A236" s="42" t="str">
        <f aca="false">Sales_Budget!A225</f>
        <v>2026-07</v>
      </c>
      <c r="B236" s="42" t="str">
        <f aca="false">Sales_Budget!B225</f>
        <v>West</v>
      </c>
      <c r="C236" s="42" t="str">
        <f aca="false">Sales_Budget!C225</f>
        <v>Personal Care</v>
      </c>
      <c r="D236" s="43" t="n">
        <f aca="false">Sales_Budget!E225</f>
        <v>1290600</v>
      </c>
      <c r="E236" s="43" t="n">
        <f aca="false">Sales_Budget!F225</f>
        <v>800172</v>
      </c>
      <c r="F236" s="43" t="n">
        <f aca="false">Sales_Budget!G225</f>
        <v>490428</v>
      </c>
      <c r="G236" s="42" t="n">
        <f aca="false">VALUE(LEFT(A236,4))</f>
        <v>2026</v>
      </c>
      <c r="H236" s="42" t="n">
        <f aca="false">IF(COUNTIFS(Calc_Actuals!$F$2:$F$865,B236,Calc_Actuals!$H$2:$H$865,C236,Calc_Actuals!$C$2:$C$865,"Actual")&gt;0,1,0)</f>
        <v>1</v>
      </c>
      <c r="I236" s="42" t="str">
        <f aca="false">IFERROR(INDEX(Calendar!$E$2:$E$25,MATCH(A236,Calendar!$A$2:$A$25,0)),"UNMATCHED")</f>
        <v>Actual</v>
      </c>
      <c r="J236" s="43" t="n">
        <f aca="false">D236*$B$7</f>
        <v>327924.453045551</v>
      </c>
      <c r="K236" s="43" t="n">
        <f aca="false">E236*$B$7</f>
        <v>203313.160888241</v>
      </c>
      <c r="L236" s="43" t="n">
        <f aca="false">F236*$B$7</f>
        <v>124611.292157309</v>
      </c>
      <c r="M236" s="43" t="n">
        <f aca="false">IF(I236="Actual",SUMIFS(Calc_Actuals!$N$2:$N$865,Calc_Actuals!$J$2:$J$865,G236,Calc_Actuals!$K$2:$K$865,O236,Calc_Actuals!$F$2:$F$865,B236,Calc_Actuals!$H$2:$H$865,C236,Calc_Actuals!$C$2:$C$865,"Actual"),0)</f>
        <v>435030.23</v>
      </c>
      <c r="N236" s="43" t="n">
        <f aca="false">IF(I236="Actual",SUMIFS(Calc_Actuals!$P$2:$P$865,Calc_Actuals!$J$2:$J$865,G236,Calc_Actuals!$K$2:$K$865,O236,Calc_Actuals!$F$2:$F$865,B236,Calc_Actuals!$H$2:$H$865,C236,Calc_Actuals!$C$2:$C$865,"Actual"),0)</f>
        <v>145788.16</v>
      </c>
      <c r="O236" s="42" t="n">
        <f aca="false">VALUE(RIGHT(A236,2))</f>
        <v>7</v>
      </c>
      <c r="P236" s="42" t="str">
        <f aca="false">A236&amp;"|"&amp;B236&amp;"|"&amp;C236</f>
        <v>2026-07|West|Personal Care</v>
      </c>
    </row>
    <row r="237" customFormat="false" ht="15" hidden="false" customHeight="false" outlineLevel="0" collapsed="false">
      <c r="A237" s="42" t="str">
        <f aca="false">Sales_Budget!A226</f>
        <v>2026-07</v>
      </c>
      <c r="B237" s="42" t="str">
        <f aca="false">Sales_Budget!B226</f>
        <v>West</v>
      </c>
      <c r="C237" s="42" t="str">
        <f aca="false">Sales_Budget!C226</f>
        <v>Foods</v>
      </c>
      <c r="D237" s="43" t="n">
        <f aca="false">Sales_Budget!E226</f>
        <v>1371600</v>
      </c>
      <c r="E237" s="43" t="n">
        <f aca="false">Sales_Budget!F226</f>
        <v>850392</v>
      </c>
      <c r="F237" s="43" t="n">
        <f aca="false">Sales_Budget!G226</f>
        <v>521208</v>
      </c>
      <c r="G237" s="42" t="n">
        <f aca="false">VALUE(LEFT(A237,4))</f>
        <v>2026</v>
      </c>
      <c r="H237" s="42" t="n">
        <f aca="false">IF(COUNTIFS(Calc_Actuals!$F$2:$F$865,B237,Calc_Actuals!$H$2:$H$865,C237,Calc_Actuals!$C$2:$C$865,"Actual")&gt;0,1,0)</f>
        <v>0</v>
      </c>
      <c r="I237" s="42" t="str">
        <f aca="false">IFERROR(INDEX(Calendar!$E$2:$E$25,MATCH(A237,Calendar!$A$2:$A$25,0)),"UNMATCHED")</f>
        <v>Actual</v>
      </c>
      <c r="J237" s="43" t="n">
        <f aca="false">D237*$B$7</f>
        <v>348505.485663472</v>
      </c>
      <c r="K237" s="43" t="n">
        <f aca="false">E237*$B$7</f>
        <v>216073.401111353</v>
      </c>
      <c r="L237" s="43" t="n">
        <f aca="false">F237*$B$7</f>
        <v>132432.08455212</v>
      </c>
      <c r="M237" s="43" t="n">
        <f aca="false">IF(I237="Actual",SUMIFS(Calc_Actuals!$N$2:$N$865,Calc_Actuals!$J$2:$J$865,G237,Calc_Actuals!$K$2:$K$865,O237,Calc_Actuals!$F$2:$F$865,B237,Calc_Actuals!$H$2:$H$865,C237,Calc_Actuals!$C$2:$C$865,"Actual"),0)</f>
        <v>0</v>
      </c>
      <c r="N237" s="43" t="n">
        <f aca="false">IF(I237="Actual",SUMIFS(Calc_Actuals!$P$2:$P$865,Calc_Actuals!$J$2:$J$865,G237,Calc_Actuals!$K$2:$K$865,O237,Calc_Actuals!$F$2:$F$865,B237,Calc_Actuals!$H$2:$H$865,C237,Calc_Actuals!$C$2:$C$865,"Actual"),0)</f>
        <v>0</v>
      </c>
      <c r="O237" s="42" t="n">
        <f aca="false">VALUE(RIGHT(A237,2))</f>
        <v>7</v>
      </c>
      <c r="P237" s="42" t="str">
        <f aca="false">A237&amp;"|"&amp;B237&amp;"|"&amp;C237</f>
        <v>2026-07|West|Foods</v>
      </c>
    </row>
    <row r="238" customFormat="false" ht="15" hidden="false" customHeight="false" outlineLevel="0" collapsed="false">
      <c r="A238" s="42" t="str">
        <f aca="false">Sales_Budget!A227</f>
        <v>2026-07</v>
      </c>
      <c r="B238" s="42" t="str">
        <f aca="false">Sales_Budget!B227</f>
        <v>East</v>
      </c>
      <c r="C238" s="42" t="str">
        <f aca="false">Sales_Budget!C227</f>
        <v>Home Care</v>
      </c>
      <c r="D238" s="43" t="n">
        <f aca="false">Sales_Budget!E227</f>
        <v>1301400</v>
      </c>
      <c r="E238" s="43" t="n">
        <f aca="false">Sales_Budget!F227</f>
        <v>806868</v>
      </c>
      <c r="F238" s="43" t="n">
        <f aca="false">Sales_Budget!G227</f>
        <v>494532</v>
      </c>
      <c r="G238" s="42" t="n">
        <f aca="false">VALUE(LEFT(A238,4))</f>
        <v>2026</v>
      </c>
      <c r="H238" s="42" t="n">
        <f aca="false">IF(COUNTIFS(Calc_Actuals!$F$2:$F$865,B238,Calc_Actuals!$H$2:$H$865,C238,Calc_Actuals!$C$2:$C$865,"Actual")&gt;0,1,0)</f>
        <v>1</v>
      </c>
      <c r="I238" s="42" t="str">
        <f aca="false">IFERROR(INDEX(Calendar!$E$2:$E$25,MATCH(A238,Calendar!$A$2:$A$25,0)),"UNMATCHED")</f>
        <v>Actual</v>
      </c>
      <c r="J238" s="43" t="n">
        <f aca="false">D238*$B$7</f>
        <v>330668.59072794</v>
      </c>
      <c r="K238" s="43" t="n">
        <f aca="false">E238*$B$7</f>
        <v>205014.526251323</v>
      </c>
      <c r="L238" s="43" t="n">
        <f aca="false">F238*$B$7</f>
        <v>125654.064476617</v>
      </c>
      <c r="M238" s="43" t="n">
        <f aca="false">IF(I238="Actual",SUMIFS(Calc_Actuals!$N$2:$N$865,Calc_Actuals!$J$2:$J$865,G238,Calc_Actuals!$K$2:$K$865,O238,Calc_Actuals!$F$2:$F$865,B238,Calc_Actuals!$H$2:$H$865,C238,Calc_Actuals!$C$2:$C$865,"Actual"),0)</f>
        <v>225646.91</v>
      </c>
      <c r="N238" s="43" t="n">
        <f aca="false">IF(I238="Actual",SUMIFS(Calc_Actuals!$P$2:$P$865,Calc_Actuals!$J$2:$J$865,G238,Calc_Actuals!$K$2:$K$865,O238,Calc_Actuals!$F$2:$F$865,B238,Calc_Actuals!$H$2:$H$865,C238,Calc_Actuals!$C$2:$C$865,"Actual"),0)</f>
        <v>86504.11</v>
      </c>
      <c r="O238" s="42" t="n">
        <f aca="false">VALUE(RIGHT(A238,2))</f>
        <v>7</v>
      </c>
      <c r="P238" s="42" t="str">
        <f aca="false">A238&amp;"|"&amp;B238&amp;"|"&amp;C238</f>
        <v>2026-07|East|Home Care</v>
      </c>
    </row>
    <row r="239" customFormat="false" ht="15" hidden="false" customHeight="false" outlineLevel="0" collapsed="false">
      <c r="A239" s="42" t="str">
        <f aca="false">Sales_Budget!A228</f>
        <v>2026-07</v>
      </c>
      <c r="B239" s="42" t="str">
        <f aca="false">Sales_Budget!B228</f>
        <v>East</v>
      </c>
      <c r="C239" s="42" t="str">
        <f aca="false">Sales_Budget!C228</f>
        <v>Personal Care</v>
      </c>
      <c r="D239" s="43" t="n">
        <f aca="false">Sales_Budget!E228</f>
        <v>1382400</v>
      </c>
      <c r="E239" s="43" t="n">
        <f aca="false">Sales_Budget!F228</f>
        <v>857088</v>
      </c>
      <c r="F239" s="43" t="n">
        <f aca="false">Sales_Budget!G228</f>
        <v>525312</v>
      </c>
      <c r="G239" s="42" t="n">
        <f aca="false">VALUE(LEFT(A239,4))</f>
        <v>2026</v>
      </c>
      <c r="H239" s="42" t="n">
        <f aca="false">IF(COUNTIFS(Calc_Actuals!$F$2:$F$865,B239,Calc_Actuals!$H$2:$H$865,C239,Calc_Actuals!$C$2:$C$865,"Actual")&gt;0,1,0)</f>
        <v>0</v>
      </c>
      <c r="I239" s="42" t="str">
        <f aca="false">IFERROR(INDEX(Calendar!$E$2:$E$25,MATCH(A239,Calendar!$A$2:$A$25,0)),"UNMATCHED")</f>
        <v>Actual</v>
      </c>
      <c r="J239" s="43" t="n">
        <f aca="false">D239*$B$7</f>
        <v>351249.623345862</v>
      </c>
      <c r="K239" s="43" t="n">
        <f aca="false">E239*$B$7</f>
        <v>217774.766474434</v>
      </c>
      <c r="L239" s="43" t="n">
        <f aca="false">F239*$B$7</f>
        <v>133474.856871428</v>
      </c>
      <c r="M239" s="43" t="n">
        <f aca="false">IF(I239="Actual",SUMIFS(Calc_Actuals!$N$2:$N$865,Calc_Actuals!$J$2:$J$865,G239,Calc_Actuals!$K$2:$K$865,O239,Calc_Actuals!$F$2:$F$865,B239,Calc_Actuals!$H$2:$H$865,C239,Calc_Actuals!$C$2:$C$865,"Actual"),0)</f>
        <v>0</v>
      </c>
      <c r="N239" s="43" t="n">
        <f aca="false">IF(I239="Actual",SUMIFS(Calc_Actuals!$P$2:$P$865,Calc_Actuals!$J$2:$J$865,G239,Calc_Actuals!$K$2:$K$865,O239,Calc_Actuals!$F$2:$F$865,B239,Calc_Actuals!$H$2:$H$865,C239,Calc_Actuals!$C$2:$C$865,"Actual"),0)</f>
        <v>0</v>
      </c>
      <c r="O239" s="42" t="n">
        <f aca="false">VALUE(RIGHT(A239,2))</f>
        <v>7</v>
      </c>
      <c r="P239" s="42" t="str">
        <f aca="false">A239&amp;"|"&amp;B239&amp;"|"&amp;C239</f>
        <v>2026-07|East|Personal Care</v>
      </c>
    </row>
    <row r="240" customFormat="false" ht="15" hidden="false" customHeight="false" outlineLevel="0" collapsed="false">
      <c r="A240" s="42" t="str">
        <f aca="false">Sales_Budget!A229</f>
        <v>2026-07</v>
      </c>
      <c r="B240" s="42" t="str">
        <f aca="false">Sales_Budget!B229</f>
        <v>East</v>
      </c>
      <c r="C240" s="42" t="str">
        <f aca="false">Sales_Budget!C229</f>
        <v>Foods</v>
      </c>
      <c r="D240" s="43" t="n">
        <f aca="false">Sales_Budget!E229</f>
        <v>1463400</v>
      </c>
      <c r="E240" s="43" t="n">
        <f aca="false">Sales_Budget!F229</f>
        <v>907308</v>
      </c>
      <c r="F240" s="43" t="n">
        <f aca="false">Sales_Budget!G229</f>
        <v>556092</v>
      </c>
      <c r="G240" s="42" t="n">
        <f aca="false">VALUE(LEFT(A240,4))</f>
        <v>2026</v>
      </c>
      <c r="H240" s="42" t="n">
        <f aca="false">IF(COUNTIFS(Calc_Actuals!$F$2:$F$865,B240,Calc_Actuals!$H$2:$H$865,C240,Calc_Actuals!$C$2:$C$865,"Actual")&gt;0,1,0)</f>
        <v>1</v>
      </c>
      <c r="I240" s="42" t="str">
        <f aca="false">IFERROR(INDEX(Calendar!$E$2:$E$25,MATCH(A240,Calendar!$A$2:$A$25,0)),"UNMATCHED")</f>
        <v>Actual</v>
      </c>
      <c r="J240" s="43" t="n">
        <f aca="false">D240*$B$7</f>
        <v>371830.655963783</v>
      </c>
      <c r="K240" s="43" t="n">
        <f aca="false">E240*$B$7</f>
        <v>230535.006697546</v>
      </c>
      <c r="L240" s="43" t="n">
        <f aca="false">F240*$B$7</f>
        <v>141295.649266238</v>
      </c>
      <c r="M240" s="43" t="n">
        <f aca="false">IF(I240="Actual",SUMIFS(Calc_Actuals!$N$2:$N$865,Calc_Actuals!$J$2:$J$865,G240,Calc_Actuals!$K$2:$K$865,O240,Calc_Actuals!$F$2:$F$865,B240,Calc_Actuals!$H$2:$H$865,C240,Calc_Actuals!$C$2:$C$865,"Actual"),0)</f>
        <v>317535.06</v>
      </c>
      <c r="N240" s="43" t="n">
        <f aca="false">IF(I240="Actual",SUMIFS(Calc_Actuals!$P$2:$P$865,Calc_Actuals!$J$2:$J$865,G240,Calc_Actuals!$K$2:$K$865,O240,Calc_Actuals!$F$2:$F$865,B240,Calc_Actuals!$H$2:$H$865,C240,Calc_Actuals!$C$2:$C$865,"Actual"),0)</f>
        <v>111033.23</v>
      </c>
      <c r="O240" s="42" t="n">
        <f aca="false">VALUE(RIGHT(A240,2))</f>
        <v>7</v>
      </c>
      <c r="P240" s="42" t="str">
        <f aca="false">A240&amp;"|"&amp;B240&amp;"|"&amp;C240</f>
        <v>2026-07|East|Foods</v>
      </c>
    </row>
    <row r="241" customFormat="false" ht="15" hidden="false" customHeight="false" outlineLevel="0" collapsed="false">
      <c r="A241" s="42" t="str">
        <f aca="false">Sales_Budget!A230</f>
        <v>2026-08</v>
      </c>
      <c r="B241" s="42" t="str">
        <f aca="false">Sales_Budget!B230</f>
        <v>South</v>
      </c>
      <c r="C241" s="42" t="str">
        <f aca="false">Sales_Budget!C230</f>
        <v>Home Care</v>
      </c>
      <c r="D241" s="43" t="n">
        <f aca="false">Sales_Budget!E230</f>
        <v>1026000</v>
      </c>
      <c r="E241" s="43" t="n">
        <f aca="false">Sales_Budget!F230</f>
        <v>636120</v>
      </c>
      <c r="F241" s="43" t="n">
        <f aca="false">Sales_Budget!G230</f>
        <v>389880</v>
      </c>
      <c r="G241" s="42" t="n">
        <f aca="false">VALUE(LEFT(A241,4))</f>
        <v>2026</v>
      </c>
      <c r="H241" s="42" t="n">
        <f aca="false">IF(COUNTIFS(Calc_Actuals!$F$2:$F$865,B241,Calc_Actuals!$H$2:$H$865,C241,Calc_Actuals!$C$2:$C$865,"Actual")&gt;0,1,0)</f>
        <v>1</v>
      </c>
      <c r="I241" s="42" t="str">
        <f aca="false">IFERROR(INDEX(Calendar!$E$2:$E$25,MATCH(A241,Calendar!$A$2:$A$25,0)),"UNMATCHED")</f>
        <v>Actual</v>
      </c>
      <c r="J241" s="43" t="n">
        <f aca="false">D241*$B$7</f>
        <v>260693.079827007</v>
      </c>
      <c r="K241" s="43" t="n">
        <f aca="false">E241*$B$7</f>
        <v>161629.709492744</v>
      </c>
      <c r="L241" s="43" t="n">
        <f aca="false">F241*$B$7</f>
        <v>99063.3703342626</v>
      </c>
      <c r="M241" s="43" t="n">
        <f aca="false">IF(I241="Actual",SUMIFS(Calc_Actuals!$N$2:$N$865,Calc_Actuals!$J$2:$J$865,G241,Calc_Actuals!$K$2:$K$865,O241,Calc_Actuals!$F$2:$F$865,B241,Calc_Actuals!$H$2:$H$865,C241,Calc_Actuals!$C$2:$C$865,"Actual"),0)</f>
        <v>326058.04</v>
      </c>
      <c r="N241" s="43" t="n">
        <f aca="false">IF(I241="Actual",SUMIFS(Calc_Actuals!$P$2:$P$865,Calc_Actuals!$J$2:$J$865,G241,Calc_Actuals!$K$2:$K$865,O241,Calc_Actuals!$F$2:$F$865,B241,Calc_Actuals!$H$2:$H$865,C241,Calc_Actuals!$C$2:$C$865,"Actual"),0)</f>
        <v>107088.64</v>
      </c>
      <c r="O241" s="42" t="n">
        <f aca="false">VALUE(RIGHT(A241,2))</f>
        <v>8</v>
      </c>
      <c r="P241" s="42" t="str">
        <f aca="false">A241&amp;"|"&amp;B241&amp;"|"&amp;C241</f>
        <v>2026-08|South|Home Care</v>
      </c>
    </row>
    <row r="242" customFormat="false" ht="15" hidden="false" customHeight="false" outlineLevel="0" collapsed="false">
      <c r="A242" s="42" t="str">
        <f aca="false">Sales_Budget!A231</f>
        <v>2026-08</v>
      </c>
      <c r="B242" s="42" t="str">
        <f aca="false">Sales_Budget!B231</f>
        <v>South</v>
      </c>
      <c r="C242" s="42" t="str">
        <f aca="false">Sales_Budget!C231</f>
        <v>Personal Care</v>
      </c>
      <c r="D242" s="43" t="n">
        <f aca="false">Sales_Budget!E231</f>
        <v>1107000</v>
      </c>
      <c r="E242" s="43" t="n">
        <f aca="false">Sales_Budget!F231</f>
        <v>686340</v>
      </c>
      <c r="F242" s="43" t="n">
        <f aca="false">Sales_Budget!G231</f>
        <v>420660</v>
      </c>
      <c r="G242" s="42" t="n">
        <f aca="false">VALUE(LEFT(A242,4))</f>
        <v>2026</v>
      </c>
      <c r="H242" s="42" t="n">
        <f aca="false">IF(COUNTIFS(Calc_Actuals!$F$2:$F$865,B242,Calc_Actuals!$H$2:$H$865,C242,Calc_Actuals!$C$2:$C$865,"Actual")&gt;0,1,0)</f>
        <v>0</v>
      </c>
      <c r="I242" s="42" t="str">
        <f aca="false">IFERROR(INDEX(Calendar!$E$2:$E$25,MATCH(A242,Calendar!$A$2:$A$25,0)),"UNMATCHED")</f>
        <v>Actual</v>
      </c>
      <c r="J242" s="43" t="n">
        <f aca="false">D242*$B$7</f>
        <v>281274.112444928</v>
      </c>
      <c r="K242" s="43" t="n">
        <f aca="false">E242*$B$7</f>
        <v>174389.949715856</v>
      </c>
      <c r="L242" s="43" t="n">
        <f aca="false">F242*$B$7</f>
        <v>106884.162729073</v>
      </c>
      <c r="M242" s="43" t="n">
        <f aca="false">IF(I242="Actual",SUMIFS(Calc_Actuals!$N$2:$N$865,Calc_Actuals!$J$2:$J$865,G242,Calc_Actuals!$K$2:$K$865,O242,Calc_Actuals!$F$2:$F$865,B242,Calc_Actuals!$H$2:$H$865,C242,Calc_Actuals!$C$2:$C$865,"Actual"),0)</f>
        <v>0</v>
      </c>
      <c r="N242" s="43" t="n">
        <f aca="false">IF(I242="Actual",SUMIFS(Calc_Actuals!$P$2:$P$865,Calc_Actuals!$J$2:$J$865,G242,Calc_Actuals!$K$2:$K$865,O242,Calc_Actuals!$F$2:$F$865,B242,Calc_Actuals!$H$2:$H$865,C242,Calc_Actuals!$C$2:$C$865,"Actual"),0)</f>
        <v>0</v>
      </c>
      <c r="O242" s="42" t="n">
        <f aca="false">VALUE(RIGHT(A242,2))</f>
        <v>8</v>
      </c>
      <c r="P242" s="42" t="str">
        <f aca="false">A242&amp;"|"&amp;B242&amp;"|"&amp;C242</f>
        <v>2026-08|South|Personal Care</v>
      </c>
    </row>
    <row r="243" customFormat="false" ht="15" hidden="false" customHeight="false" outlineLevel="0" collapsed="false">
      <c r="A243" s="42" t="str">
        <f aca="false">Sales_Budget!A232</f>
        <v>2026-08</v>
      </c>
      <c r="B243" s="42" t="str">
        <f aca="false">Sales_Budget!B232</f>
        <v>South</v>
      </c>
      <c r="C243" s="42" t="str">
        <f aca="false">Sales_Budget!C232</f>
        <v>Foods</v>
      </c>
      <c r="D243" s="43" t="n">
        <f aca="false">Sales_Budget!E232</f>
        <v>1188000</v>
      </c>
      <c r="E243" s="43" t="n">
        <f aca="false">Sales_Budget!F232</f>
        <v>736560</v>
      </c>
      <c r="F243" s="43" t="n">
        <f aca="false">Sales_Budget!G232</f>
        <v>451440</v>
      </c>
      <c r="G243" s="42" t="n">
        <f aca="false">VALUE(LEFT(A243,4))</f>
        <v>2026</v>
      </c>
      <c r="H243" s="42" t="n">
        <f aca="false">IF(COUNTIFS(Calc_Actuals!$F$2:$F$865,B243,Calc_Actuals!$H$2:$H$865,C243,Calc_Actuals!$C$2:$C$865,"Actual")&gt;0,1,0)</f>
        <v>1</v>
      </c>
      <c r="I243" s="42" t="str">
        <f aca="false">IFERROR(INDEX(Calendar!$E$2:$E$25,MATCH(A243,Calendar!$A$2:$A$25,0)),"UNMATCHED")</f>
        <v>Actual</v>
      </c>
      <c r="J243" s="43" t="n">
        <f aca="false">D243*$B$7</f>
        <v>301855.14506285</v>
      </c>
      <c r="K243" s="43" t="n">
        <f aca="false">E243*$B$7</f>
        <v>187150.189938967</v>
      </c>
      <c r="L243" s="43" t="n">
        <f aca="false">F243*$B$7</f>
        <v>114704.955123883</v>
      </c>
      <c r="M243" s="43" t="n">
        <f aca="false">IF(I243="Actual",SUMIFS(Calc_Actuals!$N$2:$N$865,Calc_Actuals!$J$2:$J$865,G243,Calc_Actuals!$K$2:$K$865,O243,Calc_Actuals!$F$2:$F$865,B243,Calc_Actuals!$H$2:$H$865,C243,Calc_Actuals!$C$2:$C$865,"Actual"),0)</f>
        <v>117079.57</v>
      </c>
      <c r="N243" s="43" t="n">
        <f aca="false">IF(I243="Actual",SUMIFS(Calc_Actuals!$P$2:$P$865,Calc_Actuals!$J$2:$J$865,G243,Calc_Actuals!$K$2:$K$865,O243,Calc_Actuals!$F$2:$F$865,B243,Calc_Actuals!$H$2:$H$865,C243,Calc_Actuals!$C$2:$C$865,"Actual"),0)</f>
        <v>41762.71</v>
      </c>
      <c r="O243" s="42" t="n">
        <f aca="false">VALUE(RIGHT(A243,2))</f>
        <v>8</v>
      </c>
      <c r="P243" s="42" t="str">
        <f aca="false">A243&amp;"|"&amp;B243&amp;"|"&amp;C243</f>
        <v>2026-08|South|Foods</v>
      </c>
    </row>
    <row r="244" customFormat="false" ht="15" hidden="false" customHeight="false" outlineLevel="0" collapsed="false">
      <c r="A244" s="42" t="str">
        <f aca="false">Sales_Budget!A233</f>
        <v>2026-08</v>
      </c>
      <c r="B244" s="42" t="str">
        <f aca="false">Sales_Budget!B233</f>
        <v>North</v>
      </c>
      <c r="C244" s="42" t="str">
        <f aca="false">Sales_Budget!C233</f>
        <v>Home Care</v>
      </c>
      <c r="D244" s="43" t="n">
        <f aca="false">Sales_Budget!E233</f>
        <v>1117800</v>
      </c>
      <c r="E244" s="43" t="n">
        <f aca="false">Sales_Budget!F233</f>
        <v>693036</v>
      </c>
      <c r="F244" s="43" t="n">
        <f aca="false">Sales_Budget!G233</f>
        <v>424764</v>
      </c>
      <c r="G244" s="42" t="n">
        <f aca="false">VALUE(LEFT(A244,4))</f>
        <v>2026</v>
      </c>
      <c r="H244" s="42" t="n">
        <f aca="false">IF(COUNTIFS(Calc_Actuals!$F$2:$F$865,B244,Calc_Actuals!$H$2:$H$865,C244,Calc_Actuals!$C$2:$C$865,"Actual")&gt;0,1,0)</f>
        <v>0</v>
      </c>
      <c r="I244" s="42" t="str">
        <f aca="false">IFERROR(INDEX(Calendar!$E$2:$E$25,MATCH(A244,Calendar!$A$2:$A$25,0)),"UNMATCHED")</f>
        <v>Actual</v>
      </c>
      <c r="J244" s="43" t="n">
        <f aca="false">D244*$B$7</f>
        <v>284018.250127318</v>
      </c>
      <c r="K244" s="43" t="n">
        <f aca="false">E244*$B$7</f>
        <v>176091.315078937</v>
      </c>
      <c r="L244" s="43" t="n">
        <f aca="false">F244*$B$7</f>
        <v>107926.935048381</v>
      </c>
      <c r="M244" s="43" t="n">
        <f aca="false">IF(I244="Actual",SUMIFS(Calc_Actuals!$N$2:$N$865,Calc_Actuals!$J$2:$J$865,G244,Calc_Actuals!$K$2:$K$865,O244,Calc_Actuals!$F$2:$F$865,B244,Calc_Actuals!$H$2:$H$865,C244,Calc_Actuals!$C$2:$C$865,"Actual"),0)</f>
        <v>0</v>
      </c>
      <c r="N244" s="43" t="n">
        <f aca="false">IF(I244="Actual",SUMIFS(Calc_Actuals!$P$2:$P$865,Calc_Actuals!$J$2:$J$865,G244,Calc_Actuals!$K$2:$K$865,O244,Calc_Actuals!$F$2:$F$865,B244,Calc_Actuals!$H$2:$H$865,C244,Calc_Actuals!$C$2:$C$865,"Actual"),0)</f>
        <v>0</v>
      </c>
      <c r="O244" s="42" t="n">
        <f aca="false">VALUE(RIGHT(A244,2))</f>
        <v>8</v>
      </c>
      <c r="P244" s="42" t="str">
        <f aca="false">A244&amp;"|"&amp;B244&amp;"|"&amp;C244</f>
        <v>2026-08|North|Home Care</v>
      </c>
    </row>
    <row r="245" customFormat="false" ht="15" hidden="false" customHeight="false" outlineLevel="0" collapsed="false">
      <c r="A245" s="42" t="str">
        <f aca="false">Sales_Budget!A234</f>
        <v>2026-08</v>
      </c>
      <c r="B245" s="42" t="str">
        <f aca="false">Sales_Budget!B234</f>
        <v>North</v>
      </c>
      <c r="C245" s="42" t="str">
        <f aca="false">Sales_Budget!C234</f>
        <v>Personal Care</v>
      </c>
      <c r="D245" s="43" t="n">
        <f aca="false">Sales_Budget!E234</f>
        <v>1198800</v>
      </c>
      <c r="E245" s="43" t="n">
        <f aca="false">Sales_Budget!F234</f>
        <v>743256</v>
      </c>
      <c r="F245" s="43" t="n">
        <f aca="false">Sales_Budget!G234</f>
        <v>455544</v>
      </c>
      <c r="G245" s="42" t="n">
        <f aca="false">VALUE(LEFT(A245,4))</f>
        <v>2026</v>
      </c>
      <c r="H245" s="42" t="n">
        <f aca="false">IF(COUNTIFS(Calc_Actuals!$F$2:$F$865,B245,Calc_Actuals!$H$2:$H$865,C245,Calc_Actuals!$C$2:$C$865,"Actual")&gt;0,1,0)</f>
        <v>1</v>
      </c>
      <c r="I245" s="42" t="str">
        <f aca="false">IFERROR(INDEX(Calendar!$E$2:$E$25,MATCH(A245,Calendar!$A$2:$A$25,0)),"UNMATCHED")</f>
        <v>Actual</v>
      </c>
      <c r="J245" s="43" t="n">
        <f aca="false">D245*$B$7</f>
        <v>304599.28274524</v>
      </c>
      <c r="K245" s="43" t="n">
        <f aca="false">E245*$B$7</f>
        <v>188851.555302049</v>
      </c>
      <c r="L245" s="43" t="n">
        <f aca="false">F245*$B$7</f>
        <v>115747.727443191</v>
      </c>
      <c r="M245" s="43" t="n">
        <f aca="false">IF(I245="Actual",SUMIFS(Calc_Actuals!$N$2:$N$865,Calc_Actuals!$J$2:$J$865,G245,Calc_Actuals!$K$2:$K$865,O245,Calc_Actuals!$F$2:$F$865,B245,Calc_Actuals!$H$2:$H$865,C245,Calc_Actuals!$C$2:$C$865,"Actual"),0)</f>
        <v>463903.04</v>
      </c>
      <c r="N245" s="43" t="n">
        <f aca="false">IF(I245="Actual",SUMIFS(Calc_Actuals!$P$2:$P$865,Calc_Actuals!$J$2:$J$865,G245,Calc_Actuals!$K$2:$K$865,O245,Calc_Actuals!$F$2:$F$865,B245,Calc_Actuals!$H$2:$H$865,C245,Calc_Actuals!$C$2:$C$865,"Actual"),0)</f>
        <v>165369.57</v>
      </c>
      <c r="O245" s="42" t="n">
        <f aca="false">VALUE(RIGHT(A245,2))</f>
        <v>8</v>
      </c>
      <c r="P245" s="42" t="str">
        <f aca="false">A245&amp;"|"&amp;B245&amp;"|"&amp;C245</f>
        <v>2026-08|North|Personal Care</v>
      </c>
    </row>
    <row r="246" customFormat="false" ht="15" hidden="false" customHeight="false" outlineLevel="0" collapsed="false">
      <c r="A246" s="42" t="str">
        <f aca="false">Sales_Budget!A235</f>
        <v>2026-08</v>
      </c>
      <c r="B246" s="42" t="str">
        <f aca="false">Sales_Budget!B235</f>
        <v>North</v>
      </c>
      <c r="C246" s="42" t="str">
        <f aca="false">Sales_Budget!C235</f>
        <v>Foods</v>
      </c>
      <c r="D246" s="43" t="n">
        <f aca="false">Sales_Budget!E235</f>
        <v>1279800</v>
      </c>
      <c r="E246" s="43" t="n">
        <f aca="false">Sales_Budget!F235</f>
        <v>793476</v>
      </c>
      <c r="F246" s="43" t="n">
        <f aca="false">Sales_Budget!G235</f>
        <v>486324</v>
      </c>
      <c r="G246" s="42" t="n">
        <f aca="false">VALUE(LEFT(A246,4))</f>
        <v>2026</v>
      </c>
      <c r="H246" s="42" t="n">
        <f aca="false">IF(COUNTIFS(Calc_Actuals!$F$2:$F$865,B246,Calc_Actuals!$H$2:$H$865,C246,Calc_Actuals!$C$2:$C$865,"Actual")&gt;0,1,0)</f>
        <v>0</v>
      </c>
      <c r="I246" s="42" t="str">
        <f aca="false">IFERROR(INDEX(Calendar!$E$2:$E$25,MATCH(A246,Calendar!$A$2:$A$25,0)),"UNMATCHED")</f>
        <v>Actual</v>
      </c>
      <c r="J246" s="43" t="n">
        <f aca="false">D246*$B$7</f>
        <v>325180.315363161</v>
      </c>
      <c r="K246" s="43" t="n">
        <f aca="false">E246*$B$7</f>
        <v>201611.79552516</v>
      </c>
      <c r="L246" s="43" t="n">
        <f aca="false">F246*$B$7</f>
        <v>123568.519838001</v>
      </c>
      <c r="M246" s="43" t="n">
        <f aca="false">IF(I246="Actual",SUMIFS(Calc_Actuals!$N$2:$N$865,Calc_Actuals!$J$2:$J$865,G246,Calc_Actuals!$K$2:$K$865,O246,Calc_Actuals!$F$2:$F$865,B246,Calc_Actuals!$H$2:$H$865,C246,Calc_Actuals!$C$2:$C$865,"Actual"),0)</f>
        <v>0</v>
      </c>
      <c r="N246" s="43" t="n">
        <f aca="false">IF(I246="Actual",SUMIFS(Calc_Actuals!$P$2:$P$865,Calc_Actuals!$J$2:$J$865,G246,Calc_Actuals!$K$2:$K$865,O246,Calc_Actuals!$F$2:$F$865,B246,Calc_Actuals!$H$2:$H$865,C246,Calc_Actuals!$C$2:$C$865,"Actual"),0)</f>
        <v>0</v>
      </c>
      <c r="O246" s="42" t="n">
        <f aca="false">VALUE(RIGHT(A246,2))</f>
        <v>8</v>
      </c>
      <c r="P246" s="42" t="str">
        <f aca="false">A246&amp;"|"&amp;B246&amp;"|"&amp;C246</f>
        <v>2026-08|North|Foods</v>
      </c>
    </row>
    <row r="247" customFormat="false" ht="15" hidden="false" customHeight="false" outlineLevel="0" collapsed="false">
      <c r="A247" s="42" t="str">
        <f aca="false">Sales_Budget!A236</f>
        <v>2026-08</v>
      </c>
      <c r="B247" s="42" t="str">
        <f aca="false">Sales_Budget!B236</f>
        <v>West</v>
      </c>
      <c r="C247" s="42" t="str">
        <f aca="false">Sales_Budget!C236</f>
        <v>Home Care</v>
      </c>
      <c r="D247" s="43" t="n">
        <f aca="false">Sales_Budget!E236</f>
        <v>1209600</v>
      </c>
      <c r="E247" s="43" t="n">
        <f aca="false">Sales_Budget!F236</f>
        <v>749952</v>
      </c>
      <c r="F247" s="43" t="n">
        <f aca="false">Sales_Budget!G236</f>
        <v>459648</v>
      </c>
      <c r="G247" s="42" t="n">
        <f aca="false">VALUE(LEFT(A247,4))</f>
        <v>2026</v>
      </c>
      <c r="H247" s="42" t="n">
        <f aca="false">IF(COUNTIFS(Calc_Actuals!$F$2:$F$865,B247,Calc_Actuals!$H$2:$H$865,C247,Calc_Actuals!$C$2:$C$865,"Actual")&gt;0,1,0)</f>
        <v>1</v>
      </c>
      <c r="I247" s="42" t="str">
        <f aca="false">IFERROR(INDEX(Calendar!$E$2:$E$25,MATCH(A247,Calendar!$A$2:$A$25,0)),"UNMATCHED")</f>
        <v>Actual</v>
      </c>
      <c r="J247" s="43" t="n">
        <f aca="false">D247*$B$7</f>
        <v>307343.420427629</v>
      </c>
      <c r="K247" s="43" t="n">
        <f aca="false">E247*$B$7</f>
        <v>190552.92066513</v>
      </c>
      <c r="L247" s="43" t="n">
        <f aca="false">F247*$B$7</f>
        <v>116790.499762499</v>
      </c>
      <c r="M247" s="43" t="n">
        <f aca="false">IF(I247="Actual",SUMIFS(Calc_Actuals!$N$2:$N$865,Calc_Actuals!$J$2:$J$865,G247,Calc_Actuals!$K$2:$K$865,O247,Calc_Actuals!$F$2:$F$865,B247,Calc_Actuals!$H$2:$H$865,C247,Calc_Actuals!$C$2:$C$865,"Actual"),0)</f>
        <v>198979.95</v>
      </c>
      <c r="N247" s="43" t="n">
        <f aca="false">IF(I247="Actual",SUMIFS(Calc_Actuals!$P$2:$P$865,Calc_Actuals!$J$2:$J$865,G247,Calc_Actuals!$K$2:$K$865,O247,Calc_Actuals!$F$2:$F$865,B247,Calc_Actuals!$H$2:$H$865,C247,Calc_Actuals!$C$2:$C$865,"Actual"),0)</f>
        <v>78410.68</v>
      </c>
      <c r="O247" s="42" t="n">
        <f aca="false">VALUE(RIGHT(A247,2))</f>
        <v>8</v>
      </c>
      <c r="P247" s="42" t="str">
        <f aca="false">A247&amp;"|"&amp;B247&amp;"|"&amp;C247</f>
        <v>2026-08|West|Home Care</v>
      </c>
    </row>
    <row r="248" customFormat="false" ht="15" hidden="false" customHeight="false" outlineLevel="0" collapsed="false">
      <c r="A248" s="42" t="str">
        <f aca="false">Sales_Budget!A237</f>
        <v>2026-08</v>
      </c>
      <c r="B248" s="42" t="str">
        <f aca="false">Sales_Budget!B237</f>
        <v>West</v>
      </c>
      <c r="C248" s="42" t="str">
        <f aca="false">Sales_Budget!C237</f>
        <v>Personal Care</v>
      </c>
      <c r="D248" s="43" t="n">
        <f aca="false">Sales_Budget!E237</f>
        <v>1290600</v>
      </c>
      <c r="E248" s="43" t="n">
        <f aca="false">Sales_Budget!F237</f>
        <v>800172</v>
      </c>
      <c r="F248" s="43" t="n">
        <f aca="false">Sales_Budget!G237</f>
        <v>490428</v>
      </c>
      <c r="G248" s="42" t="n">
        <f aca="false">VALUE(LEFT(A248,4))</f>
        <v>2026</v>
      </c>
      <c r="H248" s="42" t="n">
        <f aca="false">IF(COUNTIFS(Calc_Actuals!$F$2:$F$865,B248,Calc_Actuals!$H$2:$H$865,C248,Calc_Actuals!$C$2:$C$865,"Actual")&gt;0,1,0)</f>
        <v>1</v>
      </c>
      <c r="I248" s="42" t="str">
        <f aca="false">IFERROR(INDEX(Calendar!$E$2:$E$25,MATCH(A248,Calendar!$A$2:$A$25,0)),"UNMATCHED")</f>
        <v>Actual</v>
      </c>
      <c r="J248" s="43" t="n">
        <f aca="false">D248*$B$7</f>
        <v>327924.453045551</v>
      </c>
      <c r="K248" s="43" t="n">
        <f aca="false">E248*$B$7</f>
        <v>203313.160888241</v>
      </c>
      <c r="L248" s="43" t="n">
        <f aca="false">F248*$B$7</f>
        <v>124611.292157309</v>
      </c>
      <c r="M248" s="43" t="n">
        <f aca="false">IF(I248="Actual",SUMIFS(Calc_Actuals!$N$2:$N$865,Calc_Actuals!$J$2:$J$865,G248,Calc_Actuals!$K$2:$K$865,O248,Calc_Actuals!$F$2:$F$865,B248,Calc_Actuals!$H$2:$H$865,C248,Calc_Actuals!$C$2:$C$865,"Actual"),0)</f>
        <v>422806.31</v>
      </c>
      <c r="N248" s="43" t="n">
        <f aca="false">IF(I248="Actual",SUMIFS(Calc_Actuals!$P$2:$P$865,Calc_Actuals!$J$2:$J$865,G248,Calc_Actuals!$K$2:$K$865,O248,Calc_Actuals!$F$2:$F$865,B248,Calc_Actuals!$H$2:$H$865,C248,Calc_Actuals!$C$2:$C$865,"Actual"),0)</f>
        <v>154870.79</v>
      </c>
      <c r="O248" s="42" t="n">
        <f aca="false">VALUE(RIGHT(A248,2))</f>
        <v>8</v>
      </c>
      <c r="P248" s="42" t="str">
        <f aca="false">A248&amp;"|"&amp;B248&amp;"|"&amp;C248</f>
        <v>2026-08|West|Personal Care</v>
      </c>
    </row>
    <row r="249" customFormat="false" ht="15" hidden="false" customHeight="false" outlineLevel="0" collapsed="false">
      <c r="A249" s="42" t="str">
        <f aca="false">Sales_Budget!A238</f>
        <v>2026-08</v>
      </c>
      <c r="B249" s="42" t="str">
        <f aca="false">Sales_Budget!B238</f>
        <v>West</v>
      </c>
      <c r="C249" s="42" t="str">
        <f aca="false">Sales_Budget!C238</f>
        <v>Foods</v>
      </c>
      <c r="D249" s="43" t="n">
        <f aca="false">Sales_Budget!E238</f>
        <v>1371600</v>
      </c>
      <c r="E249" s="43" t="n">
        <f aca="false">Sales_Budget!F238</f>
        <v>850392</v>
      </c>
      <c r="F249" s="43" t="n">
        <f aca="false">Sales_Budget!G238</f>
        <v>521208</v>
      </c>
      <c r="G249" s="42" t="n">
        <f aca="false">VALUE(LEFT(A249,4))</f>
        <v>2026</v>
      </c>
      <c r="H249" s="42" t="n">
        <f aca="false">IF(COUNTIFS(Calc_Actuals!$F$2:$F$865,B249,Calc_Actuals!$H$2:$H$865,C249,Calc_Actuals!$C$2:$C$865,"Actual")&gt;0,1,0)</f>
        <v>0</v>
      </c>
      <c r="I249" s="42" t="str">
        <f aca="false">IFERROR(INDEX(Calendar!$E$2:$E$25,MATCH(A249,Calendar!$A$2:$A$25,0)),"UNMATCHED")</f>
        <v>Actual</v>
      </c>
      <c r="J249" s="43" t="n">
        <f aca="false">D249*$B$7</f>
        <v>348505.485663472</v>
      </c>
      <c r="K249" s="43" t="n">
        <f aca="false">E249*$B$7</f>
        <v>216073.401111353</v>
      </c>
      <c r="L249" s="43" t="n">
        <f aca="false">F249*$B$7</f>
        <v>132432.08455212</v>
      </c>
      <c r="M249" s="43" t="n">
        <f aca="false">IF(I249="Actual",SUMIFS(Calc_Actuals!$N$2:$N$865,Calc_Actuals!$J$2:$J$865,G249,Calc_Actuals!$K$2:$K$865,O249,Calc_Actuals!$F$2:$F$865,B249,Calc_Actuals!$H$2:$H$865,C249,Calc_Actuals!$C$2:$C$865,"Actual"),0)</f>
        <v>0</v>
      </c>
      <c r="N249" s="43" t="n">
        <f aca="false">IF(I249="Actual",SUMIFS(Calc_Actuals!$P$2:$P$865,Calc_Actuals!$J$2:$J$865,G249,Calc_Actuals!$K$2:$K$865,O249,Calc_Actuals!$F$2:$F$865,B249,Calc_Actuals!$H$2:$H$865,C249,Calc_Actuals!$C$2:$C$865,"Actual"),0)</f>
        <v>0</v>
      </c>
      <c r="O249" s="42" t="n">
        <f aca="false">VALUE(RIGHT(A249,2))</f>
        <v>8</v>
      </c>
      <c r="P249" s="42" t="str">
        <f aca="false">A249&amp;"|"&amp;B249&amp;"|"&amp;C249</f>
        <v>2026-08|West|Foods</v>
      </c>
    </row>
    <row r="250" customFormat="false" ht="15" hidden="false" customHeight="false" outlineLevel="0" collapsed="false">
      <c r="A250" s="42" t="str">
        <f aca="false">Sales_Budget!A239</f>
        <v>2026-08</v>
      </c>
      <c r="B250" s="42" t="str">
        <f aca="false">Sales_Budget!B239</f>
        <v>East</v>
      </c>
      <c r="C250" s="42" t="str">
        <f aca="false">Sales_Budget!C239</f>
        <v>Home Care</v>
      </c>
      <c r="D250" s="43" t="n">
        <f aca="false">Sales_Budget!E239</f>
        <v>1301400</v>
      </c>
      <c r="E250" s="43" t="n">
        <f aca="false">Sales_Budget!F239</f>
        <v>806868</v>
      </c>
      <c r="F250" s="43" t="n">
        <f aca="false">Sales_Budget!G239</f>
        <v>494532</v>
      </c>
      <c r="G250" s="42" t="n">
        <f aca="false">VALUE(LEFT(A250,4))</f>
        <v>2026</v>
      </c>
      <c r="H250" s="42" t="n">
        <f aca="false">IF(COUNTIFS(Calc_Actuals!$F$2:$F$865,B250,Calc_Actuals!$H$2:$H$865,C250,Calc_Actuals!$C$2:$C$865,"Actual")&gt;0,1,0)</f>
        <v>1</v>
      </c>
      <c r="I250" s="42" t="str">
        <f aca="false">IFERROR(INDEX(Calendar!$E$2:$E$25,MATCH(A250,Calendar!$A$2:$A$25,0)),"UNMATCHED")</f>
        <v>Actual</v>
      </c>
      <c r="J250" s="43" t="n">
        <f aca="false">D250*$B$7</f>
        <v>330668.59072794</v>
      </c>
      <c r="K250" s="43" t="n">
        <f aca="false">E250*$B$7</f>
        <v>205014.526251323</v>
      </c>
      <c r="L250" s="43" t="n">
        <f aca="false">F250*$B$7</f>
        <v>125654.064476617</v>
      </c>
      <c r="M250" s="43" t="n">
        <f aca="false">IF(I250="Actual",SUMIFS(Calc_Actuals!$N$2:$N$865,Calc_Actuals!$J$2:$J$865,G250,Calc_Actuals!$K$2:$K$865,O250,Calc_Actuals!$F$2:$F$865,B250,Calc_Actuals!$H$2:$H$865,C250,Calc_Actuals!$C$2:$C$865,"Actual"),0)</f>
        <v>185470.18</v>
      </c>
      <c r="N250" s="43" t="n">
        <f aca="false">IF(I250="Actual",SUMIFS(Calc_Actuals!$P$2:$P$865,Calc_Actuals!$J$2:$J$865,G250,Calc_Actuals!$K$2:$K$865,O250,Calc_Actuals!$F$2:$F$865,B250,Calc_Actuals!$H$2:$H$865,C250,Calc_Actuals!$C$2:$C$865,"Actual"),0)</f>
        <v>70793.76</v>
      </c>
      <c r="O250" s="42" t="n">
        <f aca="false">VALUE(RIGHT(A250,2))</f>
        <v>8</v>
      </c>
      <c r="P250" s="42" t="str">
        <f aca="false">A250&amp;"|"&amp;B250&amp;"|"&amp;C250</f>
        <v>2026-08|East|Home Care</v>
      </c>
    </row>
    <row r="251" customFormat="false" ht="15" hidden="false" customHeight="false" outlineLevel="0" collapsed="false">
      <c r="A251" s="42" t="str">
        <f aca="false">Sales_Budget!A240</f>
        <v>2026-08</v>
      </c>
      <c r="B251" s="42" t="str">
        <f aca="false">Sales_Budget!B240</f>
        <v>East</v>
      </c>
      <c r="C251" s="42" t="str">
        <f aca="false">Sales_Budget!C240</f>
        <v>Personal Care</v>
      </c>
      <c r="D251" s="43" t="n">
        <f aca="false">Sales_Budget!E240</f>
        <v>1382400</v>
      </c>
      <c r="E251" s="43" t="n">
        <f aca="false">Sales_Budget!F240</f>
        <v>857088</v>
      </c>
      <c r="F251" s="43" t="n">
        <f aca="false">Sales_Budget!G240</f>
        <v>525312</v>
      </c>
      <c r="G251" s="42" t="n">
        <f aca="false">VALUE(LEFT(A251,4))</f>
        <v>2026</v>
      </c>
      <c r="H251" s="42" t="n">
        <f aca="false">IF(COUNTIFS(Calc_Actuals!$F$2:$F$865,B251,Calc_Actuals!$H$2:$H$865,C251,Calc_Actuals!$C$2:$C$865,"Actual")&gt;0,1,0)</f>
        <v>0</v>
      </c>
      <c r="I251" s="42" t="str">
        <f aca="false">IFERROR(INDEX(Calendar!$E$2:$E$25,MATCH(A251,Calendar!$A$2:$A$25,0)),"UNMATCHED")</f>
        <v>Actual</v>
      </c>
      <c r="J251" s="43" t="n">
        <f aca="false">D251*$B$7</f>
        <v>351249.623345862</v>
      </c>
      <c r="K251" s="43" t="n">
        <f aca="false">E251*$B$7</f>
        <v>217774.766474434</v>
      </c>
      <c r="L251" s="43" t="n">
        <f aca="false">F251*$B$7</f>
        <v>133474.856871428</v>
      </c>
      <c r="M251" s="43" t="n">
        <f aca="false">IF(I251="Actual",SUMIFS(Calc_Actuals!$N$2:$N$865,Calc_Actuals!$J$2:$J$865,G251,Calc_Actuals!$K$2:$K$865,O251,Calc_Actuals!$F$2:$F$865,B251,Calc_Actuals!$H$2:$H$865,C251,Calc_Actuals!$C$2:$C$865,"Actual"),0)</f>
        <v>0</v>
      </c>
      <c r="N251" s="43" t="n">
        <f aca="false">IF(I251="Actual",SUMIFS(Calc_Actuals!$P$2:$P$865,Calc_Actuals!$J$2:$J$865,G251,Calc_Actuals!$K$2:$K$865,O251,Calc_Actuals!$F$2:$F$865,B251,Calc_Actuals!$H$2:$H$865,C251,Calc_Actuals!$C$2:$C$865,"Actual"),0)</f>
        <v>0</v>
      </c>
      <c r="O251" s="42" t="n">
        <f aca="false">VALUE(RIGHT(A251,2))</f>
        <v>8</v>
      </c>
      <c r="P251" s="42" t="str">
        <f aca="false">A251&amp;"|"&amp;B251&amp;"|"&amp;C251</f>
        <v>2026-08|East|Personal Care</v>
      </c>
    </row>
    <row r="252" customFormat="false" ht="15" hidden="false" customHeight="false" outlineLevel="0" collapsed="false">
      <c r="A252" s="42" t="str">
        <f aca="false">Sales_Budget!A241</f>
        <v>2026-08</v>
      </c>
      <c r="B252" s="42" t="str">
        <f aca="false">Sales_Budget!B241</f>
        <v>East</v>
      </c>
      <c r="C252" s="42" t="str">
        <f aca="false">Sales_Budget!C241</f>
        <v>Foods</v>
      </c>
      <c r="D252" s="43" t="n">
        <f aca="false">Sales_Budget!E241</f>
        <v>1463400</v>
      </c>
      <c r="E252" s="43" t="n">
        <f aca="false">Sales_Budget!F241</f>
        <v>907308</v>
      </c>
      <c r="F252" s="43" t="n">
        <f aca="false">Sales_Budget!G241</f>
        <v>556092</v>
      </c>
      <c r="G252" s="42" t="n">
        <f aca="false">VALUE(LEFT(A252,4))</f>
        <v>2026</v>
      </c>
      <c r="H252" s="42" t="n">
        <f aca="false">IF(COUNTIFS(Calc_Actuals!$F$2:$F$865,B252,Calc_Actuals!$H$2:$H$865,C252,Calc_Actuals!$C$2:$C$865,"Actual")&gt;0,1,0)</f>
        <v>1</v>
      </c>
      <c r="I252" s="42" t="str">
        <f aca="false">IFERROR(INDEX(Calendar!$E$2:$E$25,MATCH(A252,Calendar!$A$2:$A$25,0)),"UNMATCHED")</f>
        <v>Actual</v>
      </c>
      <c r="J252" s="43" t="n">
        <f aca="false">D252*$B$7</f>
        <v>371830.655963783</v>
      </c>
      <c r="K252" s="43" t="n">
        <f aca="false">E252*$B$7</f>
        <v>230535.006697546</v>
      </c>
      <c r="L252" s="43" t="n">
        <f aca="false">F252*$B$7</f>
        <v>141295.649266238</v>
      </c>
      <c r="M252" s="43" t="n">
        <f aca="false">IF(I252="Actual",SUMIFS(Calc_Actuals!$N$2:$N$865,Calc_Actuals!$J$2:$J$865,G252,Calc_Actuals!$K$2:$K$865,O252,Calc_Actuals!$F$2:$F$865,B252,Calc_Actuals!$H$2:$H$865,C252,Calc_Actuals!$C$2:$C$865,"Actual"),0)</f>
        <v>340861.98</v>
      </c>
      <c r="N252" s="43" t="n">
        <f aca="false">IF(I252="Actual",SUMIFS(Calc_Actuals!$P$2:$P$865,Calc_Actuals!$J$2:$J$865,G252,Calc_Actuals!$K$2:$K$865,O252,Calc_Actuals!$F$2:$F$865,B252,Calc_Actuals!$H$2:$H$865,C252,Calc_Actuals!$C$2:$C$865,"Actual"),0)</f>
        <v>119484.41</v>
      </c>
      <c r="O252" s="42" t="n">
        <f aca="false">VALUE(RIGHT(A252,2))</f>
        <v>8</v>
      </c>
      <c r="P252" s="42" t="str">
        <f aca="false">A252&amp;"|"&amp;B252&amp;"|"&amp;C252</f>
        <v>2026-08|East|Foods</v>
      </c>
    </row>
    <row r="253" customFormat="false" ht="15" hidden="false" customHeight="false" outlineLevel="0" collapsed="false">
      <c r="A253" s="42" t="str">
        <f aca="false">Sales_Budget!A242</f>
        <v>2026-09</v>
      </c>
      <c r="B253" s="42" t="str">
        <f aca="false">Sales_Budget!B242</f>
        <v>South</v>
      </c>
      <c r="C253" s="42" t="str">
        <f aca="false">Sales_Budget!C242</f>
        <v>Home Care</v>
      </c>
      <c r="D253" s="43" t="n">
        <f aca="false">Sales_Budget!E242</f>
        <v>1026000</v>
      </c>
      <c r="E253" s="43" t="n">
        <f aca="false">Sales_Budget!F242</f>
        <v>636120</v>
      </c>
      <c r="F253" s="43" t="n">
        <f aca="false">Sales_Budget!G242</f>
        <v>389880</v>
      </c>
      <c r="G253" s="42" t="n">
        <f aca="false">VALUE(LEFT(A253,4))</f>
        <v>2026</v>
      </c>
      <c r="H253" s="42" t="n">
        <f aca="false">IF(COUNTIFS(Calc_Actuals!$F$2:$F$865,B253,Calc_Actuals!$H$2:$H$865,C253,Calc_Actuals!$C$2:$C$865,"Actual")&gt;0,1,0)</f>
        <v>1</v>
      </c>
      <c r="I253" s="42" t="str">
        <f aca="false">IFERROR(INDEX(Calendar!$E$2:$E$25,MATCH(A253,Calendar!$A$2:$A$25,0)),"UNMATCHED")</f>
        <v>Actual</v>
      </c>
      <c r="J253" s="43" t="n">
        <f aca="false">D253*$B$7</f>
        <v>260693.079827007</v>
      </c>
      <c r="K253" s="43" t="n">
        <f aca="false">E253*$B$7</f>
        <v>161629.709492744</v>
      </c>
      <c r="L253" s="43" t="n">
        <f aca="false">F253*$B$7</f>
        <v>99063.3703342626</v>
      </c>
      <c r="M253" s="43" t="n">
        <f aca="false">IF(I253="Actual",SUMIFS(Calc_Actuals!$N$2:$N$865,Calc_Actuals!$J$2:$J$865,G253,Calc_Actuals!$K$2:$K$865,O253,Calc_Actuals!$F$2:$F$865,B253,Calc_Actuals!$H$2:$H$865,C253,Calc_Actuals!$C$2:$C$865,"Actual"),0)</f>
        <v>195578.31</v>
      </c>
      <c r="N253" s="43" t="n">
        <f aca="false">IF(I253="Actual",SUMIFS(Calc_Actuals!$P$2:$P$865,Calc_Actuals!$J$2:$J$865,G253,Calc_Actuals!$K$2:$K$865,O253,Calc_Actuals!$F$2:$F$865,B253,Calc_Actuals!$H$2:$H$865,C253,Calc_Actuals!$C$2:$C$865,"Actual"),0)</f>
        <v>67589.31</v>
      </c>
      <c r="O253" s="42" t="n">
        <f aca="false">VALUE(RIGHT(A253,2))</f>
        <v>9</v>
      </c>
      <c r="P253" s="42" t="str">
        <f aca="false">A253&amp;"|"&amp;B253&amp;"|"&amp;C253</f>
        <v>2026-09|South|Home Care</v>
      </c>
    </row>
    <row r="254" customFormat="false" ht="15" hidden="false" customHeight="false" outlineLevel="0" collapsed="false">
      <c r="A254" s="42" t="str">
        <f aca="false">Sales_Budget!A243</f>
        <v>2026-09</v>
      </c>
      <c r="B254" s="42" t="str">
        <f aca="false">Sales_Budget!B243</f>
        <v>South</v>
      </c>
      <c r="C254" s="42" t="str">
        <f aca="false">Sales_Budget!C243</f>
        <v>Personal Care</v>
      </c>
      <c r="D254" s="43" t="n">
        <f aca="false">Sales_Budget!E243</f>
        <v>1107000</v>
      </c>
      <c r="E254" s="43" t="n">
        <f aca="false">Sales_Budget!F243</f>
        <v>686340</v>
      </c>
      <c r="F254" s="43" t="n">
        <f aca="false">Sales_Budget!G243</f>
        <v>420660</v>
      </c>
      <c r="G254" s="42" t="n">
        <f aca="false">VALUE(LEFT(A254,4))</f>
        <v>2026</v>
      </c>
      <c r="H254" s="42" t="n">
        <f aca="false">IF(COUNTIFS(Calc_Actuals!$F$2:$F$865,B254,Calc_Actuals!$H$2:$H$865,C254,Calc_Actuals!$C$2:$C$865,"Actual")&gt;0,1,0)</f>
        <v>0</v>
      </c>
      <c r="I254" s="42" t="str">
        <f aca="false">IFERROR(INDEX(Calendar!$E$2:$E$25,MATCH(A254,Calendar!$A$2:$A$25,0)),"UNMATCHED")</f>
        <v>Actual</v>
      </c>
      <c r="J254" s="43" t="n">
        <f aca="false">D254*$B$7</f>
        <v>281274.112444928</v>
      </c>
      <c r="K254" s="43" t="n">
        <f aca="false">E254*$B$7</f>
        <v>174389.949715856</v>
      </c>
      <c r="L254" s="43" t="n">
        <f aca="false">F254*$B$7</f>
        <v>106884.162729073</v>
      </c>
      <c r="M254" s="43" t="n">
        <f aca="false">IF(I254="Actual",SUMIFS(Calc_Actuals!$N$2:$N$865,Calc_Actuals!$J$2:$J$865,G254,Calc_Actuals!$K$2:$K$865,O254,Calc_Actuals!$F$2:$F$865,B254,Calc_Actuals!$H$2:$H$865,C254,Calc_Actuals!$C$2:$C$865,"Actual"),0)</f>
        <v>0</v>
      </c>
      <c r="N254" s="43" t="n">
        <f aca="false">IF(I254="Actual",SUMIFS(Calc_Actuals!$P$2:$P$865,Calc_Actuals!$J$2:$J$865,G254,Calc_Actuals!$K$2:$K$865,O254,Calc_Actuals!$F$2:$F$865,B254,Calc_Actuals!$H$2:$H$865,C254,Calc_Actuals!$C$2:$C$865,"Actual"),0)</f>
        <v>0</v>
      </c>
      <c r="O254" s="42" t="n">
        <f aca="false">VALUE(RIGHT(A254,2))</f>
        <v>9</v>
      </c>
      <c r="P254" s="42" t="str">
        <f aca="false">A254&amp;"|"&amp;B254&amp;"|"&amp;C254</f>
        <v>2026-09|South|Personal Care</v>
      </c>
    </row>
    <row r="255" customFormat="false" ht="15" hidden="false" customHeight="false" outlineLevel="0" collapsed="false">
      <c r="A255" s="42" t="str">
        <f aca="false">Sales_Budget!A244</f>
        <v>2026-09</v>
      </c>
      <c r="B255" s="42" t="str">
        <f aca="false">Sales_Budget!B244</f>
        <v>South</v>
      </c>
      <c r="C255" s="42" t="str">
        <f aca="false">Sales_Budget!C244</f>
        <v>Foods</v>
      </c>
      <c r="D255" s="43" t="n">
        <f aca="false">Sales_Budget!E244</f>
        <v>1188000</v>
      </c>
      <c r="E255" s="43" t="n">
        <f aca="false">Sales_Budget!F244</f>
        <v>736560</v>
      </c>
      <c r="F255" s="43" t="n">
        <f aca="false">Sales_Budget!G244</f>
        <v>451440</v>
      </c>
      <c r="G255" s="42" t="n">
        <f aca="false">VALUE(LEFT(A255,4))</f>
        <v>2026</v>
      </c>
      <c r="H255" s="42" t="n">
        <f aca="false">IF(COUNTIFS(Calc_Actuals!$F$2:$F$865,B255,Calc_Actuals!$H$2:$H$865,C255,Calc_Actuals!$C$2:$C$865,"Actual")&gt;0,1,0)</f>
        <v>1</v>
      </c>
      <c r="I255" s="42" t="str">
        <f aca="false">IFERROR(INDEX(Calendar!$E$2:$E$25,MATCH(A255,Calendar!$A$2:$A$25,0)),"UNMATCHED")</f>
        <v>Actual</v>
      </c>
      <c r="J255" s="43" t="n">
        <f aca="false">D255*$B$7</f>
        <v>301855.14506285</v>
      </c>
      <c r="K255" s="43" t="n">
        <f aca="false">E255*$B$7</f>
        <v>187150.189938967</v>
      </c>
      <c r="L255" s="43" t="n">
        <f aca="false">F255*$B$7</f>
        <v>114704.955123883</v>
      </c>
      <c r="M255" s="43" t="n">
        <f aca="false">IF(I255="Actual",SUMIFS(Calc_Actuals!$N$2:$N$865,Calc_Actuals!$J$2:$J$865,G255,Calc_Actuals!$K$2:$K$865,O255,Calc_Actuals!$F$2:$F$865,B255,Calc_Actuals!$H$2:$H$865,C255,Calc_Actuals!$C$2:$C$865,"Actual"),0)</f>
        <v>164769.1</v>
      </c>
      <c r="N255" s="43" t="n">
        <f aca="false">IF(I255="Actual",SUMIFS(Calc_Actuals!$P$2:$P$865,Calc_Actuals!$J$2:$J$865,G255,Calc_Actuals!$K$2:$K$865,O255,Calc_Actuals!$F$2:$F$865,B255,Calc_Actuals!$H$2:$H$865,C255,Calc_Actuals!$C$2:$C$865,"Actual"),0)</f>
        <v>59351.66</v>
      </c>
      <c r="O255" s="42" t="n">
        <f aca="false">VALUE(RIGHT(A255,2))</f>
        <v>9</v>
      </c>
      <c r="P255" s="42" t="str">
        <f aca="false">A255&amp;"|"&amp;B255&amp;"|"&amp;C255</f>
        <v>2026-09|South|Foods</v>
      </c>
    </row>
    <row r="256" customFormat="false" ht="15" hidden="false" customHeight="false" outlineLevel="0" collapsed="false">
      <c r="A256" s="42" t="str">
        <f aca="false">Sales_Budget!A245</f>
        <v>2026-09</v>
      </c>
      <c r="B256" s="42" t="str">
        <f aca="false">Sales_Budget!B245</f>
        <v>North</v>
      </c>
      <c r="C256" s="42" t="str">
        <f aca="false">Sales_Budget!C245</f>
        <v>Home Care</v>
      </c>
      <c r="D256" s="43" t="n">
        <f aca="false">Sales_Budget!E245</f>
        <v>1117800</v>
      </c>
      <c r="E256" s="43" t="n">
        <f aca="false">Sales_Budget!F245</f>
        <v>693036</v>
      </c>
      <c r="F256" s="43" t="n">
        <f aca="false">Sales_Budget!G245</f>
        <v>424764</v>
      </c>
      <c r="G256" s="42" t="n">
        <f aca="false">VALUE(LEFT(A256,4))</f>
        <v>2026</v>
      </c>
      <c r="H256" s="42" t="n">
        <f aca="false">IF(COUNTIFS(Calc_Actuals!$F$2:$F$865,B256,Calc_Actuals!$H$2:$H$865,C256,Calc_Actuals!$C$2:$C$865,"Actual")&gt;0,1,0)</f>
        <v>0</v>
      </c>
      <c r="I256" s="42" t="str">
        <f aca="false">IFERROR(INDEX(Calendar!$E$2:$E$25,MATCH(A256,Calendar!$A$2:$A$25,0)),"UNMATCHED")</f>
        <v>Actual</v>
      </c>
      <c r="J256" s="43" t="n">
        <f aca="false">D256*$B$7</f>
        <v>284018.250127318</v>
      </c>
      <c r="K256" s="43" t="n">
        <f aca="false">E256*$B$7</f>
        <v>176091.315078937</v>
      </c>
      <c r="L256" s="43" t="n">
        <f aca="false">F256*$B$7</f>
        <v>107926.935048381</v>
      </c>
      <c r="M256" s="43" t="n">
        <f aca="false">IF(I256="Actual",SUMIFS(Calc_Actuals!$N$2:$N$865,Calc_Actuals!$J$2:$J$865,G256,Calc_Actuals!$K$2:$K$865,O256,Calc_Actuals!$F$2:$F$865,B256,Calc_Actuals!$H$2:$H$865,C256,Calc_Actuals!$C$2:$C$865,"Actual"),0)</f>
        <v>0</v>
      </c>
      <c r="N256" s="43" t="n">
        <f aca="false">IF(I256="Actual",SUMIFS(Calc_Actuals!$P$2:$P$865,Calc_Actuals!$J$2:$J$865,G256,Calc_Actuals!$K$2:$K$865,O256,Calc_Actuals!$F$2:$F$865,B256,Calc_Actuals!$H$2:$H$865,C256,Calc_Actuals!$C$2:$C$865,"Actual"),0)</f>
        <v>0</v>
      </c>
      <c r="O256" s="42" t="n">
        <f aca="false">VALUE(RIGHT(A256,2))</f>
        <v>9</v>
      </c>
      <c r="P256" s="42" t="str">
        <f aca="false">A256&amp;"|"&amp;B256&amp;"|"&amp;C256</f>
        <v>2026-09|North|Home Care</v>
      </c>
    </row>
    <row r="257" customFormat="false" ht="15" hidden="false" customHeight="false" outlineLevel="0" collapsed="false">
      <c r="A257" s="42" t="str">
        <f aca="false">Sales_Budget!A246</f>
        <v>2026-09</v>
      </c>
      <c r="B257" s="42" t="str">
        <f aca="false">Sales_Budget!B246</f>
        <v>North</v>
      </c>
      <c r="C257" s="42" t="str">
        <f aca="false">Sales_Budget!C246</f>
        <v>Personal Care</v>
      </c>
      <c r="D257" s="43" t="n">
        <f aca="false">Sales_Budget!E246</f>
        <v>1198800</v>
      </c>
      <c r="E257" s="43" t="n">
        <f aca="false">Sales_Budget!F246</f>
        <v>743256</v>
      </c>
      <c r="F257" s="43" t="n">
        <f aca="false">Sales_Budget!G246</f>
        <v>455544</v>
      </c>
      <c r="G257" s="42" t="n">
        <f aca="false">VALUE(LEFT(A257,4))</f>
        <v>2026</v>
      </c>
      <c r="H257" s="42" t="n">
        <f aca="false">IF(COUNTIFS(Calc_Actuals!$F$2:$F$865,B257,Calc_Actuals!$H$2:$H$865,C257,Calc_Actuals!$C$2:$C$865,"Actual")&gt;0,1,0)</f>
        <v>1</v>
      </c>
      <c r="I257" s="42" t="str">
        <f aca="false">IFERROR(INDEX(Calendar!$E$2:$E$25,MATCH(A257,Calendar!$A$2:$A$25,0)),"UNMATCHED")</f>
        <v>Actual</v>
      </c>
      <c r="J257" s="43" t="n">
        <f aca="false">D257*$B$7</f>
        <v>304599.28274524</v>
      </c>
      <c r="K257" s="43" t="n">
        <f aca="false">E257*$B$7</f>
        <v>188851.555302049</v>
      </c>
      <c r="L257" s="43" t="n">
        <f aca="false">F257*$B$7</f>
        <v>115747.727443191</v>
      </c>
      <c r="M257" s="43" t="n">
        <f aca="false">IF(I257="Actual",SUMIFS(Calc_Actuals!$N$2:$N$865,Calc_Actuals!$J$2:$J$865,G257,Calc_Actuals!$K$2:$K$865,O257,Calc_Actuals!$F$2:$F$865,B257,Calc_Actuals!$H$2:$H$865,C257,Calc_Actuals!$C$2:$C$865,"Actual"),0)</f>
        <v>526552.47</v>
      </c>
      <c r="N257" s="43" t="n">
        <f aca="false">IF(I257="Actual",SUMIFS(Calc_Actuals!$P$2:$P$865,Calc_Actuals!$J$2:$J$865,G257,Calc_Actuals!$K$2:$K$865,O257,Calc_Actuals!$F$2:$F$865,B257,Calc_Actuals!$H$2:$H$865,C257,Calc_Actuals!$C$2:$C$865,"Actual"),0)</f>
        <v>192228.75</v>
      </c>
      <c r="O257" s="42" t="n">
        <f aca="false">VALUE(RIGHT(A257,2))</f>
        <v>9</v>
      </c>
      <c r="P257" s="42" t="str">
        <f aca="false">A257&amp;"|"&amp;B257&amp;"|"&amp;C257</f>
        <v>2026-09|North|Personal Care</v>
      </c>
    </row>
    <row r="258" customFormat="false" ht="15" hidden="false" customHeight="false" outlineLevel="0" collapsed="false">
      <c r="A258" s="42" t="str">
        <f aca="false">Sales_Budget!A247</f>
        <v>2026-09</v>
      </c>
      <c r="B258" s="42" t="str">
        <f aca="false">Sales_Budget!B247</f>
        <v>North</v>
      </c>
      <c r="C258" s="42" t="str">
        <f aca="false">Sales_Budget!C247</f>
        <v>Foods</v>
      </c>
      <c r="D258" s="43" t="n">
        <f aca="false">Sales_Budget!E247</f>
        <v>1279800</v>
      </c>
      <c r="E258" s="43" t="n">
        <f aca="false">Sales_Budget!F247</f>
        <v>793476</v>
      </c>
      <c r="F258" s="43" t="n">
        <f aca="false">Sales_Budget!G247</f>
        <v>486324</v>
      </c>
      <c r="G258" s="42" t="n">
        <f aca="false">VALUE(LEFT(A258,4))</f>
        <v>2026</v>
      </c>
      <c r="H258" s="42" t="n">
        <f aca="false">IF(COUNTIFS(Calc_Actuals!$F$2:$F$865,B258,Calc_Actuals!$H$2:$H$865,C258,Calc_Actuals!$C$2:$C$865,"Actual")&gt;0,1,0)</f>
        <v>0</v>
      </c>
      <c r="I258" s="42" t="str">
        <f aca="false">IFERROR(INDEX(Calendar!$E$2:$E$25,MATCH(A258,Calendar!$A$2:$A$25,0)),"UNMATCHED")</f>
        <v>Actual</v>
      </c>
      <c r="J258" s="43" t="n">
        <f aca="false">D258*$B$7</f>
        <v>325180.315363161</v>
      </c>
      <c r="K258" s="43" t="n">
        <f aca="false">E258*$B$7</f>
        <v>201611.79552516</v>
      </c>
      <c r="L258" s="43" t="n">
        <f aca="false">F258*$B$7</f>
        <v>123568.519838001</v>
      </c>
      <c r="M258" s="43" t="n">
        <f aca="false">IF(I258="Actual",SUMIFS(Calc_Actuals!$N$2:$N$865,Calc_Actuals!$J$2:$J$865,G258,Calc_Actuals!$K$2:$K$865,O258,Calc_Actuals!$F$2:$F$865,B258,Calc_Actuals!$H$2:$H$865,C258,Calc_Actuals!$C$2:$C$865,"Actual"),0)</f>
        <v>0</v>
      </c>
      <c r="N258" s="43" t="n">
        <f aca="false">IF(I258="Actual",SUMIFS(Calc_Actuals!$P$2:$P$865,Calc_Actuals!$J$2:$J$865,G258,Calc_Actuals!$K$2:$K$865,O258,Calc_Actuals!$F$2:$F$865,B258,Calc_Actuals!$H$2:$H$865,C258,Calc_Actuals!$C$2:$C$865,"Actual"),0)</f>
        <v>0</v>
      </c>
      <c r="O258" s="42" t="n">
        <f aca="false">VALUE(RIGHT(A258,2))</f>
        <v>9</v>
      </c>
      <c r="P258" s="42" t="str">
        <f aca="false">A258&amp;"|"&amp;B258&amp;"|"&amp;C258</f>
        <v>2026-09|North|Foods</v>
      </c>
    </row>
    <row r="259" customFormat="false" ht="15" hidden="false" customHeight="false" outlineLevel="0" collapsed="false">
      <c r="A259" s="42" t="str">
        <f aca="false">Sales_Budget!A248</f>
        <v>2026-09</v>
      </c>
      <c r="B259" s="42" t="str">
        <f aca="false">Sales_Budget!B248</f>
        <v>West</v>
      </c>
      <c r="C259" s="42" t="str">
        <f aca="false">Sales_Budget!C248</f>
        <v>Home Care</v>
      </c>
      <c r="D259" s="43" t="n">
        <f aca="false">Sales_Budget!E248</f>
        <v>1209600</v>
      </c>
      <c r="E259" s="43" t="n">
        <f aca="false">Sales_Budget!F248</f>
        <v>749952</v>
      </c>
      <c r="F259" s="43" t="n">
        <f aca="false">Sales_Budget!G248</f>
        <v>459648</v>
      </c>
      <c r="G259" s="42" t="n">
        <f aca="false">VALUE(LEFT(A259,4))</f>
        <v>2026</v>
      </c>
      <c r="H259" s="42" t="n">
        <f aca="false">IF(COUNTIFS(Calc_Actuals!$F$2:$F$865,B259,Calc_Actuals!$H$2:$H$865,C259,Calc_Actuals!$C$2:$C$865,"Actual")&gt;0,1,0)</f>
        <v>1</v>
      </c>
      <c r="I259" s="42" t="str">
        <f aca="false">IFERROR(INDEX(Calendar!$E$2:$E$25,MATCH(A259,Calendar!$A$2:$A$25,0)),"UNMATCHED")</f>
        <v>Actual</v>
      </c>
      <c r="J259" s="43" t="n">
        <f aca="false">D259*$B$7</f>
        <v>307343.420427629</v>
      </c>
      <c r="K259" s="43" t="n">
        <f aca="false">E259*$B$7</f>
        <v>190552.92066513</v>
      </c>
      <c r="L259" s="43" t="n">
        <f aca="false">F259*$B$7</f>
        <v>116790.499762499</v>
      </c>
      <c r="M259" s="43" t="n">
        <f aca="false">IF(I259="Actual",SUMIFS(Calc_Actuals!$N$2:$N$865,Calc_Actuals!$J$2:$J$865,G259,Calc_Actuals!$K$2:$K$865,O259,Calc_Actuals!$F$2:$F$865,B259,Calc_Actuals!$H$2:$H$865,C259,Calc_Actuals!$C$2:$C$865,"Actual"),0)</f>
        <v>147811.88</v>
      </c>
      <c r="N259" s="43" t="n">
        <f aca="false">IF(I259="Actual",SUMIFS(Calc_Actuals!$P$2:$P$865,Calc_Actuals!$J$2:$J$865,G259,Calc_Actuals!$K$2:$K$865,O259,Calc_Actuals!$F$2:$F$865,B259,Calc_Actuals!$H$2:$H$865,C259,Calc_Actuals!$C$2:$C$865,"Actual"),0)</f>
        <v>56742.49</v>
      </c>
      <c r="O259" s="42" t="n">
        <f aca="false">VALUE(RIGHT(A259,2))</f>
        <v>9</v>
      </c>
      <c r="P259" s="42" t="str">
        <f aca="false">A259&amp;"|"&amp;B259&amp;"|"&amp;C259</f>
        <v>2026-09|West|Home Care</v>
      </c>
    </row>
    <row r="260" customFormat="false" ht="15" hidden="false" customHeight="false" outlineLevel="0" collapsed="false">
      <c r="A260" s="42" t="str">
        <f aca="false">Sales_Budget!A249</f>
        <v>2026-09</v>
      </c>
      <c r="B260" s="42" t="str">
        <f aca="false">Sales_Budget!B249</f>
        <v>West</v>
      </c>
      <c r="C260" s="42" t="str">
        <f aca="false">Sales_Budget!C249</f>
        <v>Personal Care</v>
      </c>
      <c r="D260" s="43" t="n">
        <f aca="false">Sales_Budget!E249</f>
        <v>1290600</v>
      </c>
      <c r="E260" s="43" t="n">
        <f aca="false">Sales_Budget!F249</f>
        <v>800172</v>
      </c>
      <c r="F260" s="43" t="n">
        <f aca="false">Sales_Budget!G249</f>
        <v>490428</v>
      </c>
      <c r="G260" s="42" t="n">
        <f aca="false">VALUE(LEFT(A260,4))</f>
        <v>2026</v>
      </c>
      <c r="H260" s="42" t="n">
        <f aca="false">IF(COUNTIFS(Calc_Actuals!$F$2:$F$865,B260,Calc_Actuals!$H$2:$H$865,C260,Calc_Actuals!$C$2:$C$865,"Actual")&gt;0,1,0)</f>
        <v>1</v>
      </c>
      <c r="I260" s="42" t="str">
        <f aca="false">IFERROR(INDEX(Calendar!$E$2:$E$25,MATCH(A260,Calendar!$A$2:$A$25,0)),"UNMATCHED")</f>
        <v>Actual</v>
      </c>
      <c r="J260" s="43" t="n">
        <f aca="false">D260*$B$7</f>
        <v>327924.453045551</v>
      </c>
      <c r="K260" s="43" t="n">
        <f aca="false">E260*$B$7</f>
        <v>203313.160888241</v>
      </c>
      <c r="L260" s="43" t="n">
        <f aca="false">F260*$B$7</f>
        <v>124611.292157309</v>
      </c>
      <c r="M260" s="43" t="n">
        <f aca="false">IF(I260="Actual",SUMIFS(Calc_Actuals!$N$2:$N$865,Calc_Actuals!$J$2:$J$865,G260,Calc_Actuals!$K$2:$K$865,O260,Calc_Actuals!$F$2:$F$865,B260,Calc_Actuals!$H$2:$H$865,C260,Calc_Actuals!$C$2:$C$865,"Actual"),0)</f>
        <v>304199.96</v>
      </c>
      <c r="N260" s="43" t="n">
        <f aca="false">IF(I260="Actual",SUMIFS(Calc_Actuals!$P$2:$P$865,Calc_Actuals!$J$2:$J$865,G260,Calc_Actuals!$K$2:$K$865,O260,Calc_Actuals!$F$2:$F$865,B260,Calc_Actuals!$H$2:$H$865,C260,Calc_Actuals!$C$2:$C$865,"Actual"),0)</f>
        <v>105570.14</v>
      </c>
      <c r="O260" s="42" t="n">
        <f aca="false">VALUE(RIGHT(A260,2))</f>
        <v>9</v>
      </c>
      <c r="P260" s="42" t="str">
        <f aca="false">A260&amp;"|"&amp;B260&amp;"|"&amp;C260</f>
        <v>2026-09|West|Personal Care</v>
      </c>
    </row>
    <row r="261" customFormat="false" ht="15" hidden="false" customHeight="false" outlineLevel="0" collapsed="false">
      <c r="A261" s="42" t="str">
        <f aca="false">Sales_Budget!A250</f>
        <v>2026-09</v>
      </c>
      <c r="B261" s="42" t="str">
        <f aca="false">Sales_Budget!B250</f>
        <v>West</v>
      </c>
      <c r="C261" s="42" t="str">
        <f aca="false">Sales_Budget!C250</f>
        <v>Foods</v>
      </c>
      <c r="D261" s="43" t="n">
        <f aca="false">Sales_Budget!E250</f>
        <v>1371600</v>
      </c>
      <c r="E261" s="43" t="n">
        <f aca="false">Sales_Budget!F250</f>
        <v>850392</v>
      </c>
      <c r="F261" s="43" t="n">
        <f aca="false">Sales_Budget!G250</f>
        <v>521208</v>
      </c>
      <c r="G261" s="42" t="n">
        <f aca="false">VALUE(LEFT(A261,4))</f>
        <v>2026</v>
      </c>
      <c r="H261" s="42" t="n">
        <f aca="false">IF(COUNTIFS(Calc_Actuals!$F$2:$F$865,B261,Calc_Actuals!$H$2:$H$865,C261,Calc_Actuals!$C$2:$C$865,"Actual")&gt;0,1,0)</f>
        <v>0</v>
      </c>
      <c r="I261" s="42" t="str">
        <f aca="false">IFERROR(INDEX(Calendar!$E$2:$E$25,MATCH(A261,Calendar!$A$2:$A$25,0)),"UNMATCHED")</f>
        <v>Actual</v>
      </c>
      <c r="J261" s="43" t="n">
        <f aca="false">D261*$B$7</f>
        <v>348505.485663472</v>
      </c>
      <c r="K261" s="43" t="n">
        <f aca="false">E261*$B$7</f>
        <v>216073.401111353</v>
      </c>
      <c r="L261" s="43" t="n">
        <f aca="false">F261*$B$7</f>
        <v>132432.08455212</v>
      </c>
      <c r="M261" s="43" t="n">
        <f aca="false">IF(I261="Actual",SUMIFS(Calc_Actuals!$N$2:$N$865,Calc_Actuals!$J$2:$J$865,G261,Calc_Actuals!$K$2:$K$865,O261,Calc_Actuals!$F$2:$F$865,B261,Calc_Actuals!$H$2:$H$865,C261,Calc_Actuals!$C$2:$C$865,"Actual"),0)</f>
        <v>0</v>
      </c>
      <c r="N261" s="43" t="n">
        <f aca="false">IF(I261="Actual",SUMIFS(Calc_Actuals!$P$2:$P$865,Calc_Actuals!$J$2:$J$865,G261,Calc_Actuals!$K$2:$K$865,O261,Calc_Actuals!$F$2:$F$865,B261,Calc_Actuals!$H$2:$H$865,C261,Calc_Actuals!$C$2:$C$865,"Actual"),0)</f>
        <v>0</v>
      </c>
      <c r="O261" s="42" t="n">
        <f aca="false">VALUE(RIGHT(A261,2))</f>
        <v>9</v>
      </c>
      <c r="P261" s="42" t="str">
        <f aca="false">A261&amp;"|"&amp;B261&amp;"|"&amp;C261</f>
        <v>2026-09|West|Foods</v>
      </c>
    </row>
    <row r="262" customFormat="false" ht="15" hidden="false" customHeight="false" outlineLevel="0" collapsed="false">
      <c r="A262" s="42" t="str">
        <f aca="false">Sales_Budget!A251</f>
        <v>2026-09</v>
      </c>
      <c r="B262" s="42" t="str">
        <f aca="false">Sales_Budget!B251</f>
        <v>East</v>
      </c>
      <c r="C262" s="42" t="str">
        <f aca="false">Sales_Budget!C251</f>
        <v>Home Care</v>
      </c>
      <c r="D262" s="43" t="n">
        <f aca="false">Sales_Budget!E251</f>
        <v>1301400</v>
      </c>
      <c r="E262" s="43" t="n">
        <f aca="false">Sales_Budget!F251</f>
        <v>806868</v>
      </c>
      <c r="F262" s="43" t="n">
        <f aca="false">Sales_Budget!G251</f>
        <v>494532</v>
      </c>
      <c r="G262" s="42" t="n">
        <f aca="false">VALUE(LEFT(A262,4))</f>
        <v>2026</v>
      </c>
      <c r="H262" s="42" t="n">
        <f aca="false">IF(COUNTIFS(Calc_Actuals!$F$2:$F$865,B262,Calc_Actuals!$H$2:$H$865,C262,Calc_Actuals!$C$2:$C$865,"Actual")&gt;0,1,0)</f>
        <v>1</v>
      </c>
      <c r="I262" s="42" t="str">
        <f aca="false">IFERROR(INDEX(Calendar!$E$2:$E$25,MATCH(A262,Calendar!$A$2:$A$25,0)),"UNMATCHED")</f>
        <v>Actual</v>
      </c>
      <c r="J262" s="43" t="n">
        <f aca="false">D262*$B$7</f>
        <v>330668.59072794</v>
      </c>
      <c r="K262" s="43" t="n">
        <f aca="false">E262*$B$7</f>
        <v>205014.526251323</v>
      </c>
      <c r="L262" s="43" t="n">
        <f aca="false">F262*$B$7</f>
        <v>125654.064476617</v>
      </c>
      <c r="M262" s="43" t="n">
        <f aca="false">IF(I262="Actual",SUMIFS(Calc_Actuals!$N$2:$N$865,Calc_Actuals!$J$2:$J$865,G262,Calc_Actuals!$K$2:$K$865,O262,Calc_Actuals!$F$2:$F$865,B262,Calc_Actuals!$H$2:$H$865,C262,Calc_Actuals!$C$2:$C$865,"Actual"),0)</f>
        <v>213746.51</v>
      </c>
      <c r="N262" s="43" t="n">
        <f aca="false">IF(I262="Actual",SUMIFS(Calc_Actuals!$P$2:$P$865,Calc_Actuals!$J$2:$J$865,G262,Calc_Actuals!$K$2:$K$865,O262,Calc_Actuals!$F$2:$F$865,B262,Calc_Actuals!$H$2:$H$865,C262,Calc_Actuals!$C$2:$C$865,"Actual"),0)</f>
        <v>84716.6</v>
      </c>
      <c r="O262" s="42" t="n">
        <f aca="false">VALUE(RIGHT(A262,2))</f>
        <v>9</v>
      </c>
      <c r="P262" s="42" t="str">
        <f aca="false">A262&amp;"|"&amp;B262&amp;"|"&amp;C262</f>
        <v>2026-09|East|Home Care</v>
      </c>
    </row>
    <row r="263" customFormat="false" ht="15" hidden="false" customHeight="false" outlineLevel="0" collapsed="false">
      <c r="A263" s="42" t="str">
        <f aca="false">Sales_Budget!A252</f>
        <v>2026-09</v>
      </c>
      <c r="B263" s="42" t="str">
        <f aca="false">Sales_Budget!B252</f>
        <v>East</v>
      </c>
      <c r="C263" s="42" t="str">
        <f aca="false">Sales_Budget!C252</f>
        <v>Personal Care</v>
      </c>
      <c r="D263" s="43" t="n">
        <f aca="false">Sales_Budget!E252</f>
        <v>1382400</v>
      </c>
      <c r="E263" s="43" t="n">
        <f aca="false">Sales_Budget!F252</f>
        <v>857088</v>
      </c>
      <c r="F263" s="43" t="n">
        <f aca="false">Sales_Budget!G252</f>
        <v>525312</v>
      </c>
      <c r="G263" s="42" t="n">
        <f aca="false">VALUE(LEFT(A263,4))</f>
        <v>2026</v>
      </c>
      <c r="H263" s="42" t="n">
        <f aca="false">IF(COUNTIFS(Calc_Actuals!$F$2:$F$865,B263,Calc_Actuals!$H$2:$H$865,C263,Calc_Actuals!$C$2:$C$865,"Actual")&gt;0,1,0)</f>
        <v>0</v>
      </c>
      <c r="I263" s="42" t="str">
        <f aca="false">IFERROR(INDEX(Calendar!$E$2:$E$25,MATCH(A263,Calendar!$A$2:$A$25,0)),"UNMATCHED")</f>
        <v>Actual</v>
      </c>
      <c r="J263" s="43" t="n">
        <f aca="false">D263*$B$7</f>
        <v>351249.623345862</v>
      </c>
      <c r="K263" s="43" t="n">
        <f aca="false">E263*$B$7</f>
        <v>217774.766474434</v>
      </c>
      <c r="L263" s="43" t="n">
        <f aca="false">F263*$B$7</f>
        <v>133474.856871428</v>
      </c>
      <c r="M263" s="43" t="n">
        <f aca="false">IF(I263="Actual",SUMIFS(Calc_Actuals!$N$2:$N$865,Calc_Actuals!$J$2:$J$865,G263,Calc_Actuals!$K$2:$K$865,O263,Calc_Actuals!$F$2:$F$865,B263,Calc_Actuals!$H$2:$H$865,C263,Calc_Actuals!$C$2:$C$865,"Actual"),0)</f>
        <v>0</v>
      </c>
      <c r="N263" s="43" t="n">
        <f aca="false">IF(I263="Actual",SUMIFS(Calc_Actuals!$P$2:$P$865,Calc_Actuals!$J$2:$J$865,G263,Calc_Actuals!$K$2:$K$865,O263,Calc_Actuals!$F$2:$F$865,B263,Calc_Actuals!$H$2:$H$865,C263,Calc_Actuals!$C$2:$C$865,"Actual"),0)</f>
        <v>0</v>
      </c>
      <c r="O263" s="42" t="n">
        <f aca="false">VALUE(RIGHT(A263,2))</f>
        <v>9</v>
      </c>
      <c r="P263" s="42" t="str">
        <f aca="false">A263&amp;"|"&amp;B263&amp;"|"&amp;C263</f>
        <v>2026-09|East|Personal Care</v>
      </c>
    </row>
    <row r="264" customFormat="false" ht="15" hidden="false" customHeight="false" outlineLevel="0" collapsed="false">
      <c r="A264" s="42" t="str">
        <f aca="false">Sales_Budget!A253</f>
        <v>2026-09</v>
      </c>
      <c r="B264" s="42" t="str">
        <f aca="false">Sales_Budget!B253</f>
        <v>East</v>
      </c>
      <c r="C264" s="42" t="str">
        <f aca="false">Sales_Budget!C253</f>
        <v>Foods</v>
      </c>
      <c r="D264" s="43" t="n">
        <f aca="false">Sales_Budget!E253</f>
        <v>1463400</v>
      </c>
      <c r="E264" s="43" t="n">
        <f aca="false">Sales_Budget!F253</f>
        <v>907308</v>
      </c>
      <c r="F264" s="43" t="n">
        <f aca="false">Sales_Budget!G253</f>
        <v>556092</v>
      </c>
      <c r="G264" s="42" t="n">
        <f aca="false">VALUE(LEFT(A264,4))</f>
        <v>2026</v>
      </c>
      <c r="H264" s="42" t="n">
        <f aca="false">IF(COUNTIFS(Calc_Actuals!$F$2:$F$865,B264,Calc_Actuals!$H$2:$H$865,C264,Calc_Actuals!$C$2:$C$865,"Actual")&gt;0,1,0)</f>
        <v>1</v>
      </c>
      <c r="I264" s="42" t="str">
        <f aca="false">IFERROR(INDEX(Calendar!$E$2:$E$25,MATCH(A264,Calendar!$A$2:$A$25,0)),"UNMATCHED")</f>
        <v>Actual</v>
      </c>
      <c r="J264" s="43" t="n">
        <f aca="false">D264*$B$7</f>
        <v>371830.655963783</v>
      </c>
      <c r="K264" s="43" t="n">
        <f aca="false">E264*$B$7</f>
        <v>230535.006697546</v>
      </c>
      <c r="L264" s="43" t="n">
        <f aca="false">F264*$B$7</f>
        <v>141295.649266238</v>
      </c>
      <c r="M264" s="43" t="n">
        <f aca="false">IF(I264="Actual",SUMIFS(Calc_Actuals!$N$2:$N$865,Calc_Actuals!$J$2:$J$865,G264,Calc_Actuals!$K$2:$K$865,O264,Calc_Actuals!$F$2:$F$865,B264,Calc_Actuals!$H$2:$H$865,C264,Calc_Actuals!$C$2:$C$865,"Actual"),0)</f>
        <v>285131.21</v>
      </c>
      <c r="N264" s="43" t="n">
        <f aca="false">IF(I264="Actual",SUMIFS(Calc_Actuals!$P$2:$P$865,Calc_Actuals!$J$2:$J$865,G264,Calc_Actuals!$K$2:$K$865,O264,Calc_Actuals!$F$2:$F$865,B264,Calc_Actuals!$H$2:$H$865,C264,Calc_Actuals!$C$2:$C$865,"Actual"),0)</f>
        <v>102746.31</v>
      </c>
      <c r="O264" s="42" t="n">
        <f aca="false">VALUE(RIGHT(A264,2))</f>
        <v>9</v>
      </c>
      <c r="P264" s="42" t="str">
        <f aca="false">A264&amp;"|"&amp;B264&amp;"|"&amp;C264</f>
        <v>2026-09|East|Foods</v>
      </c>
    </row>
    <row r="265" customFormat="false" ht="15" hidden="false" customHeight="false" outlineLevel="0" collapsed="false">
      <c r="A265" s="42" t="str">
        <f aca="false">Sales_Budget!A254</f>
        <v>2026-10</v>
      </c>
      <c r="B265" s="42" t="str">
        <f aca="false">Sales_Budget!B254</f>
        <v>South</v>
      </c>
      <c r="C265" s="42" t="str">
        <f aca="false">Sales_Budget!C254</f>
        <v>Home Care</v>
      </c>
      <c r="D265" s="43" t="n">
        <f aca="false">Sales_Budget!E254</f>
        <v>1026000</v>
      </c>
      <c r="E265" s="43" t="n">
        <f aca="false">Sales_Budget!F254</f>
        <v>636120</v>
      </c>
      <c r="F265" s="43" t="n">
        <f aca="false">Sales_Budget!G254</f>
        <v>389880</v>
      </c>
      <c r="G265" s="42" t="n">
        <f aca="false">VALUE(LEFT(A265,4))</f>
        <v>2026</v>
      </c>
      <c r="H265" s="42" t="n">
        <f aca="false">IF(COUNTIFS(Calc_Actuals!$F$2:$F$865,B265,Calc_Actuals!$H$2:$H$865,C265,Calc_Actuals!$C$2:$C$865,"Actual")&gt;0,1,0)</f>
        <v>1</v>
      </c>
      <c r="I265" s="42" t="str">
        <f aca="false">IFERROR(INDEX(Calendar!$E$2:$E$25,MATCH(A265,Calendar!$A$2:$A$25,0)),"UNMATCHED")</f>
        <v>Forecast</v>
      </c>
      <c r="J265" s="43" t="n">
        <f aca="false">D265*$B$7</f>
        <v>260693.079827007</v>
      </c>
      <c r="K265" s="43" t="n">
        <f aca="false">E265*$B$7</f>
        <v>161629.709492744</v>
      </c>
      <c r="L265" s="43" t="n">
        <f aca="false">F265*$B$7</f>
        <v>99063.3703342626</v>
      </c>
      <c r="M265" s="43" t="n">
        <f aca="false">IF(I265="Actual",SUMIFS(Calc_Actuals!$N$2:$N$865,Calc_Actuals!$J$2:$J$865,G265,Calc_Actuals!$K$2:$K$865,O265,Calc_Actuals!$F$2:$F$865,B265,Calc_Actuals!$H$2:$H$865,C265,Calc_Actuals!$C$2:$C$865,"Actual"),0)</f>
        <v>0</v>
      </c>
      <c r="N265" s="43" t="n">
        <f aca="false">IF(I265="Actual",SUMIFS(Calc_Actuals!$P$2:$P$865,Calc_Actuals!$J$2:$J$865,G265,Calc_Actuals!$K$2:$K$865,O265,Calc_Actuals!$F$2:$F$865,B265,Calc_Actuals!$H$2:$H$865,C265,Calc_Actuals!$C$2:$C$865,"Actual"),0)</f>
        <v>0</v>
      </c>
      <c r="O265" s="42" t="n">
        <f aca="false">VALUE(RIGHT(A265,2))</f>
        <v>10</v>
      </c>
      <c r="P265" s="42" t="str">
        <f aca="false">A265&amp;"|"&amp;B265&amp;"|"&amp;C265</f>
        <v>2026-10|South|Home Care</v>
      </c>
    </row>
    <row r="266" customFormat="false" ht="15" hidden="false" customHeight="false" outlineLevel="0" collapsed="false">
      <c r="A266" s="42" t="str">
        <f aca="false">Sales_Budget!A255</f>
        <v>2026-10</v>
      </c>
      <c r="B266" s="42" t="str">
        <f aca="false">Sales_Budget!B255</f>
        <v>South</v>
      </c>
      <c r="C266" s="42" t="str">
        <f aca="false">Sales_Budget!C255</f>
        <v>Personal Care</v>
      </c>
      <c r="D266" s="43" t="n">
        <f aca="false">Sales_Budget!E255</f>
        <v>1107000</v>
      </c>
      <c r="E266" s="43" t="n">
        <f aca="false">Sales_Budget!F255</f>
        <v>686340</v>
      </c>
      <c r="F266" s="43" t="n">
        <f aca="false">Sales_Budget!G255</f>
        <v>420660</v>
      </c>
      <c r="G266" s="42" t="n">
        <f aca="false">VALUE(LEFT(A266,4))</f>
        <v>2026</v>
      </c>
      <c r="H266" s="42" t="n">
        <f aca="false">IF(COUNTIFS(Calc_Actuals!$F$2:$F$865,B266,Calc_Actuals!$H$2:$H$865,C266,Calc_Actuals!$C$2:$C$865,"Actual")&gt;0,1,0)</f>
        <v>0</v>
      </c>
      <c r="I266" s="42" t="str">
        <f aca="false">IFERROR(INDEX(Calendar!$E$2:$E$25,MATCH(A266,Calendar!$A$2:$A$25,0)),"UNMATCHED")</f>
        <v>Forecast</v>
      </c>
      <c r="J266" s="43" t="n">
        <f aca="false">D266*$B$7</f>
        <v>281274.112444928</v>
      </c>
      <c r="K266" s="43" t="n">
        <f aca="false">E266*$B$7</f>
        <v>174389.949715856</v>
      </c>
      <c r="L266" s="43" t="n">
        <f aca="false">F266*$B$7</f>
        <v>106884.162729073</v>
      </c>
      <c r="M266" s="43" t="n">
        <f aca="false">IF(I266="Actual",SUMIFS(Calc_Actuals!$N$2:$N$865,Calc_Actuals!$J$2:$J$865,G266,Calc_Actuals!$K$2:$K$865,O266,Calc_Actuals!$F$2:$F$865,B266,Calc_Actuals!$H$2:$H$865,C266,Calc_Actuals!$C$2:$C$865,"Actual"),0)</f>
        <v>0</v>
      </c>
      <c r="N266" s="43" t="n">
        <f aca="false">IF(I266="Actual",SUMIFS(Calc_Actuals!$P$2:$P$865,Calc_Actuals!$J$2:$J$865,G266,Calc_Actuals!$K$2:$K$865,O266,Calc_Actuals!$F$2:$F$865,B266,Calc_Actuals!$H$2:$H$865,C266,Calc_Actuals!$C$2:$C$865,"Actual"),0)</f>
        <v>0</v>
      </c>
      <c r="O266" s="42" t="n">
        <f aca="false">VALUE(RIGHT(A266,2))</f>
        <v>10</v>
      </c>
      <c r="P266" s="42" t="str">
        <f aca="false">A266&amp;"|"&amp;B266&amp;"|"&amp;C266</f>
        <v>2026-10|South|Personal Care</v>
      </c>
    </row>
    <row r="267" customFormat="false" ht="15" hidden="false" customHeight="false" outlineLevel="0" collapsed="false">
      <c r="A267" s="42" t="str">
        <f aca="false">Sales_Budget!A256</f>
        <v>2026-10</v>
      </c>
      <c r="B267" s="42" t="str">
        <f aca="false">Sales_Budget!B256</f>
        <v>South</v>
      </c>
      <c r="C267" s="42" t="str">
        <f aca="false">Sales_Budget!C256</f>
        <v>Foods</v>
      </c>
      <c r="D267" s="43" t="n">
        <f aca="false">Sales_Budget!E256</f>
        <v>1188000</v>
      </c>
      <c r="E267" s="43" t="n">
        <f aca="false">Sales_Budget!F256</f>
        <v>736560</v>
      </c>
      <c r="F267" s="43" t="n">
        <f aca="false">Sales_Budget!G256</f>
        <v>451440</v>
      </c>
      <c r="G267" s="42" t="n">
        <f aca="false">VALUE(LEFT(A267,4))</f>
        <v>2026</v>
      </c>
      <c r="H267" s="42" t="n">
        <f aca="false">IF(COUNTIFS(Calc_Actuals!$F$2:$F$865,B267,Calc_Actuals!$H$2:$H$865,C267,Calc_Actuals!$C$2:$C$865,"Actual")&gt;0,1,0)</f>
        <v>1</v>
      </c>
      <c r="I267" s="42" t="str">
        <f aca="false">IFERROR(INDEX(Calendar!$E$2:$E$25,MATCH(A267,Calendar!$A$2:$A$25,0)),"UNMATCHED")</f>
        <v>Forecast</v>
      </c>
      <c r="J267" s="43" t="n">
        <f aca="false">D267*$B$7</f>
        <v>301855.14506285</v>
      </c>
      <c r="K267" s="43" t="n">
        <f aca="false">E267*$B$7</f>
        <v>187150.189938967</v>
      </c>
      <c r="L267" s="43" t="n">
        <f aca="false">F267*$B$7</f>
        <v>114704.955123883</v>
      </c>
      <c r="M267" s="43" t="n">
        <f aca="false">IF(I267="Actual",SUMIFS(Calc_Actuals!$N$2:$N$865,Calc_Actuals!$J$2:$J$865,G267,Calc_Actuals!$K$2:$K$865,O267,Calc_Actuals!$F$2:$F$865,B267,Calc_Actuals!$H$2:$H$865,C267,Calc_Actuals!$C$2:$C$865,"Actual"),0)</f>
        <v>0</v>
      </c>
      <c r="N267" s="43" t="n">
        <f aca="false">IF(I267="Actual",SUMIFS(Calc_Actuals!$P$2:$P$865,Calc_Actuals!$J$2:$J$865,G267,Calc_Actuals!$K$2:$K$865,O267,Calc_Actuals!$F$2:$F$865,B267,Calc_Actuals!$H$2:$H$865,C267,Calc_Actuals!$C$2:$C$865,"Actual"),0)</f>
        <v>0</v>
      </c>
      <c r="O267" s="42" t="n">
        <f aca="false">VALUE(RIGHT(A267,2))</f>
        <v>10</v>
      </c>
      <c r="P267" s="42" t="str">
        <f aca="false">A267&amp;"|"&amp;B267&amp;"|"&amp;C267</f>
        <v>2026-10|South|Foods</v>
      </c>
    </row>
    <row r="268" customFormat="false" ht="15" hidden="false" customHeight="false" outlineLevel="0" collapsed="false">
      <c r="A268" s="42" t="str">
        <f aca="false">Sales_Budget!A257</f>
        <v>2026-10</v>
      </c>
      <c r="B268" s="42" t="str">
        <f aca="false">Sales_Budget!B257</f>
        <v>North</v>
      </c>
      <c r="C268" s="42" t="str">
        <f aca="false">Sales_Budget!C257</f>
        <v>Home Care</v>
      </c>
      <c r="D268" s="43" t="n">
        <f aca="false">Sales_Budget!E257</f>
        <v>1117800</v>
      </c>
      <c r="E268" s="43" t="n">
        <f aca="false">Sales_Budget!F257</f>
        <v>693036</v>
      </c>
      <c r="F268" s="43" t="n">
        <f aca="false">Sales_Budget!G257</f>
        <v>424764</v>
      </c>
      <c r="G268" s="42" t="n">
        <f aca="false">VALUE(LEFT(A268,4))</f>
        <v>2026</v>
      </c>
      <c r="H268" s="42" t="n">
        <f aca="false">IF(COUNTIFS(Calc_Actuals!$F$2:$F$865,B268,Calc_Actuals!$H$2:$H$865,C268,Calc_Actuals!$C$2:$C$865,"Actual")&gt;0,1,0)</f>
        <v>0</v>
      </c>
      <c r="I268" s="42" t="str">
        <f aca="false">IFERROR(INDEX(Calendar!$E$2:$E$25,MATCH(A268,Calendar!$A$2:$A$25,0)),"UNMATCHED")</f>
        <v>Forecast</v>
      </c>
      <c r="J268" s="43" t="n">
        <f aca="false">D268*$B$7</f>
        <v>284018.250127318</v>
      </c>
      <c r="K268" s="43" t="n">
        <f aca="false">E268*$B$7</f>
        <v>176091.315078937</v>
      </c>
      <c r="L268" s="43" t="n">
        <f aca="false">F268*$B$7</f>
        <v>107926.935048381</v>
      </c>
      <c r="M268" s="43" t="n">
        <f aca="false">IF(I268="Actual",SUMIFS(Calc_Actuals!$N$2:$N$865,Calc_Actuals!$J$2:$J$865,G268,Calc_Actuals!$K$2:$K$865,O268,Calc_Actuals!$F$2:$F$865,B268,Calc_Actuals!$H$2:$H$865,C268,Calc_Actuals!$C$2:$C$865,"Actual"),0)</f>
        <v>0</v>
      </c>
      <c r="N268" s="43" t="n">
        <f aca="false">IF(I268="Actual",SUMIFS(Calc_Actuals!$P$2:$P$865,Calc_Actuals!$J$2:$J$865,G268,Calc_Actuals!$K$2:$K$865,O268,Calc_Actuals!$F$2:$F$865,B268,Calc_Actuals!$H$2:$H$865,C268,Calc_Actuals!$C$2:$C$865,"Actual"),0)</f>
        <v>0</v>
      </c>
      <c r="O268" s="42" t="n">
        <f aca="false">VALUE(RIGHT(A268,2))</f>
        <v>10</v>
      </c>
      <c r="P268" s="42" t="str">
        <f aca="false">A268&amp;"|"&amp;B268&amp;"|"&amp;C268</f>
        <v>2026-10|North|Home Care</v>
      </c>
    </row>
    <row r="269" customFormat="false" ht="15" hidden="false" customHeight="false" outlineLevel="0" collapsed="false">
      <c r="A269" s="42" t="str">
        <f aca="false">Sales_Budget!A258</f>
        <v>2026-10</v>
      </c>
      <c r="B269" s="42" t="str">
        <f aca="false">Sales_Budget!B258</f>
        <v>North</v>
      </c>
      <c r="C269" s="42" t="str">
        <f aca="false">Sales_Budget!C258</f>
        <v>Personal Care</v>
      </c>
      <c r="D269" s="43" t="n">
        <f aca="false">Sales_Budget!E258</f>
        <v>1198800</v>
      </c>
      <c r="E269" s="43" t="n">
        <f aca="false">Sales_Budget!F258</f>
        <v>743256</v>
      </c>
      <c r="F269" s="43" t="n">
        <f aca="false">Sales_Budget!G258</f>
        <v>455544</v>
      </c>
      <c r="G269" s="42" t="n">
        <f aca="false">VALUE(LEFT(A269,4))</f>
        <v>2026</v>
      </c>
      <c r="H269" s="42" t="n">
        <f aca="false">IF(COUNTIFS(Calc_Actuals!$F$2:$F$865,B269,Calc_Actuals!$H$2:$H$865,C269,Calc_Actuals!$C$2:$C$865,"Actual")&gt;0,1,0)</f>
        <v>1</v>
      </c>
      <c r="I269" s="42" t="str">
        <f aca="false">IFERROR(INDEX(Calendar!$E$2:$E$25,MATCH(A269,Calendar!$A$2:$A$25,0)),"UNMATCHED")</f>
        <v>Forecast</v>
      </c>
      <c r="J269" s="43" t="n">
        <f aca="false">D269*$B$7</f>
        <v>304599.28274524</v>
      </c>
      <c r="K269" s="43" t="n">
        <f aca="false">E269*$B$7</f>
        <v>188851.555302049</v>
      </c>
      <c r="L269" s="43" t="n">
        <f aca="false">F269*$B$7</f>
        <v>115747.727443191</v>
      </c>
      <c r="M269" s="43" t="n">
        <f aca="false">IF(I269="Actual",SUMIFS(Calc_Actuals!$N$2:$N$865,Calc_Actuals!$J$2:$J$865,G269,Calc_Actuals!$K$2:$K$865,O269,Calc_Actuals!$F$2:$F$865,B269,Calc_Actuals!$H$2:$H$865,C269,Calc_Actuals!$C$2:$C$865,"Actual"),0)</f>
        <v>0</v>
      </c>
      <c r="N269" s="43" t="n">
        <f aca="false">IF(I269="Actual",SUMIFS(Calc_Actuals!$P$2:$P$865,Calc_Actuals!$J$2:$J$865,G269,Calc_Actuals!$K$2:$K$865,O269,Calc_Actuals!$F$2:$F$865,B269,Calc_Actuals!$H$2:$H$865,C269,Calc_Actuals!$C$2:$C$865,"Actual"),0)</f>
        <v>0</v>
      </c>
      <c r="O269" s="42" t="n">
        <f aca="false">VALUE(RIGHT(A269,2))</f>
        <v>10</v>
      </c>
      <c r="P269" s="42" t="str">
        <f aca="false">A269&amp;"|"&amp;B269&amp;"|"&amp;C269</f>
        <v>2026-10|North|Personal Care</v>
      </c>
    </row>
    <row r="270" customFormat="false" ht="15" hidden="false" customHeight="false" outlineLevel="0" collapsed="false">
      <c r="A270" s="42" t="str">
        <f aca="false">Sales_Budget!A259</f>
        <v>2026-10</v>
      </c>
      <c r="B270" s="42" t="str">
        <f aca="false">Sales_Budget!B259</f>
        <v>North</v>
      </c>
      <c r="C270" s="42" t="str">
        <f aca="false">Sales_Budget!C259</f>
        <v>Foods</v>
      </c>
      <c r="D270" s="43" t="n">
        <f aca="false">Sales_Budget!E259</f>
        <v>1279800</v>
      </c>
      <c r="E270" s="43" t="n">
        <f aca="false">Sales_Budget!F259</f>
        <v>793476</v>
      </c>
      <c r="F270" s="43" t="n">
        <f aca="false">Sales_Budget!G259</f>
        <v>486324</v>
      </c>
      <c r="G270" s="42" t="n">
        <f aca="false">VALUE(LEFT(A270,4))</f>
        <v>2026</v>
      </c>
      <c r="H270" s="42" t="n">
        <f aca="false">IF(COUNTIFS(Calc_Actuals!$F$2:$F$865,B270,Calc_Actuals!$H$2:$H$865,C270,Calc_Actuals!$C$2:$C$865,"Actual")&gt;0,1,0)</f>
        <v>0</v>
      </c>
      <c r="I270" s="42" t="str">
        <f aca="false">IFERROR(INDEX(Calendar!$E$2:$E$25,MATCH(A270,Calendar!$A$2:$A$25,0)),"UNMATCHED")</f>
        <v>Forecast</v>
      </c>
      <c r="J270" s="43" t="n">
        <f aca="false">D270*$B$7</f>
        <v>325180.315363161</v>
      </c>
      <c r="K270" s="43" t="n">
        <f aca="false">E270*$B$7</f>
        <v>201611.79552516</v>
      </c>
      <c r="L270" s="43" t="n">
        <f aca="false">F270*$B$7</f>
        <v>123568.519838001</v>
      </c>
      <c r="M270" s="43" t="n">
        <f aca="false">IF(I270="Actual",SUMIFS(Calc_Actuals!$N$2:$N$865,Calc_Actuals!$J$2:$J$865,G270,Calc_Actuals!$K$2:$K$865,O270,Calc_Actuals!$F$2:$F$865,B270,Calc_Actuals!$H$2:$H$865,C270,Calc_Actuals!$C$2:$C$865,"Actual"),0)</f>
        <v>0</v>
      </c>
      <c r="N270" s="43" t="n">
        <f aca="false">IF(I270="Actual",SUMIFS(Calc_Actuals!$P$2:$P$865,Calc_Actuals!$J$2:$J$865,G270,Calc_Actuals!$K$2:$K$865,O270,Calc_Actuals!$F$2:$F$865,B270,Calc_Actuals!$H$2:$H$865,C270,Calc_Actuals!$C$2:$C$865,"Actual"),0)</f>
        <v>0</v>
      </c>
      <c r="O270" s="42" t="n">
        <f aca="false">VALUE(RIGHT(A270,2))</f>
        <v>10</v>
      </c>
      <c r="P270" s="42" t="str">
        <f aca="false">A270&amp;"|"&amp;B270&amp;"|"&amp;C270</f>
        <v>2026-10|North|Foods</v>
      </c>
    </row>
    <row r="271" customFormat="false" ht="15" hidden="false" customHeight="false" outlineLevel="0" collapsed="false">
      <c r="A271" s="42" t="str">
        <f aca="false">Sales_Budget!A260</f>
        <v>2026-10</v>
      </c>
      <c r="B271" s="42" t="str">
        <f aca="false">Sales_Budget!B260</f>
        <v>West</v>
      </c>
      <c r="C271" s="42" t="str">
        <f aca="false">Sales_Budget!C260</f>
        <v>Home Care</v>
      </c>
      <c r="D271" s="43" t="n">
        <f aca="false">Sales_Budget!E260</f>
        <v>1209600</v>
      </c>
      <c r="E271" s="43" t="n">
        <f aca="false">Sales_Budget!F260</f>
        <v>749952</v>
      </c>
      <c r="F271" s="43" t="n">
        <f aca="false">Sales_Budget!G260</f>
        <v>459648</v>
      </c>
      <c r="G271" s="42" t="n">
        <f aca="false">VALUE(LEFT(A271,4))</f>
        <v>2026</v>
      </c>
      <c r="H271" s="42" t="n">
        <f aca="false">IF(COUNTIFS(Calc_Actuals!$F$2:$F$865,B271,Calc_Actuals!$H$2:$H$865,C271,Calc_Actuals!$C$2:$C$865,"Actual")&gt;0,1,0)</f>
        <v>1</v>
      </c>
      <c r="I271" s="42" t="str">
        <f aca="false">IFERROR(INDEX(Calendar!$E$2:$E$25,MATCH(A271,Calendar!$A$2:$A$25,0)),"UNMATCHED")</f>
        <v>Forecast</v>
      </c>
      <c r="J271" s="43" t="n">
        <f aca="false">D271*$B$7</f>
        <v>307343.420427629</v>
      </c>
      <c r="K271" s="43" t="n">
        <f aca="false">E271*$B$7</f>
        <v>190552.92066513</v>
      </c>
      <c r="L271" s="43" t="n">
        <f aca="false">F271*$B$7</f>
        <v>116790.499762499</v>
      </c>
      <c r="M271" s="43" t="n">
        <f aca="false">IF(I271="Actual",SUMIFS(Calc_Actuals!$N$2:$N$865,Calc_Actuals!$J$2:$J$865,G271,Calc_Actuals!$K$2:$K$865,O271,Calc_Actuals!$F$2:$F$865,B271,Calc_Actuals!$H$2:$H$865,C271,Calc_Actuals!$C$2:$C$865,"Actual"),0)</f>
        <v>0</v>
      </c>
      <c r="N271" s="43" t="n">
        <f aca="false">IF(I271="Actual",SUMIFS(Calc_Actuals!$P$2:$P$865,Calc_Actuals!$J$2:$J$865,G271,Calc_Actuals!$K$2:$K$865,O271,Calc_Actuals!$F$2:$F$865,B271,Calc_Actuals!$H$2:$H$865,C271,Calc_Actuals!$C$2:$C$865,"Actual"),0)</f>
        <v>0</v>
      </c>
      <c r="O271" s="42" t="n">
        <f aca="false">VALUE(RIGHT(A271,2))</f>
        <v>10</v>
      </c>
      <c r="P271" s="42" t="str">
        <f aca="false">A271&amp;"|"&amp;B271&amp;"|"&amp;C271</f>
        <v>2026-10|West|Home Care</v>
      </c>
    </row>
    <row r="272" customFormat="false" ht="15" hidden="false" customHeight="false" outlineLevel="0" collapsed="false">
      <c r="A272" s="42" t="str">
        <f aca="false">Sales_Budget!A261</f>
        <v>2026-10</v>
      </c>
      <c r="B272" s="42" t="str">
        <f aca="false">Sales_Budget!B261</f>
        <v>West</v>
      </c>
      <c r="C272" s="42" t="str">
        <f aca="false">Sales_Budget!C261</f>
        <v>Personal Care</v>
      </c>
      <c r="D272" s="43" t="n">
        <f aca="false">Sales_Budget!E261</f>
        <v>1290600</v>
      </c>
      <c r="E272" s="43" t="n">
        <f aca="false">Sales_Budget!F261</f>
        <v>800172</v>
      </c>
      <c r="F272" s="43" t="n">
        <f aca="false">Sales_Budget!G261</f>
        <v>490428</v>
      </c>
      <c r="G272" s="42" t="n">
        <f aca="false">VALUE(LEFT(A272,4))</f>
        <v>2026</v>
      </c>
      <c r="H272" s="42" t="n">
        <f aca="false">IF(COUNTIFS(Calc_Actuals!$F$2:$F$865,B272,Calc_Actuals!$H$2:$H$865,C272,Calc_Actuals!$C$2:$C$865,"Actual")&gt;0,1,0)</f>
        <v>1</v>
      </c>
      <c r="I272" s="42" t="str">
        <f aca="false">IFERROR(INDEX(Calendar!$E$2:$E$25,MATCH(A272,Calendar!$A$2:$A$25,0)),"UNMATCHED")</f>
        <v>Forecast</v>
      </c>
      <c r="J272" s="43" t="n">
        <f aca="false">D272*$B$7</f>
        <v>327924.453045551</v>
      </c>
      <c r="K272" s="43" t="n">
        <f aca="false">E272*$B$7</f>
        <v>203313.160888241</v>
      </c>
      <c r="L272" s="43" t="n">
        <f aca="false">F272*$B$7</f>
        <v>124611.292157309</v>
      </c>
      <c r="M272" s="43" t="n">
        <f aca="false">IF(I272="Actual",SUMIFS(Calc_Actuals!$N$2:$N$865,Calc_Actuals!$J$2:$J$865,G272,Calc_Actuals!$K$2:$K$865,O272,Calc_Actuals!$F$2:$F$865,B272,Calc_Actuals!$H$2:$H$865,C272,Calc_Actuals!$C$2:$C$865,"Actual"),0)</f>
        <v>0</v>
      </c>
      <c r="N272" s="43" t="n">
        <f aca="false">IF(I272="Actual",SUMIFS(Calc_Actuals!$P$2:$P$865,Calc_Actuals!$J$2:$J$865,G272,Calc_Actuals!$K$2:$K$865,O272,Calc_Actuals!$F$2:$F$865,B272,Calc_Actuals!$H$2:$H$865,C272,Calc_Actuals!$C$2:$C$865,"Actual"),0)</f>
        <v>0</v>
      </c>
      <c r="O272" s="42" t="n">
        <f aca="false">VALUE(RIGHT(A272,2))</f>
        <v>10</v>
      </c>
      <c r="P272" s="42" t="str">
        <f aca="false">A272&amp;"|"&amp;B272&amp;"|"&amp;C272</f>
        <v>2026-10|West|Personal Care</v>
      </c>
    </row>
    <row r="273" customFormat="false" ht="15" hidden="false" customHeight="false" outlineLevel="0" collapsed="false">
      <c r="A273" s="42" t="str">
        <f aca="false">Sales_Budget!A262</f>
        <v>2026-10</v>
      </c>
      <c r="B273" s="42" t="str">
        <f aca="false">Sales_Budget!B262</f>
        <v>West</v>
      </c>
      <c r="C273" s="42" t="str">
        <f aca="false">Sales_Budget!C262</f>
        <v>Foods</v>
      </c>
      <c r="D273" s="43" t="n">
        <f aca="false">Sales_Budget!E262</f>
        <v>1371600</v>
      </c>
      <c r="E273" s="43" t="n">
        <f aca="false">Sales_Budget!F262</f>
        <v>850392</v>
      </c>
      <c r="F273" s="43" t="n">
        <f aca="false">Sales_Budget!G262</f>
        <v>521208</v>
      </c>
      <c r="G273" s="42" t="n">
        <f aca="false">VALUE(LEFT(A273,4))</f>
        <v>2026</v>
      </c>
      <c r="H273" s="42" t="n">
        <f aca="false">IF(COUNTIFS(Calc_Actuals!$F$2:$F$865,B273,Calc_Actuals!$H$2:$H$865,C273,Calc_Actuals!$C$2:$C$865,"Actual")&gt;0,1,0)</f>
        <v>0</v>
      </c>
      <c r="I273" s="42" t="str">
        <f aca="false">IFERROR(INDEX(Calendar!$E$2:$E$25,MATCH(A273,Calendar!$A$2:$A$25,0)),"UNMATCHED")</f>
        <v>Forecast</v>
      </c>
      <c r="J273" s="43" t="n">
        <f aca="false">D273*$B$7</f>
        <v>348505.485663472</v>
      </c>
      <c r="K273" s="43" t="n">
        <f aca="false">E273*$B$7</f>
        <v>216073.401111353</v>
      </c>
      <c r="L273" s="43" t="n">
        <f aca="false">F273*$B$7</f>
        <v>132432.08455212</v>
      </c>
      <c r="M273" s="43" t="n">
        <f aca="false">IF(I273="Actual",SUMIFS(Calc_Actuals!$N$2:$N$865,Calc_Actuals!$J$2:$J$865,G273,Calc_Actuals!$K$2:$K$865,O273,Calc_Actuals!$F$2:$F$865,B273,Calc_Actuals!$H$2:$H$865,C273,Calc_Actuals!$C$2:$C$865,"Actual"),0)</f>
        <v>0</v>
      </c>
      <c r="N273" s="43" t="n">
        <f aca="false">IF(I273="Actual",SUMIFS(Calc_Actuals!$P$2:$P$865,Calc_Actuals!$J$2:$J$865,G273,Calc_Actuals!$K$2:$K$865,O273,Calc_Actuals!$F$2:$F$865,B273,Calc_Actuals!$H$2:$H$865,C273,Calc_Actuals!$C$2:$C$865,"Actual"),0)</f>
        <v>0</v>
      </c>
      <c r="O273" s="42" t="n">
        <f aca="false">VALUE(RIGHT(A273,2))</f>
        <v>10</v>
      </c>
      <c r="P273" s="42" t="str">
        <f aca="false">A273&amp;"|"&amp;B273&amp;"|"&amp;C273</f>
        <v>2026-10|West|Foods</v>
      </c>
    </row>
    <row r="274" customFormat="false" ht="15" hidden="false" customHeight="false" outlineLevel="0" collapsed="false">
      <c r="A274" s="42" t="str">
        <f aca="false">Sales_Budget!A263</f>
        <v>2026-10</v>
      </c>
      <c r="B274" s="42" t="str">
        <f aca="false">Sales_Budget!B263</f>
        <v>East</v>
      </c>
      <c r="C274" s="42" t="str">
        <f aca="false">Sales_Budget!C263</f>
        <v>Home Care</v>
      </c>
      <c r="D274" s="43" t="n">
        <f aca="false">Sales_Budget!E263</f>
        <v>1301400</v>
      </c>
      <c r="E274" s="43" t="n">
        <f aca="false">Sales_Budget!F263</f>
        <v>806868</v>
      </c>
      <c r="F274" s="43" t="n">
        <f aca="false">Sales_Budget!G263</f>
        <v>494532</v>
      </c>
      <c r="G274" s="42" t="n">
        <f aca="false">VALUE(LEFT(A274,4))</f>
        <v>2026</v>
      </c>
      <c r="H274" s="42" t="n">
        <f aca="false">IF(COUNTIFS(Calc_Actuals!$F$2:$F$865,B274,Calc_Actuals!$H$2:$H$865,C274,Calc_Actuals!$C$2:$C$865,"Actual")&gt;0,1,0)</f>
        <v>1</v>
      </c>
      <c r="I274" s="42" t="str">
        <f aca="false">IFERROR(INDEX(Calendar!$E$2:$E$25,MATCH(A274,Calendar!$A$2:$A$25,0)),"UNMATCHED")</f>
        <v>Forecast</v>
      </c>
      <c r="J274" s="43" t="n">
        <f aca="false">D274*$B$7</f>
        <v>330668.59072794</v>
      </c>
      <c r="K274" s="43" t="n">
        <f aca="false">E274*$B$7</f>
        <v>205014.526251323</v>
      </c>
      <c r="L274" s="43" t="n">
        <f aca="false">F274*$B$7</f>
        <v>125654.064476617</v>
      </c>
      <c r="M274" s="43" t="n">
        <f aca="false">IF(I274="Actual",SUMIFS(Calc_Actuals!$N$2:$N$865,Calc_Actuals!$J$2:$J$865,G274,Calc_Actuals!$K$2:$K$865,O274,Calc_Actuals!$F$2:$F$865,B274,Calc_Actuals!$H$2:$H$865,C274,Calc_Actuals!$C$2:$C$865,"Actual"),0)</f>
        <v>0</v>
      </c>
      <c r="N274" s="43" t="n">
        <f aca="false">IF(I274="Actual",SUMIFS(Calc_Actuals!$P$2:$P$865,Calc_Actuals!$J$2:$J$865,G274,Calc_Actuals!$K$2:$K$865,O274,Calc_Actuals!$F$2:$F$865,B274,Calc_Actuals!$H$2:$H$865,C274,Calc_Actuals!$C$2:$C$865,"Actual"),0)</f>
        <v>0</v>
      </c>
      <c r="O274" s="42" t="n">
        <f aca="false">VALUE(RIGHT(A274,2))</f>
        <v>10</v>
      </c>
      <c r="P274" s="42" t="str">
        <f aca="false">A274&amp;"|"&amp;B274&amp;"|"&amp;C274</f>
        <v>2026-10|East|Home Care</v>
      </c>
    </row>
    <row r="275" customFormat="false" ht="15" hidden="false" customHeight="false" outlineLevel="0" collapsed="false">
      <c r="A275" s="42" t="str">
        <f aca="false">Sales_Budget!A264</f>
        <v>2026-10</v>
      </c>
      <c r="B275" s="42" t="str">
        <f aca="false">Sales_Budget!B264</f>
        <v>East</v>
      </c>
      <c r="C275" s="42" t="str">
        <f aca="false">Sales_Budget!C264</f>
        <v>Personal Care</v>
      </c>
      <c r="D275" s="43" t="n">
        <f aca="false">Sales_Budget!E264</f>
        <v>1382400</v>
      </c>
      <c r="E275" s="43" t="n">
        <f aca="false">Sales_Budget!F264</f>
        <v>857088</v>
      </c>
      <c r="F275" s="43" t="n">
        <f aca="false">Sales_Budget!G264</f>
        <v>525312</v>
      </c>
      <c r="G275" s="42" t="n">
        <f aca="false">VALUE(LEFT(A275,4))</f>
        <v>2026</v>
      </c>
      <c r="H275" s="42" t="n">
        <f aca="false">IF(COUNTIFS(Calc_Actuals!$F$2:$F$865,B275,Calc_Actuals!$H$2:$H$865,C275,Calc_Actuals!$C$2:$C$865,"Actual")&gt;0,1,0)</f>
        <v>0</v>
      </c>
      <c r="I275" s="42" t="str">
        <f aca="false">IFERROR(INDEX(Calendar!$E$2:$E$25,MATCH(A275,Calendar!$A$2:$A$25,0)),"UNMATCHED")</f>
        <v>Forecast</v>
      </c>
      <c r="J275" s="43" t="n">
        <f aca="false">D275*$B$7</f>
        <v>351249.623345862</v>
      </c>
      <c r="K275" s="43" t="n">
        <f aca="false">E275*$B$7</f>
        <v>217774.766474434</v>
      </c>
      <c r="L275" s="43" t="n">
        <f aca="false">F275*$B$7</f>
        <v>133474.856871428</v>
      </c>
      <c r="M275" s="43" t="n">
        <f aca="false">IF(I275="Actual",SUMIFS(Calc_Actuals!$N$2:$N$865,Calc_Actuals!$J$2:$J$865,G275,Calc_Actuals!$K$2:$K$865,O275,Calc_Actuals!$F$2:$F$865,B275,Calc_Actuals!$H$2:$H$865,C275,Calc_Actuals!$C$2:$C$865,"Actual"),0)</f>
        <v>0</v>
      </c>
      <c r="N275" s="43" t="n">
        <f aca="false">IF(I275="Actual",SUMIFS(Calc_Actuals!$P$2:$P$865,Calc_Actuals!$J$2:$J$865,G275,Calc_Actuals!$K$2:$K$865,O275,Calc_Actuals!$F$2:$F$865,B275,Calc_Actuals!$H$2:$H$865,C275,Calc_Actuals!$C$2:$C$865,"Actual"),0)</f>
        <v>0</v>
      </c>
      <c r="O275" s="42" t="n">
        <f aca="false">VALUE(RIGHT(A275,2))</f>
        <v>10</v>
      </c>
      <c r="P275" s="42" t="str">
        <f aca="false">A275&amp;"|"&amp;B275&amp;"|"&amp;C275</f>
        <v>2026-10|East|Personal Care</v>
      </c>
    </row>
    <row r="276" customFormat="false" ht="15" hidden="false" customHeight="false" outlineLevel="0" collapsed="false">
      <c r="A276" s="42" t="str">
        <f aca="false">Sales_Budget!A265</f>
        <v>2026-10</v>
      </c>
      <c r="B276" s="42" t="str">
        <f aca="false">Sales_Budget!B265</f>
        <v>East</v>
      </c>
      <c r="C276" s="42" t="str">
        <f aca="false">Sales_Budget!C265</f>
        <v>Foods</v>
      </c>
      <c r="D276" s="43" t="n">
        <f aca="false">Sales_Budget!E265</f>
        <v>1463400</v>
      </c>
      <c r="E276" s="43" t="n">
        <f aca="false">Sales_Budget!F265</f>
        <v>907308</v>
      </c>
      <c r="F276" s="43" t="n">
        <f aca="false">Sales_Budget!G265</f>
        <v>556092</v>
      </c>
      <c r="G276" s="42" t="n">
        <f aca="false">VALUE(LEFT(A276,4))</f>
        <v>2026</v>
      </c>
      <c r="H276" s="42" t="n">
        <f aca="false">IF(COUNTIFS(Calc_Actuals!$F$2:$F$865,B276,Calc_Actuals!$H$2:$H$865,C276,Calc_Actuals!$C$2:$C$865,"Actual")&gt;0,1,0)</f>
        <v>1</v>
      </c>
      <c r="I276" s="42" t="str">
        <f aca="false">IFERROR(INDEX(Calendar!$E$2:$E$25,MATCH(A276,Calendar!$A$2:$A$25,0)),"UNMATCHED")</f>
        <v>Forecast</v>
      </c>
      <c r="J276" s="43" t="n">
        <f aca="false">D276*$B$7</f>
        <v>371830.655963783</v>
      </c>
      <c r="K276" s="43" t="n">
        <f aca="false">E276*$B$7</f>
        <v>230535.006697546</v>
      </c>
      <c r="L276" s="43" t="n">
        <f aca="false">F276*$B$7</f>
        <v>141295.649266238</v>
      </c>
      <c r="M276" s="43" t="n">
        <f aca="false">IF(I276="Actual",SUMIFS(Calc_Actuals!$N$2:$N$865,Calc_Actuals!$J$2:$J$865,G276,Calc_Actuals!$K$2:$K$865,O276,Calc_Actuals!$F$2:$F$865,B276,Calc_Actuals!$H$2:$H$865,C276,Calc_Actuals!$C$2:$C$865,"Actual"),0)</f>
        <v>0</v>
      </c>
      <c r="N276" s="43" t="n">
        <f aca="false">IF(I276="Actual",SUMIFS(Calc_Actuals!$P$2:$P$865,Calc_Actuals!$J$2:$J$865,G276,Calc_Actuals!$K$2:$K$865,O276,Calc_Actuals!$F$2:$F$865,B276,Calc_Actuals!$H$2:$H$865,C276,Calc_Actuals!$C$2:$C$865,"Actual"),0)</f>
        <v>0</v>
      </c>
      <c r="O276" s="42" t="n">
        <f aca="false">VALUE(RIGHT(A276,2))</f>
        <v>10</v>
      </c>
      <c r="P276" s="42" t="str">
        <f aca="false">A276&amp;"|"&amp;B276&amp;"|"&amp;C276</f>
        <v>2026-10|East|Foods</v>
      </c>
    </row>
    <row r="277" customFormat="false" ht="15" hidden="false" customHeight="false" outlineLevel="0" collapsed="false">
      <c r="A277" s="42" t="str">
        <f aca="false">Sales_Budget!A266</f>
        <v>2026-11</v>
      </c>
      <c r="B277" s="42" t="str">
        <f aca="false">Sales_Budget!B266</f>
        <v>South</v>
      </c>
      <c r="C277" s="42" t="str">
        <f aca="false">Sales_Budget!C266</f>
        <v>Home Care</v>
      </c>
      <c r="D277" s="43" t="n">
        <f aca="false">Sales_Budget!E266</f>
        <v>1026000</v>
      </c>
      <c r="E277" s="43" t="n">
        <f aca="false">Sales_Budget!F266</f>
        <v>636120</v>
      </c>
      <c r="F277" s="43" t="n">
        <f aca="false">Sales_Budget!G266</f>
        <v>389880</v>
      </c>
      <c r="G277" s="42" t="n">
        <f aca="false">VALUE(LEFT(A277,4))</f>
        <v>2026</v>
      </c>
      <c r="H277" s="42" t="n">
        <f aca="false">IF(COUNTIFS(Calc_Actuals!$F$2:$F$865,B277,Calc_Actuals!$H$2:$H$865,C277,Calc_Actuals!$C$2:$C$865,"Actual")&gt;0,1,0)</f>
        <v>1</v>
      </c>
      <c r="I277" s="42" t="str">
        <f aca="false">IFERROR(INDEX(Calendar!$E$2:$E$25,MATCH(A277,Calendar!$A$2:$A$25,0)),"UNMATCHED")</f>
        <v>Forecast</v>
      </c>
      <c r="J277" s="43" t="n">
        <f aca="false">D277*$B$7</f>
        <v>260693.079827007</v>
      </c>
      <c r="K277" s="43" t="n">
        <f aca="false">E277*$B$7</f>
        <v>161629.709492744</v>
      </c>
      <c r="L277" s="43" t="n">
        <f aca="false">F277*$B$7</f>
        <v>99063.3703342626</v>
      </c>
      <c r="M277" s="43" t="n">
        <f aca="false">IF(I277="Actual",SUMIFS(Calc_Actuals!$N$2:$N$865,Calc_Actuals!$J$2:$J$865,G277,Calc_Actuals!$K$2:$K$865,O277,Calc_Actuals!$F$2:$F$865,B277,Calc_Actuals!$H$2:$H$865,C277,Calc_Actuals!$C$2:$C$865,"Actual"),0)</f>
        <v>0</v>
      </c>
      <c r="N277" s="43" t="n">
        <f aca="false">IF(I277="Actual",SUMIFS(Calc_Actuals!$P$2:$P$865,Calc_Actuals!$J$2:$J$865,G277,Calc_Actuals!$K$2:$K$865,O277,Calc_Actuals!$F$2:$F$865,B277,Calc_Actuals!$H$2:$H$865,C277,Calc_Actuals!$C$2:$C$865,"Actual"),0)</f>
        <v>0</v>
      </c>
      <c r="O277" s="42" t="n">
        <f aca="false">VALUE(RIGHT(A277,2))</f>
        <v>11</v>
      </c>
      <c r="P277" s="42" t="str">
        <f aca="false">A277&amp;"|"&amp;B277&amp;"|"&amp;C277</f>
        <v>2026-11|South|Home Care</v>
      </c>
    </row>
    <row r="278" customFormat="false" ht="15" hidden="false" customHeight="false" outlineLevel="0" collapsed="false">
      <c r="A278" s="42" t="str">
        <f aca="false">Sales_Budget!A267</f>
        <v>2026-11</v>
      </c>
      <c r="B278" s="42" t="str">
        <f aca="false">Sales_Budget!B267</f>
        <v>South</v>
      </c>
      <c r="C278" s="42" t="str">
        <f aca="false">Sales_Budget!C267</f>
        <v>Personal Care</v>
      </c>
      <c r="D278" s="43" t="n">
        <f aca="false">Sales_Budget!E267</f>
        <v>1107000</v>
      </c>
      <c r="E278" s="43" t="n">
        <f aca="false">Sales_Budget!F267</f>
        <v>686340</v>
      </c>
      <c r="F278" s="43" t="n">
        <f aca="false">Sales_Budget!G267</f>
        <v>420660</v>
      </c>
      <c r="G278" s="42" t="n">
        <f aca="false">VALUE(LEFT(A278,4))</f>
        <v>2026</v>
      </c>
      <c r="H278" s="42" t="n">
        <f aca="false">IF(COUNTIFS(Calc_Actuals!$F$2:$F$865,B278,Calc_Actuals!$H$2:$H$865,C278,Calc_Actuals!$C$2:$C$865,"Actual")&gt;0,1,0)</f>
        <v>0</v>
      </c>
      <c r="I278" s="42" t="str">
        <f aca="false">IFERROR(INDEX(Calendar!$E$2:$E$25,MATCH(A278,Calendar!$A$2:$A$25,0)),"UNMATCHED")</f>
        <v>Forecast</v>
      </c>
      <c r="J278" s="43" t="n">
        <f aca="false">D278*$B$7</f>
        <v>281274.112444928</v>
      </c>
      <c r="K278" s="43" t="n">
        <f aca="false">E278*$B$7</f>
        <v>174389.949715856</v>
      </c>
      <c r="L278" s="43" t="n">
        <f aca="false">F278*$B$7</f>
        <v>106884.162729073</v>
      </c>
      <c r="M278" s="43" t="n">
        <f aca="false">IF(I278="Actual",SUMIFS(Calc_Actuals!$N$2:$N$865,Calc_Actuals!$J$2:$J$865,G278,Calc_Actuals!$K$2:$K$865,O278,Calc_Actuals!$F$2:$F$865,B278,Calc_Actuals!$H$2:$H$865,C278,Calc_Actuals!$C$2:$C$865,"Actual"),0)</f>
        <v>0</v>
      </c>
      <c r="N278" s="43" t="n">
        <f aca="false">IF(I278="Actual",SUMIFS(Calc_Actuals!$P$2:$P$865,Calc_Actuals!$J$2:$J$865,G278,Calc_Actuals!$K$2:$K$865,O278,Calc_Actuals!$F$2:$F$865,B278,Calc_Actuals!$H$2:$H$865,C278,Calc_Actuals!$C$2:$C$865,"Actual"),0)</f>
        <v>0</v>
      </c>
      <c r="O278" s="42" t="n">
        <f aca="false">VALUE(RIGHT(A278,2))</f>
        <v>11</v>
      </c>
      <c r="P278" s="42" t="str">
        <f aca="false">A278&amp;"|"&amp;B278&amp;"|"&amp;C278</f>
        <v>2026-11|South|Personal Care</v>
      </c>
    </row>
    <row r="279" customFormat="false" ht="15" hidden="false" customHeight="false" outlineLevel="0" collapsed="false">
      <c r="A279" s="42" t="str">
        <f aca="false">Sales_Budget!A268</f>
        <v>2026-11</v>
      </c>
      <c r="B279" s="42" t="str">
        <f aca="false">Sales_Budget!B268</f>
        <v>South</v>
      </c>
      <c r="C279" s="42" t="str">
        <f aca="false">Sales_Budget!C268</f>
        <v>Foods</v>
      </c>
      <c r="D279" s="43" t="n">
        <f aca="false">Sales_Budget!E268</f>
        <v>1188000</v>
      </c>
      <c r="E279" s="43" t="n">
        <f aca="false">Sales_Budget!F268</f>
        <v>736560</v>
      </c>
      <c r="F279" s="43" t="n">
        <f aca="false">Sales_Budget!G268</f>
        <v>451440</v>
      </c>
      <c r="G279" s="42" t="n">
        <f aca="false">VALUE(LEFT(A279,4))</f>
        <v>2026</v>
      </c>
      <c r="H279" s="42" t="n">
        <f aca="false">IF(COUNTIFS(Calc_Actuals!$F$2:$F$865,B279,Calc_Actuals!$H$2:$H$865,C279,Calc_Actuals!$C$2:$C$865,"Actual")&gt;0,1,0)</f>
        <v>1</v>
      </c>
      <c r="I279" s="42" t="str">
        <f aca="false">IFERROR(INDEX(Calendar!$E$2:$E$25,MATCH(A279,Calendar!$A$2:$A$25,0)),"UNMATCHED")</f>
        <v>Forecast</v>
      </c>
      <c r="J279" s="43" t="n">
        <f aca="false">D279*$B$7</f>
        <v>301855.14506285</v>
      </c>
      <c r="K279" s="43" t="n">
        <f aca="false">E279*$B$7</f>
        <v>187150.189938967</v>
      </c>
      <c r="L279" s="43" t="n">
        <f aca="false">F279*$B$7</f>
        <v>114704.955123883</v>
      </c>
      <c r="M279" s="43" t="n">
        <f aca="false">IF(I279="Actual",SUMIFS(Calc_Actuals!$N$2:$N$865,Calc_Actuals!$J$2:$J$865,G279,Calc_Actuals!$K$2:$K$865,O279,Calc_Actuals!$F$2:$F$865,B279,Calc_Actuals!$H$2:$H$865,C279,Calc_Actuals!$C$2:$C$865,"Actual"),0)</f>
        <v>0</v>
      </c>
      <c r="N279" s="43" t="n">
        <f aca="false">IF(I279="Actual",SUMIFS(Calc_Actuals!$P$2:$P$865,Calc_Actuals!$J$2:$J$865,G279,Calc_Actuals!$K$2:$K$865,O279,Calc_Actuals!$F$2:$F$865,B279,Calc_Actuals!$H$2:$H$865,C279,Calc_Actuals!$C$2:$C$865,"Actual"),0)</f>
        <v>0</v>
      </c>
      <c r="O279" s="42" t="n">
        <f aca="false">VALUE(RIGHT(A279,2))</f>
        <v>11</v>
      </c>
      <c r="P279" s="42" t="str">
        <f aca="false">A279&amp;"|"&amp;B279&amp;"|"&amp;C279</f>
        <v>2026-11|South|Foods</v>
      </c>
    </row>
    <row r="280" customFormat="false" ht="15" hidden="false" customHeight="false" outlineLevel="0" collapsed="false">
      <c r="A280" s="42" t="str">
        <f aca="false">Sales_Budget!A269</f>
        <v>2026-11</v>
      </c>
      <c r="B280" s="42" t="str">
        <f aca="false">Sales_Budget!B269</f>
        <v>North</v>
      </c>
      <c r="C280" s="42" t="str">
        <f aca="false">Sales_Budget!C269</f>
        <v>Home Care</v>
      </c>
      <c r="D280" s="43" t="n">
        <f aca="false">Sales_Budget!E269</f>
        <v>1117800</v>
      </c>
      <c r="E280" s="43" t="n">
        <f aca="false">Sales_Budget!F269</f>
        <v>693036</v>
      </c>
      <c r="F280" s="43" t="n">
        <f aca="false">Sales_Budget!G269</f>
        <v>424764</v>
      </c>
      <c r="G280" s="42" t="n">
        <f aca="false">VALUE(LEFT(A280,4))</f>
        <v>2026</v>
      </c>
      <c r="H280" s="42" t="n">
        <f aca="false">IF(COUNTIFS(Calc_Actuals!$F$2:$F$865,B280,Calc_Actuals!$H$2:$H$865,C280,Calc_Actuals!$C$2:$C$865,"Actual")&gt;0,1,0)</f>
        <v>0</v>
      </c>
      <c r="I280" s="42" t="str">
        <f aca="false">IFERROR(INDEX(Calendar!$E$2:$E$25,MATCH(A280,Calendar!$A$2:$A$25,0)),"UNMATCHED")</f>
        <v>Forecast</v>
      </c>
      <c r="J280" s="43" t="n">
        <f aca="false">D280*$B$7</f>
        <v>284018.250127318</v>
      </c>
      <c r="K280" s="43" t="n">
        <f aca="false">E280*$B$7</f>
        <v>176091.315078937</v>
      </c>
      <c r="L280" s="43" t="n">
        <f aca="false">F280*$B$7</f>
        <v>107926.935048381</v>
      </c>
      <c r="M280" s="43" t="n">
        <f aca="false">IF(I280="Actual",SUMIFS(Calc_Actuals!$N$2:$N$865,Calc_Actuals!$J$2:$J$865,G280,Calc_Actuals!$K$2:$K$865,O280,Calc_Actuals!$F$2:$F$865,B280,Calc_Actuals!$H$2:$H$865,C280,Calc_Actuals!$C$2:$C$865,"Actual"),0)</f>
        <v>0</v>
      </c>
      <c r="N280" s="43" t="n">
        <f aca="false">IF(I280="Actual",SUMIFS(Calc_Actuals!$P$2:$P$865,Calc_Actuals!$J$2:$J$865,G280,Calc_Actuals!$K$2:$K$865,O280,Calc_Actuals!$F$2:$F$865,B280,Calc_Actuals!$H$2:$H$865,C280,Calc_Actuals!$C$2:$C$865,"Actual"),0)</f>
        <v>0</v>
      </c>
      <c r="O280" s="42" t="n">
        <f aca="false">VALUE(RIGHT(A280,2))</f>
        <v>11</v>
      </c>
      <c r="P280" s="42" t="str">
        <f aca="false">A280&amp;"|"&amp;B280&amp;"|"&amp;C280</f>
        <v>2026-11|North|Home Care</v>
      </c>
    </row>
    <row r="281" customFormat="false" ht="15" hidden="false" customHeight="false" outlineLevel="0" collapsed="false">
      <c r="A281" s="42" t="str">
        <f aca="false">Sales_Budget!A270</f>
        <v>2026-11</v>
      </c>
      <c r="B281" s="42" t="str">
        <f aca="false">Sales_Budget!B270</f>
        <v>North</v>
      </c>
      <c r="C281" s="42" t="str">
        <f aca="false">Sales_Budget!C270</f>
        <v>Personal Care</v>
      </c>
      <c r="D281" s="43" t="n">
        <f aca="false">Sales_Budget!E270</f>
        <v>1198800</v>
      </c>
      <c r="E281" s="43" t="n">
        <f aca="false">Sales_Budget!F270</f>
        <v>743256</v>
      </c>
      <c r="F281" s="43" t="n">
        <f aca="false">Sales_Budget!G270</f>
        <v>455544</v>
      </c>
      <c r="G281" s="42" t="n">
        <f aca="false">VALUE(LEFT(A281,4))</f>
        <v>2026</v>
      </c>
      <c r="H281" s="42" t="n">
        <f aca="false">IF(COUNTIFS(Calc_Actuals!$F$2:$F$865,B281,Calc_Actuals!$H$2:$H$865,C281,Calc_Actuals!$C$2:$C$865,"Actual")&gt;0,1,0)</f>
        <v>1</v>
      </c>
      <c r="I281" s="42" t="str">
        <f aca="false">IFERROR(INDEX(Calendar!$E$2:$E$25,MATCH(A281,Calendar!$A$2:$A$25,0)),"UNMATCHED")</f>
        <v>Forecast</v>
      </c>
      <c r="J281" s="43" t="n">
        <f aca="false">D281*$B$7</f>
        <v>304599.28274524</v>
      </c>
      <c r="K281" s="43" t="n">
        <f aca="false">E281*$B$7</f>
        <v>188851.555302049</v>
      </c>
      <c r="L281" s="43" t="n">
        <f aca="false">F281*$B$7</f>
        <v>115747.727443191</v>
      </c>
      <c r="M281" s="43" t="n">
        <f aca="false">IF(I281="Actual",SUMIFS(Calc_Actuals!$N$2:$N$865,Calc_Actuals!$J$2:$J$865,G281,Calc_Actuals!$K$2:$K$865,O281,Calc_Actuals!$F$2:$F$865,B281,Calc_Actuals!$H$2:$H$865,C281,Calc_Actuals!$C$2:$C$865,"Actual"),0)</f>
        <v>0</v>
      </c>
      <c r="N281" s="43" t="n">
        <f aca="false">IF(I281="Actual",SUMIFS(Calc_Actuals!$P$2:$P$865,Calc_Actuals!$J$2:$J$865,G281,Calc_Actuals!$K$2:$K$865,O281,Calc_Actuals!$F$2:$F$865,B281,Calc_Actuals!$H$2:$H$865,C281,Calc_Actuals!$C$2:$C$865,"Actual"),0)</f>
        <v>0</v>
      </c>
      <c r="O281" s="42" t="n">
        <f aca="false">VALUE(RIGHT(A281,2))</f>
        <v>11</v>
      </c>
      <c r="P281" s="42" t="str">
        <f aca="false">A281&amp;"|"&amp;B281&amp;"|"&amp;C281</f>
        <v>2026-11|North|Personal Care</v>
      </c>
    </row>
    <row r="282" customFormat="false" ht="15" hidden="false" customHeight="false" outlineLevel="0" collapsed="false">
      <c r="A282" s="42" t="str">
        <f aca="false">Sales_Budget!A271</f>
        <v>2026-11</v>
      </c>
      <c r="B282" s="42" t="str">
        <f aca="false">Sales_Budget!B271</f>
        <v>North</v>
      </c>
      <c r="C282" s="42" t="str">
        <f aca="false">Sales_Budget!C271</f>
        <v>Foods</v>
      </c>
      <c r="D282" s="43" t="n">
        <f aca="false">Sales_Budget!E271</f>
        <v>1279800</v>
      </c>
      <c r="E282" s="43" t="n">
        <f aca="false">Sales_Budget!F271</f>
        <v>793476</v>
      </c>
      <c r="F282" s="43" t="n">
        <f aca="false">Sales_Budget!G271</f>
        <v>486324</v>
      </c>
      <c r="G282" s="42" t="n">
        <f aca="false">VALUE(LEFT(A282,4))</f>
        <v>2026</v>
      </c>
      <c r="H282" s="42" t="n">
        <f aca="false">IF(COUNTIFS(Calc_Actuals!$F$2:$F$865,B282,Calc_Actuals!$H$2:$H$865,C282,Calc_Actuals!$C$2:$C$865,"Actual")&gt;0,1,0)</f>
        <v>0</v>
      </c>
      <c r="I282" s="42" t="str">
        <f aca="false">IFERROR(INDEX(Calendar!$E$2:$E$25,MATCH(A282,Calendar!$A$2:$A$25,0)),"UNMATCHED")</f>
        <v>Forecast</v>
      </c>
      <c r="J282" s="43" t="n">
        <f aca="false">D282*$B$7</f>
        <v>325180.315363161</v>
      </c>
      <c r="K282" s="43" t="n">
        <f aca="false">E282*$B$7</f>
        <v>201611.79552516</v>
      </c>
      <c r="L282" s="43" t="n">
        <f aca="false">F282*$B$7</f>
        <v>123568.519838001</v>
      </c>
      <c r="M282" s="43" t="n">
        <f aca="false">IF(I282="Actual",SUMIFS(Calc_Actuals!$N$2:$N$865,Calc_Actuals!$J$2:$J$865,G282,Calc_Actuals!$K$2:$K$865,O282,Calc_Actuals!$F$2:$F$865,B282,Calc_Actuals!$H$2:$H$865,C282,Calc_Actuals!$C$2:$C$865,"Actual"),0)</f>
        <v>0</v>
      </c>
      <c r="N282" s="43" t="n">
        <f aca="false">IF(I282="Actual",SUMIFS(Calc_Actuals!$P$2:$P$865,Calc_Actuals!$J$2:$J$865,G282,Calc_Actuals!$K$2:$K$865,O282,Calc_Actuals!$F$2:$F$865,B282,Calc_Actuals!$H$2:$H$865,C282,Calc_Actuals!$C$2:$C$865,"Actual"),0)</f>
        <v>0</v>
      </c>
      <c r="O282" s="42" t="n">
        <f aca="false">VALUE(RIGHT(A282,2))</f>
        <v>11</v>
      </c>
      <c r="P282" s="42" t="str">
        <f aca="false">A282&amp;"|"&amp;B282&amp;"|"&amp;C282</f>
        <v>2026-11|North|Foods</v>
      </c>
    </row>
    <row r="283" customFormat="false" ht="15" hidden="false" customHeight="false" outlineLevel="0" collapsed="false">
      <c r="A283" s="42" t="str">
        <f aca="false">Sales_Budget!A272</f>
        <v>2026-11</v>
      </c>
      <c r="B283" s="42" t="str">
        <f aca="false">Sales_Budget!B272</f>
        <v>West</v>
      </c>
      <c r="C283" s="42" t="str">
        <f aca="false">Sales_Budget!C272</f>
        <v>Home Care</v>
      </c>
      <c r="D283" s="43" t="n">
        <f aca="false">Sales_Budget!E272</f>
        <v>1209600</v>
      </c>
      <c r="E283" s="43" t="n">
        <f aca="false">Sales_Budget!F272</f>
        <v>749952</v>
      </c>
      <c r="F283" s="43" t="n">
        <f aca="false">Sales_Budget!G272</f>
        <v>459648</v>
      </c>
      <c r="G283" s="42" t="n">
        <f aca="false">VALUE(LEFT(A283,4))</f>
        <v>2026</v>
      </c>
      <c r="H283" s="42" t="n">
        <f aca="false">IF(COUNTIFS(Calc_Actuals!$F$2:$F$865,B283,Calc_Actuals!$H$2:$H$865,C283,Calc_Actuals!$C$2:$C$865,"Actual")&gt;0,1,0)</f>
        <v>1</v>
      </c>
      <c r="I283" s="42" t="str">
        <f aca="false">IFERROR(INDEX(Calendar!$E$2:$E$25,MATCH(A283,Calendar!$A$2:$A$25,0)),"UNMATCHED")</f>
        <v>Forecast</v>
      </c>
      <c r="J283" s="43" t="n">
        <f aca="false">D283*$B$7</f>
        <v>307343.420427629</v>
      </c>
      <c r="K283" s="43" t="n">
        <f aca="false">E283*$B$7</f>
        <v>190552.92066513</v>
      </c>
      <c r="L283" s="43" t="n">
        <f aca="false">F283*$B$7</f>
        <v>116790.499762499</v>
      </c>
      <c r="M283" s="43" t="n">
        <f aca="false">IF(I283="Actual",SUMIFS(Calc_Actuals!$N$2:$N$865,Calc_Actuals!$J$2:$J$865,G283,Calc_Actuals!$K$2:$K$865,O283,Calc_Actuals!$F$2:$F$865,B283,Calc_Actuals!$H$2:$H$865,C283,Calc_Actuals!$C$2:$C$865,"Actual"),0)</f>
        <v>0</v>
      </c>
      <c r="N283" s="43" t="n">
        <f aca="false">IF(I283="Actual",SUMIFS(Calc_Actuals!$P$2:$P$865,Calc_Actuals!$J$2:$J$865,G283,Calc_Actuals!$K$2:$K$865,O283,Calc_Actuals!$F$2:$F$865,B283,Calc_Actuals!$H$2:$H$865,C283,Calc_Actuals!$C$2:$C$865,"Actual"),0)</f>
        <v>0</v>
      </c>
      <c r="O283" s="42" t="n">
        <f aca="false">VALUE(RIGHT(A283,2))</f>
        <v>11</v>
      </c>
      <c r="P283" s="42" t="str">
        <f aca="false">A283&amp;"|"&amp;B283&amp;"|"&amp;C283</f>
        <v>2026-11|West|Home Care</v>
      </c>
    </row>
    <row r="284" customFormat="false" ht="15" hidden="false" customHeight="false" outlineLevel="0" collapsed="false">
      <c r="A284" s="42" t="str">
        <f aca="false">Sales_Budget!A273</f>
        <v>2026-11</v>
      </c>
      <c r="B284" s="42" t="str">
        <f aca="false">Sales_Budget!B273</f>
        <v>West</v>
      </c>
      <c r="C284" s="42" t="str">
        <f aca="false">Sales_Budget!C273</f>
        <v>Personal Care</v>
      </c>
      <c r="D284" s="43" t="n">
        <f aca="false">Sales_Budget!E273</f>
        <v>1290600</v>
      </c>
      <c r="E284" s="43" t="n">
        <f aca="false">Sales_Budget!F273</f>
        <v>800172</v>
      </c>
      <c r="F284" s="43" t="n">
        <f aca="false">Sales_Budget!G273</f>
        <v>490428</v>
      </c>
      <c r="G284" s="42" t="n">
        <f aca="false">VALUE(LEFT(A284,4))</f>
        <v>2026</v>
      </c>
      <c r="H284" s="42" t="n">
        <f aca="false">IF(COUNTIFS(Calc_Actuals!$F$2:$F$865,B284,Calc_Actuals!$H$2:$H$865,C284,Calc_Actuals!$C$2:$C$865,"Actual")&gt;0,1,0)</f>
        <v>1</v>
      </c>
      <c r="I284" s="42" t="str">
        <f aca="false">IFERROR(INDEX(Calendar!$E$2:$E$25,MATCH(A284,Calendar!$A$2:$A$25,0)),"UNMATCHED")</f>
        <v>Forecast</v>
      </c>
      <c r="J284" s="43" t="n">
        <f aca="false">D284*$B$7</f>
        <v>327924.453045551</v>
      </c>
      <c r="K284" s="43" t="n">
        <f aca="false">E284*$B$7</f>
        <v>203313.160888241</v>
      </c>
      <c r="L284" s="43" t="n">
        <f aca="false">F284*$B$7</f>
        <v>124611.292157309</v>
      </c>
      <c r="M284" s="43" t="n">
        <f aca="false">IF(I284="Actual",SUMIFS(Calc_Actuals!$N$2:$N$865,Calc_Actuals!$J$2:$J$865,G284,Calc_Actuals!$K$2:$K$865,O284,Calc_Actuals!$F$2:$F$865,B284,Calc_Actuals!$H$2:$H$865,C284,Calc_Actuals!$C$2:$C$865,"Actual"),0)</f>
        <v>0</v>
      </c>
      <c r="N284" s="43" t="n">
        <f aca="false">IF(I284="Actual",SUMIFS(Calc_Actuals!$P$2:$P$865,Calc_Actuals!$J$2:$J$865,G284,Calc_Actuals!$K$2:$K$865,O284,Calc_Actuals!$F$2:$F$865,B284,Calc_Actuals!$H$2:$H$865,C284,Calc_Actuals!$C$2:$C$865,"Actual"),0)</f>
        <v>0</v>
      </c>
      <c r="O284" s="42" t="n">
        <f aca="false">VALUE(RIGHT(A284,2))</f>
        <v>11</v>
      </c>
      <c r="P284" s="42" t="str">
        <f aca="false">A284&amp;"|"&amp;B284&amp;"|"&amp;C284</f>
        <v>2026-11|West|Personal Care</v>
      </c>
    </row>
    <row r="285" customFormat="false" ht="15" hidden="false" customHeight="false" outlineLevel="0" collapsed="false">
      <c r="A285" s="42" t="str">
        <f aca="false">Sales_Budget!A274</f>
        <v>2026-11</v>
      </c>
      <c r="B285" s="42" t="str">
        <f aca="false">Sales_Budget!B274</f>
        <v>West</v>
      </c>
      <c r="C285" s="42" t="str">
        <f aca="false">Sales_Budget!C274</f>
        <v>Foods</v>
      </c>
      <c r="D285" s="43" t="n">
        <f aca="false">Sales_Budget!E274</f>
        <v>1371600</v>
      </c>
      <c r="E285" s="43" t="n">
        <f aca="false">Sales_Budget!F274</f>
        <v>850392</v>
      </c>
      <c r="F285" s="43" t="n">
        <f aca="false">Sales_Budget!G274</f>
        <v>521208</v>
      </c>
      <c r="G285" s="42" t="n">
        <f aca="false">VALUE(LEFT(A285,4))</f>
        <v>2026</v>
      </c>
      <c r="H285" s="42" t="n">
        <f aca="false">IF(COUNTIFS(Calc_Actuals!$F$2:$F$865,B285,Calc_Actuals!$H$2:$H$865,C285,Calc_Actuals!$C$2:$C$865,"Actual")&gt;0,1,0)</f>
        <v>0</v>
      </c>
      <c r="I285" s="42" t="str">
        <f aca="false">IFERROR(INDEX(Calendar!$E$2:$E$25,MATCH(A285,Calendar!$A$2:$A$25,0)),"UNMATCHED")</f>
        <v>Forecast</v>
      </c>
      <c r="J285" s="43" t="n">
        <f aca="false">D285*$B$7</f>
        <v>348505.485663472</v>
      </c>
      <c r="K285" s="43" t="n">
        <f aca="false">E285*$B$7</f>
        <v>216073.401111353</v>
      </c>
      <c r="L285" s="43" t="n">
        <f aca="false">F285*$B$7</f>
        <v>132432.08455212</v>
      </c>
      <c r="M285" s="43" t="n">
        <f aca="false">IF(I285="Actual",SUMIFS(Calc_Actuals!$N$2:$N$865,Calc_Actuals!$J$2:$J$865,G285,Calc_Actuals!$K$2:$K$865,O285,Calc_Actuals!$F$2:$F$865,B285,Calc_Actuals!$H$2:$H$865,C285,Calc_Actuals!$C$2:$C$865,"Actual"),0)</f>
        <v>0</v>
      </c>
      <c r="N285" s="43" t="n">
        <f aca="false">IF(I285="Actual",SUMIFS(Calc_Actuals!$P$2:$P$865,Calc_Actuals!$J$2:$J$865,G285,Calc_Actuals!$K$2:$K$865,O285,Calc_Actuals!$F$2:$F$865,B285,Calc_Actuals!$H$2:$H$865,C285,Calc_Actuals!$C$2:$C$865,"Actual"),0)</f>
        <v>0</v>
      </c>
      <c r="O285" s="42" t="n">
        <f aca="false">VALUE(RIGHT(A285,2))</f>
        <v>11</v>
      </c>
      <c r="P285" s="42" t="str">
        <f aca="false">A285&amp;"|"&amp;B285&amp;"|"&amp;C285</f>
        <v>2026-11|West|Foods</v>
      </c>
    </row>
    <row r="286" customFormat="false" ht="15" hidden="false" customHeight="false" outlineLevel="0" collapsed="false">
      <c r="A286" s="42" t="str">
        <f aca="false">Sales_Budget!A275</f>
        <v>2026-11</v>
      </c>
      <c r="B286" s="42" t="str">
        <f aca="false">Sales_Budget!B275</f>
        <v>East</v>
      </c>
      <c r="C286" s="42" t="str">
        <f aca="false">Sales_Budget!C275</f>
        <v>Home Care</v>
      </c>
      <c r="D286" s="43" t="n">
        <f aca="false">Sales_Budget!E275</f>
        <v>1301400</v>
      </c>
      <c r="E286" s="43" t="n">
        <f aca="false">Sales_Budget!F275</f>
        <v>806868</v>
      </c>
      <c r="F286" s="43" t="n">
        <f aca="false">Sales_Budget!G275</f>
        <v>494532</v>
      </c>
      <c r="G286" s="42" t="n">
        <f aca="false">VALUE(LEFT(A286,4))</f>
        <v>2026</v>
      </c>
      <c r="H286" s="42" t="n">
        <f aca="false">IF(COUNTIFS(Calc_Actuals!$F$2:$F$865,B286,Calc_Actuals!$H$2:$H$865,C286,Calc_Actuals!$C$2:$C$865,"Actual")&gt;0,1,0)</f>
        <v>1</v>
      </c>
      <c r="I286" s="42" t="str">
        <f aca="false">IFERROR(INDEX(Calendar!$E$2:$E$25,MATCH(A286,Calendar!$A$2:$A$25,0)),"UNMATCHED")</f>
        <v>Forecast</v>
      </c>
      <c r="J286" s="43" t="n">
        <f aca="false">D286*$B$7</f>
        <v>330668.59072794</v>
      </c>
      <c r="K286" s="43" t="n">
        <f aca="false">E286*$B$7</f>
        <v>205014.526251323</v>
      </c>
      <c r="L286" s="43" t="n">
        <f aca="false">F286*$B$7</f>
        <v>125654.064476617</v>
      </c>
      <c r="M286" s="43" t="n">
        <f aca="false">IF(I286="Actual",SUMIFS(Calc_Actuals!$N$2:$N$865,Calc_Actuals!$J$2:$J$865,G286,Calc_Actuals!$K$2:$K$865,O286,Calc_Actuals!$F$2:$F$865,B286,Calc_Actuals!$H$2:$H$865,C286,Calc_Actuals!$C$2:$C$865,"Actual"),0)</f>
        <v>0</v>
      </c>
      <c r="N286" s="43" t="n">
        <f aca="false">IF(I286="Actual",SUMIFS(Calc_Actuals!$P$2:$P$865,Calc_Actuals!$J$2:$J$865,G286,Calc_Actuals!$K$2:$K$865,O286,Calc_Actuals!$F$2:$F$865,B286,Calc_Actuals!$H$2:$H$865,C286,Calc_Actuals!$C$2:$C$865,"Actual"),0)</f>
        <v>0</v>
      </c>
      <c r="O286" s="42" t="n">
        <f aca="false">VALUE(RIGHT(A286,2))</f>
        <v>11</v>
      </c>
      <c r="P286" s="42" t="str">
        <f aca="false">A286&amp;"|"&amp;B286&amp;"|"&amp;C286</f>
        <v>2026-11|East|Home Care</v>
      </c>
    </row>
    <row r="287" customFormat="false" ht="15" hidden="false" customHeight="false" outlineLevel="0" collapsed="false">
      <c r="A287" s="42" t="str">
        <f aca="false">Sales_Budget!A276</f>
        <v>2026-11</v>
      </c>
      <c r="B287" s="42" t="str">
        <f aca="false">Sales_Budget!B276</f>
        <v>East</v>
      </c>
      <c r="C287" s="42" t="str">
        <f aca="false">Sales_Budget!C276</f>
        <v>Personal Care</v>
      </c>
      <c r="D287" s="43" t="n">
        <f aca="false">Sales_Budget!E276</f>
        <v>1382400</v>
      </c>
      <c r="E287" s="43" t="n">
        <f aca="false">Sales_Budget!F276</f>
        <v>857088</v>
      </c>
      <c r="F287" s="43" t="n">
        <f aca="false">Sales_Budget!G276</f>
        <v>525312</v>
      </c>
      <c r="G287" s="42" t="n">
        <f aca="false">VALUE(LEFT(A287,4))</f>
        <v>2026</v>
      </c>
      <c r="H287" s="42" t="n">
        <f aca="false">IF(COUNTIFS(Calc_Actuals!$F$2:$F$865,B287,Calc_Actuals!$H$2:$H$865,C287,Calc_Actuals!$C$2:$C$865,"Actual")&gt;0,1,0)</f>
        <v>0</v>
      </c>
      <c r="I287" s="42" t="str">
        <f aca="false">IFERROR(INDEX(Calendar!$E$2:$E$25,MATCH(A287,Calendar!$A$2:$A$25,0)),"UNMATCHED")</f>
        <v>Forecast</v>
      </c>
      <c r="J287" s="43" t="n">
        <f aca="false">D287*$B$7</f>
        <v>351249.623345862</v>
      </c>
      <c r="K287" s="43" t="n">
        <f aca="false">E287*$B$7</f>
        <v>217774.766474434</v>
      </c>
      <c r="L287" s="43" t="n">
        <f aca="false">F287*$B$7</f>
        <v>133474.856871428</v>
      </c>
      <c r="M287" s="43" t="n">
        <f aca="false">IF(I287="Actual",SUMIFS(Calc_Actuals!$N$2:$N$865,Calc_Actuals!$J$2:$J$865,G287,Calc_Actuals!$K$2:$K$865,O287,Calc_Actuals!$F$2:$F$865,B287,Calc_Actuals!$H$2:$H$865,C287,Calc_Actuals!$C$2:$C$865,"Actual"),0)</f>
        <v>0</v>
      </c>
      <c r="N287" s="43" t="n">
        <f aca="false">IF(I287="Actual",SUMIFS(Calc_Actuals!$P$2:$P$865,Calc_Actuals!$J$2:$J$865,G287,Calc_Actuals!$K$2:$K$865,O287,Calc_Actuals!$F$2:$F$865,B287,Calc_Actuals!$H$2:$H$865,C287,Calc_Actuals!$C$2:$C$865,"Actual"),0)</f>
        <v>0</v>
      </c>
      <c r="O287" s="42" t="n">
        <f aca="false">VALUE(RIGHT(A287,2))</f>
        <v>11</v>
      </c>
      <c r="P287" s="42" t="str">
        <f aca="false">A287&amp;"|"&amp;B287&amp;"|"&amp;C287</f>
        <v>2026-11|East|Personal Care</v>
      </c>
    </row>
    <row r="288" customFormat="false" ht="15" hidden="false" customHeight="false" outlineLevel="0" collapsed="false">
      <c r="A288" s="42" t="str">
        <f aca="false">Sales_Budget!A277</f>
        <v>2026-11</v>
      </c>
      <c r="B288" s="42" t="str">
        <f aca="false">Sales_Budget!B277</f>
        <v>East</v>
      </c>
      <c r="C288" s="42" t="str">
        <f aca="false">Sales_Budget!C277</f>
        <v>Foods</v>
      </c>
      <c r="D288" s="43" t="n">
        <f aca="false">Sales_Budget!E277</f>
        <v>1463400</v>
      </c>
      <c r="E288" s="43" t="n">
        <f aca="false">Sales_Budget!F277</f>
        <v>907308</v>
      </c>
      <c r="F288" s="43" t="n">
        <f aca="false">Sales_Budget!G277</f>
        <v>556092</v>
      </c>
      <c r="G288" s="42" t="n">
        <f aca="false">VALUE(LEFT(A288,4))</f>
        <v>2026</v>
      </c>
      <c r="H288" s="42" t="n">
        <f aca="false">IF(COUNTIFS(Calc_Actuals!$F$2:$F$865,B288,Calc_Actuals!$H$2:$H$865,C288,Calc_Actuals!$C$2:$C$865,"Actual")&gt;0,1,0)</f>
        <v>1</v>
      </c>
      <c r="I288" s="42" t="str">
        <f aca="false">IFERROR(INDEX(Calendar!$E$2:$E$25,MATCH(A288,Calendar!$A$2:$A$25,0)),"UNMATCHED")</f>
        <v>Forecast</v>
      </c>
      <c r="J288" s="43" t="n">
        <f aca="false">D288*$B$7</f>
        <v>371830.655963783</v>
      </c>
      <c r="K288" s="43" t="n">
        <f aca="false">E288*$B$7</f>
        <v>230535.006697546</v>
      </c>
      <c r="L288" s="43" t="n">
        <f aca="false">F288*$B$7</f>
        <v>141295.649266238</v>
      </c>
      <c r="M288" s="43" t="n">
        <f aca="false">IF(I288="Actual",SUMIFS(Calc_Actuals!$N$2:$N$865,Calc_Actuals!$J$2:$J$865,G288,Calc_Actuals!$K$2:$K$865,O288,Calc_Actuals!$F$2:$F$865,B288,Calc_Actuals!$H$2:$H$865,C288,Calc_Actuals!$C$2:$C$865,"Actual"),0)</f>
        <v>0</v>
      </c>
      <c r="N288" s="43" t="n">
        <f aca="false">IF(I288="Actual",SUMIFS(Calc_Actuals!$P$2:$P$865,Calc_Actuals!$J$2:$J$865,G288,Calc_Actuals!$K$2:$K$865,O288,Calc_Actuals!$F$2:$F$865,B288,Calc_Actuals!$H$2:$H$865,C288,Calc_Actuals!$C$2:$C$865,"Actual"),0)</f>
        <v>0</v>
      </c>
      <c r="O288" s="42" t="n">
        <f aca="false">VALUE(RIGHT(A288,2))</f>
        <v>11</v>
      </c>
      <c r="P288" s="42" t="str">
        <f aca="false">A288&amp;"|"&amp;B288&amp;"|"&amp;C288</f>
        <v>2026-11|East|Foods</v>
      </c>
    </row>
    <row r="289" customFormat="false" ht="15" hidden="false" customHeight="false" outlineLevel="0" collapsed="false">
      <c r="A289" s="42" t="str">
        <f aca="false">Sales_Budget!A278</f>
        <v>2026-12</v>
      </c>
      <c r="B289" s="42" t="str">
        <f aca="false">Sales_Budget!B278</f>
        <v>South</v>
      </c>
      <c r="C289" s="42" t="str">
        <f aca="false">Sales_Budget!C278</f>
        <v>Home Care</v>
      </c>
      <c r="D289" s="43" t="n">
        <f aca="false">Sales_Budget!E278</f>
        <v>1026000</v>
      </c>
      <c r="E289" s="43" t="n">
        <f aca="false">Sales_Budget!F278</f>
        <v>636120</v>
      </c>
      <c r="F289" s="43" t="n">
        <f aca="false">Sales_Budget!G278</f>
        <v>389880</v>
      </c>
      <c r="G289" s="42" t="n">
        <f aca="false">VALUE(LEFT(A289,4))</f>
        <v>2026</v>
      </c>
      <c r="H289" s="42" t="n">
        <f aca="false">IF(COUNTIFS(Calc_Actuals!$F$2:$F$865,B289,Calc_Actuals!$H$2:$H$865,C289,Calc_Actuals!$C$2:$C$865,"Actual")&gt;0,1,0)</f>
        <v>1</v>
      </c>
      <c r="I289" s="42" t="str">
        <f aca="false">IFERROR(INDEX(Calendar!$E$2:$E$25,MATCH(A289,Calendar!$A$2:$A$25,0)),"UNMATCHED")</f>
        <v>Forecast</v>
      </c>
      <c r="J289" s="43" t="n">
        <f aca="false">D289*$B$7</f>
        <v>260693.079827007</v>
      </c>
      <c r="K289" s="43" t="n">
        <f aca="false">E289*$B$7</f>
        <v>161629.709492744</v>
      </c>
      <c r="L289" s="43" t="n">
        <f aca="false">F289*$B$7</f>
        <v>99063.3703342626</v>
      </c>
      <c r="M289" s="43" t="n">
        <f aca="false">IF(I289="Actual",SUMIFS(Calc_Actuals!$N$2:$N$865,Calc_Actuals!$J$2:$J$865,G289,Calc_Actuals!$K$2:$K$865,O289,Calc_Actuals!$F$2:$F$865,B289,Calc_Actuals!$H$2:$H$865,C289,Calc_Actuals!$C$2:$C$865,"Actual"),0)</f>
        <v>0</v>
      </c>
      <c r="N289" s="43" t="n">
        <f aca="false">IF(I289="Actual",SUMIFS(Calc_Actuals!$P$2:$P$865,Calc_Actuals!$J$2:$J$865,G289,Calc_Actuals!$K$2:$K$865,O289,Calc_Actuals!$F$2:$F$865,B289,Calc_Actuals!$H$2:$H$865,C289,Calc_Actuals!$C$2:$C$865,"Actual"),0)</f>
        <v>0</v>
      </c>
      <c r="O289" s="42" t="n">
        <f aca="false">VALUE(RIGHT(A289,2))</f>
        <v>12</v>
      </c>
      <c r="P289" s="42" t="str">
        <f aca="false">A289&amp;"|"&amp;B289&amp;"|"&amp;C289</f>
        <v>2026-12|South|Home Care</v>
      </c>
    </row>
    <row r="290" customFormat="false" ht="15" hidden="false" customHeight="false" outlineLevel="0" collapsed="false">
      <c r="A290" s="42" t="str">
        <f aca="false">Sales_Budget!A279</f>
        <v>2026-12</v>
      </c>
      <c r="B290" s="42" t="str">
        <f aca="false">Sales_Budget!B279</f>
        <v>South</v>
      </c>
      <c r="C290" s="42" t="str">
        <f aca="false">Sales_Budget!C279</f>
        <v>Personal Care</v>
      </c>
      <c r="D290" s="43" t="n">
        <f aca="false">Sales_Budget!E279</f>
        <v>1107000</v>
      </c>
      <c r="E290" s="43" t="n">
        <f aca="false">Sales_Budget!F279</f>
        <v>686340</v>
      </c>
      <c r="F290" s="43" t="n">
        <f aca="false">Sales_Budget!G279</f>
        <v>420660</v>
      </c>
      <c r="G290" s="42" t="n">
        <f aca="false">VALUE(LEFT(A290,4))</f>
        <v>2026</v>
      </c>
      <c r="H290" s="42" t="n">
        <f aca="false">IF(COUNTIFS(Calc_Actuals!$F$2:$F$865,B290,Calc_Actuals!$H$2:$H$865,C290,Calc_Actuals!$C$2:$C$865,"Actual")&gt;0,1,0)</f>
        <v>0</v>
      </c>
      <c r="I290" s="42" t="str">
        <f aca="false">IFERROR(INDEX(Calendar!$E$2:$E$25,MATCH(A290,Calendar!$A$2:$A$25,0)),"UNMATCHED")</f>
        <v>Forecast</v>
      </c>
      <c r="J290" s="43" t="n">
        <f aca="false">D290*$B$7</f>
        <v>281274.112444928</v>
      </c>
      <c r="K290" s="43" t="n">
        <f aca="false">E290*$B$7</f>
        <v>174389.949715856</v>
      </c>
      <c r="L290" s="43" t="n">
        <f aca="false">F290*$B$7</f>
        <v>106884.162729073</v>
      </c>
      <c r="M290" s="43" t="n">
        <f aca="false">IF(I290="Actual",SUMIFS(Calc_Actuals!$N$2:$N$865,Calc_Actuals!$J$2:$J$865,G290,Calc_Actuals!$K$2:$K$865,O290,Calc_Actuals!$F$2:$F$865,B290,Calc_Actuals!$H$2:$H$865,C290,Calc_Actuals!$C$2:$C$865,"Actual"),0)</f>
        <v>0</v>
      </c>
      <c r="N290" s="43" t="n">
        <f aca="false">IF(I290="Actual",SUMIFS(Calc_Actuals!$P$2:$P$865,Calc_Actuals!$J$2:$J$865,G290,Calc_Actuals!$K$2:$K$865,O290,Calc_Actuals!$F$2:$F$865,B290,Calc_Actuals!$H$2:$H$865,C290,Calc_Actuals!$C$2:$C$865,"Actual"),0)</f>
        <v>0</v>
      </c>
      <c r="O290" s="42" t="n">
        <f aca="false">VALUE(RIGHT(A290,2))</f>
        <v>12</v>
      </c>
      <c r="P290" s="42" t="str">
        <f aca="false">A290&amp;"|"&amp;B290&amp;"|"&amp;C290</f>
        <v>2026-12|South|Personal Care</v>
      </c>
    </row>
    <row r="291" customFormat="false" ht="15" hidden="false" customHeight="false" outlineLevel="0" collapsed="false">
      <c r="A291" s="42" t="str">
        <f aca="false">Sales_Budget!A280</f>
        <v>2026-12</v>
      </c>
      <c r="B291" s="42" t="str">
        <f aca="false">Sales_Budget!B280</f>
        <v>South</v>
      </c>
      <c r="C291" s="42" t="str">
        <f aca="false">Sales_Budget!C280</f>
        <v>Foods</v>
      </c>
      <c r="D291" s="43" t="n">
        <f aca="false">Sales_Budget!E280</f>
        <v>1188000</v>
      </c>
      <c r="E291" s="43" t="n">
        <f aca="false">Sales_Budget!F280</f>
        <v>736560</v>
      </c>
      <c r="F291" s="43" t="n">
        <f aca="false">Sales_Budget!G280</f>
        <v>451440</v>
      </c>
      <c r="G291" s="42" t="n">
        <f aca="false">VALUE(LEFT(A291,4))</f>
        <v>2026</v>
      </c>
      <c r="H291" s="42" t="n">
        <f aca="false">IF(COUNTIFS(Calc_Actuals!$F$2:$F$865,B291,Calc_Actuals!$H$2:$H$865,C291,Calc_Actuals!$C$2:$C$865,"Actual")&gt;0,1,0)</f>
        <v>1</v>
      </c>
      <c r="I291" s="42" t="str">
        <f aca="false">IFERROR(INDEX(Calendar!$E$2:$E$25,MATCH(A291,Calendar!$A$2:$A$25,0)),"UNMATCHED")</f>
        <v>Forecast</v>
      </c>
      <c r="J291" s="43" t="n">
        <f aca="false">D291*$B$7</f>
        <v>301855.14506285</v>
      </c>
      <c r="K291" s="43" t="n">
        <f aca="false">E291*$B$7</f>
        <v>187150.189938967</v>
      </c>
      <c r="L291" s="43" t="n">
        <f aca="false">F291*$B$7</f>
        <v>114704.955123883</v>
      </c>
      <c r="M291" s="43" t="n">
        <f aca="false">IF(I291="Actual",SUMIFS(Calc_Actuals!$N$2:$N$865,Calc_Actuals!$J$2:$J$865,G291,Calc_Actuals!$K$2:$K$865,O291,Calc_Actuals!$F$2:$F$865,B291,Calc_Actuals!$H$2:$H$865,C291,Calc_Actuals!$C$2:$C$865,"Actual"),0)</f>
        <v>0</v>
      </c>
      <c r="N291" s="43" t="n">
        <f aca="false">IF(I291="Actual",SUMIFS(Calc_Actuals!$P$2:$P$865,Calc_Actuals!$J$2:$J$865,G291,Calc_Actuals!$K$2:$K$865,O291,Calc_Actuals!$F$2:$F$865,B291,Calc_Actuals!$H$2:$H$865,C291,Calc_Actuals!$C$2:$C$865,"Actual"),0)</f>
        <v>0</v>
      </c>
      <c r="O291" s="42" t="n">
        <f aca="false">VALUE(RIGHT(A291,2))</f>
        <v>12</v>
      </c>
      <c r="P291" s="42" t="str">
        <f aca="false">A291&amp;"|"&amp;B291&amp;"|"&amp;C291</f>
        <v>2026-12|South|Foods</v>
      </c>
    </row>
    <row r="292" customFormat="false" ht="15" hidden="false" customHeight="false" outlineLevel="0" collapsed="false">
      <c r="A292" s="42" t="str">
        <f aca="false">Sales_Budget!A281</f>
        <v>2026-12</v>
      </c>
      <c r="B292" s="42" t="str">
        <f aca="false">Sales_Budget!B281</f>
        <v>North</v>
      </c>
      <c r="C292" s="42" t="str">
        <f aca="false">Sales_Budget!C281</f>
        <v>Home Care</v>
      </c>
      <c r="D292" s="43" t="n">
        <f aca="false">Sales_Budget!E281</f>
        <v>1117800</v>
      </c>
      <c r="E292" s="43" t="n">
        <f aca="false">Sales_Budget!F281</f>
        <v>693036</v>
      </c>
      <c r="F292" s="43" t="n">
        <f aca="false">Sales_Budget!G281</f>
        <v>424764</v>
      </c>
      <c r="G292" s="42" t="n">
        <f aca="false">VALUE(LEFT(A292,4))</f>
        <v>2026</v>
      </c>
      <c r="H292" s="42" t="n">
        <f aca="false">IF(COUNTIFS(Calc_Actuals!$F$2:$F$865,B292,Calc_Actuals!$H$2:$H$865,C292,Calc_Actuals!$C$2:$C$865,"Actual")&gt;0,1,0)</f>
        <v>0</v>
      </c>
      <c r="I292" s="42" t="str">
        <f aca="false">IFERROR(INDEX(Calendar!$E$2:$E$25,MATCH(A292,Calendar!$A$2:$A$25,0)),"UNMATCHED")</f>
        <v>Forecast</v>
      </c>
      <c r="J292" s="43" t="n">
        <f aca="false">D292*$B$7</f>
        <v>284018.250127318</v>
      </c>
      <c r="K292" s="43" t="n">
        <f aca="false">E292*$B$7</f>
        <v>176091.315078937</v>
      </c>
      <c r="L292" s="43" t="n">
        <f aca="false">F292*$B$7</f>
        <v>107926.935048381</v>
      </c>
      <c r="M292" s="43" t="n">
        <f aca="false">IF(I292="Actual",SUMIFS(Calc_Actuals!$N$2:$N$865,Calc_Actuals!$J$2:$J$865,G292,Calc_Actuals!$K$2:$K$865,O292,Calc_Actuals!$F$2:$F$865,B292,Calc_Actuals!$H$2:$H$865,C292,Calc_Actuals!$C$2:$C$865,"Actual"),0)</f>
        <v>0</v>
      </c>
      <c r="N292" s="43" t="n">
        <f aca="false">IF(I292="Actual",SUMIFS(Calc_Actuals!$P$2:$P$865,Calc_Actuals!$J$2:$J$865,G292,Calc_Actuals!$K$2:$K$865,O292,Calc_Actuals!$F$2:$F$865,B292,Calc_Actuals!$H$2:$H$865,C292,Calc_Actuals!$C$2:$C$865,"Actual"),0)</f>
        <v>0</v>
      </c>
      <c r="O292" s="42" t="n">
        <f aca="false">VALUE(RIGHT(A292,2))</f>
        <v>12</v>
      </c>
      <c r="P292" s="42" t="str">
        <f aca="false">A292&amp;"|"&amp;B292&amp;"|"&amp;C292</f>
        <v>2026-12|North|Home Care</v>
      </c>
    </row>
    <row r="293" customFormat="false" ht="15" hidden="false" customHeight="false" outlineLevel="0" collapsed="false">
      <c r="A293" s="42" t="str">
        <f aca="false">Sales_Budget!A282</f>
        <v>2026-12</v>
      </c>
      <c r="B293" s="42" t="str">
        <f aca="false">Sales_Budget!B282</f>
        <v>North</v>
      </c>
      <c r="C293" s="42" t="str">
        <f aca="false">Sales_Budget!C282</f>
        <v>Personal Care</v>
      </c>
      <c r="D293" s="43" t="n">
        <f aca="false">Sales_Budget!E282</f>
        <v>1198800</v>
      </c>
      <c r="E293" s="43" t="n">
        <f aca="false">Sales_Budget!F282</f>
        <v>743256</v>
      </c>
      <c r="F293" s="43" t="n">
        <f aca="false">Sales_Budget!G282</f>
        <v>455544</v>
      </c>
      <c r="G293" s="42" t="n">
        <f aca="false">VALUE(LEFT(A293,4))</f>
        <v>2026</v>
      </c>
      <c r="H293" s="42" t="n">
        <f aca="false">IF(COUNTIFS(Calc_Actuals!$F$2:$F$865,B293,Calc_Actuals!$H$2:$H$865,C293,Calc_Actuals!$C$2:$C$865,"Actual")&gt;0,1,0)</f>
        <v>1</v>
      </c>
      <c r="I293" s="42" t="str">
        <f aca="false">IFERROR(INDEX(Calendar!$E$2:$E$25,MATCH(A293,Calendar!$A$2:$A$25,0)),"UNMATCHED")</f>
        <v>Forecast</v>
      </c>
      <c r="J293" s="43" t="n">
        <f aca="false">D293*$B$7</f>
        <v>304599.28274524</v>
      </c>
      <c r="K293" s="43" t="n">
        <f aca="false">E293*$B$7</f>
        <v>188851.555302049</v>
      </c>
      <c r="L293" s="43" t="n">
        <f aca="false">F293*$B$7</f>
        <v>115747.727443191</v>
      </c>
      <c r="M293" s="43" t="n">
        <f aca="false">IF(I293="Actual",SUMIFS(Calc_Actuals!$N$2:$N$865,Calc_Actuals!$J$2:$J$865,G293,Calc_Actuals!$K$2:$K$865,O293,Calc_Actuals!$F$2:$F$865,B293,Calc_Actuals!$H$2:$H$865,C293,Calc_Actuals!$C$2:$C$865,"Actual"),0)</f>
        <v>0</v>
      </c>
      <c r="N293" s="43" t="n">
        <f aca="false">IF(I293="Actual",SUMIFS(Calc_Actuals!$P$2:$P$865,Calc_Actuals!$J$2:$J$865,G293,Calc_Actuals!$K$2:$K$865,O293,Calc_Actuals!$F$2:$F$865,B293,Calc_Actuals!$H$2:$H$865,C293,Calc_Actuals!$C$2:$C$865,"Actual"),0)</f>
        <v>0</v>
      </c>
      <c r="O293" s="42" t="n">
        <f aca="false">VALUE(RIGHT(A293,2))</f>
        <v>12</v>
      </c>
      <c r="P293" s="42" t="str">
        <f aca="false">A293&amp;"|"&amp;B293&amp;"|"&amp;C293</f>
        <v>2026-12|North|Personal Care</v>
      </c>
    </row>
    <row r="294" customFormat="false" ht="15" hidden="false" customHeight="false" outlineLevel="0" collapsed="false">
      <c r="A294" s="42" t="str">
        <f aca="false">Sales_Budget!A283</f>
        <v>2026-12</v>
      </c>
      <c r="B294" s="42" t="str">
        <f aca="false">Sales_Budget!B283</f>
        <v>North</v>
      </c>
      <c r="C294" s="42" t="str">
        <f aca="false">Sales_Budget!C283</f>
        <v>Foods</v>
      </c>
      <c r="D294" s="43" t="n">
        <f aca="false">Sales_Budget!E283</f>
        <v>1279800</v>
      </c>
      <c r="E294" s="43" t="n">
        <f aca="false">Sales_Budget!F283</f>
        <v>793476</v>
      </c>
      <c r="F294" s="43" t="n">
        <f aca="false">Sales_Budget!G283</f>
        <v>486324</v>
      </c>
      <c r="G294" s="42" t="n">
        <f aca="false">VALUE(LEFT(A294,4))</f>
        <v>2026</v>
      </c>
      <c r="H294" s="42" t="n">
        <f aca="false">IF(COUNTIFS(Calc_Actuals!$F$2:$F$865,B294,Calc_Actuals!$H$2:$H$865,C294,Calc_Actuals!$C$2:$C$865,"Actual")&gt;0,1,0)</f>
        <v>0</v>
      </c>
      <c r="I294" s="42" t="str">
        <f aca="false">IFERROR(INDEX(Calendar!$E$2:$E$25,MATCH(A294,Calendar!$A$2:$A$25,0)),"UNMATCHED")</f>
        <v>Forecast</v>
      </c>
      <c r="J294" s="43" t="n">
        <f aca="false">D294*$B$7</f>
        <v>325180.315363161</v>
      </c>
      <c r="K294" s="43" t="n">
        <f aca="false">E294*$B$7</f>
        <v>201611.79552516</v>
      </c>
      <c r="L294" s="43" t="n">
        <f aca="false">F294*$B$7</f>
        <v>123568.519838001</v>
      </c>
      <c r="M294" s="43" t="n">
        <f aca="false">IF(I294="Actual",SUMIFS(Calc_Actuals!$N$2:$N$865,Calc_Actuals!$J$2:$J$865,G294,Calc_Actuals!$K$2:$K$865,O294,Calc_Actuals!$F$2:$F$865,B294,Calc_Actuals!$H$2:$H$865,C294,Calc_Actuals!$C$2:$C$865,"Actual"),0)</f>
        <v>0</v>
      </c>
      <c r="N294" s="43" t="n">
        <f aca="false">IF(I294="Actual",SUMIFS(Calc_Actuals!$P$2:$P$865,Calc_Actuals!$J$2:$J$865,G294,Calc_Actuals!$K$2:$K$865,O294,Calc_Actuals!$F$2:$F$865,B294,Calc_Actuals!$H$2:$H$865,C294,Calc_Actuals!$C$2:$C$865,"Actual"),0)</f>
        <v>0</v>
      </c>
      <c r="O294" s="42" t="n">
        <f aca="false">VALUE(RIGHT(A294,2))</f>
        <v>12</v>
      </c>
      <c r="P294" s="42" t="str">
        <f aca="false">A294&amp;"|"&amp;B294&amp;"|"&amp;C294</f>
        <v>2026-12|North|Foods</v>
      </c>
    </row>
    <row r="295" customFormat="false" ht="15" hidden="false" customHeight="false" outlineLevel="0" collapsed="false">
      <c r="A295" s="42" t="str">
        <f aca="false">Sales_Budget!A284</f>
        <v>2026-12</v>
      </c>
      <c r="B295" s="42" t="str">
        <f aca="false">Sales_Budget!B284</f>
        <v>West</v>
      </c>
      <c r="C295" s="42" t="str">
        <f aca="false">Sales_Budget!C284</f>
        <v>Home Care</v>
      </c>
      <c r="D295" s="43" t="n">
        <f aca="false">Sales_Budget!E284</f>
        <v>1209600</v>
      </c>
      <c r="E295" s="43" t="n">
        <f aca="false">Sales_Budget!F284</f>
        <v>749952</v>
      </c>
      <c r="F295" s="43" t="n">
        <f aca="false">Sales_Budget!G284</f>
        <v>459648</v>
      </c>
      <c r="G295" s="42" t="n">
        <f aca="false">VALUE(LEFT(A295,4))</f>
        <v>2026</v>
      </c>
      <c r="H295" s="42" t="n">
        <f aca="false">IF(COUNTIFS(Calc_Actuals!$F$2:$F$865,B295,Calc_Actuals!$H$2:$H$865,C295,Calc_Actuals!$C$2:$C$865,"Actual")&gt;0,1,0)</f>
        <v>1</v>
      </c>
      <c r="I295" s="42" t="str">
        <f aca="false">IFERROR(INDEX(Calendar!$E$2:$E$25,MATCH(A295,Calendar!$A$2:$A$25,0)),"UNMATCHED")</f>
        <v>Forecast</v>
      </c>
      <c r="J295" s="43" t="n">
        <f aca="false">D295*$B$7</f>
        <v>307343.420427629</v>
      </c>
      <c r="K295" s="43" t="n">
        <f aca="false">E295*$B$7</f>
        <v>190552.92066513</v>
      </c>
      <c r="L295" s="43" t="n">
        <f aca="false">F295*$B$7</f>
        <v>116790.499762499</v>
      </c>
      <c r="M295" s="43" t="n">
        <f aca="false">IF(I295="Actual",SUMIFS(Calc_Actuals!$N$2:$N$865,Calc_Actuals!$J$2:$J$865,G295,Calc_Actuals!$K$2:$K$865,O295,Calc_Actuals!$F$2:$F$865,B295,Calc_Actuals!$H$2:$H$865,C295,Calc_Actuals!$C$2:$C$865,"Actual"),0)</f>
        <v>0</v>
      </c>
      <c r="N295" s="43" t="n">
        <f aca="false">IF(I295="Actual",SUMIFS(Calc_Actuals!$P$2:$P$865,Calc_Actuals!$J$2:$J$865,G295,Calc_Actuals!$K$2:$K$865,O295,Calc_Actuals!$F$2:$F$865,B295,Calc_Actuals!$H$2:$H$865,C295,Calc_Actuals!$C$2:$C$865,"Actual"),0)</f>
        <v>0</v>
      </c>
      <c r="O295" s="42" t="n">
        <f aca="false">VALUE(RIGHT(A295,2))</f>
        <v>12</v>
      </c>
      <c r="P295" s="42" t="str">
        <f aca="false">A295&amp;"|"&amp;B295&amp;"|"&amp;C295</f>
        <v>2026-12|West|Home Care</v>
      </c>
    </row>
    <row r="296" customFormat="false" ht="15" hidden="false" customHeight="false" outlineLevel="0" collapsed="false">
      <c r="A296" s="42" t="str">
        <f aca="false">Sales_Budget!A285</f>
        <v>2026-12</v>
      </c>
      <c r="B296" s="42" t="str">
        <f aca="false">Sales_Budget!B285</f>
        <v>West</v>
      </c>
      <c r="C296" s="42" t="str">
        <f aca="false">Sales_Budget!C285</f>
        <v>Personal Care</v>
      </c>
      <c r="D296" s="43" t="n">
        <f aca="false">Sales_Budget!E285</f>
        <v>1290600</v>
      </c>
      <c r="E296" s="43" t="n">
        <f aca="false">Sales_Budget!F285</f>
        <v>800172</v>
      </c>
      <c r="F296" s="43" t="n">
        <f aca="false">Sales_Budget!G285</f>
        <v>490428</v>
      </c>
      <c r="G296" s="42" t="n">
        <f aca="false">VALUE(LEFT(A296,4))</f>
        <v>2026</v>
      </c>
      <c r="H296" s="42" t="n">
        <f aca="false">IF(COUNTIFS(Calc_Actuals!$F$2:$F$865,B296,Calc_Actuals!$H$2:$H$865,C296,Calc_Actuals!$C$2:$C$865,"Actual")&gt;0,1,0)</f>
        <v>1</v>
      </c>
      <c r="I296" s="42" t="str">
        <f aca="false">IFERROR(INDEX(Calendar!$E$2:$E$25,MATCH(A296,Calendar!$A$2:$A$25,0)),"UNMATCHED")</f>
        <v>Forecast</v>
      </c>
      <c r="J296" s="43" t="n">
        <f aca="false">D296*$B$7</f>
        <v>327924.453045551</v>
      </c>
      <c r="K296" s="43" t="n">
        <f aca="false">E296*$B$7</f>
        <v>203313.160888241</v>
      </c>
      <c r="L296" s="43" t="n">
        <f aca="false">F296*$B$7</f>
        <v>124611.292157309</v>
      </c>
      <c r="M296" s="43" t="n">
        <f aca="false">IF(I296="Actual",SUMIFS(Calc_Actuals!$N$2:$N$865,Calc_Actuals!$J$2:$J$865,G296,Calc_Actuals!$K$2:$K$865,O296,Calc_Actuals!$F$2:$F$865,B296,Calc_Actuals!$H$2:$H$865,C296,Calc_Actuals!$C$2:$C$865,"Actual"),0)</f>
        <v>0</v>
      </c>
      <c r="N296" s="43" t="n">
        <f aca="false">IF(I296="Actual",SUMIFS(Calc_Actuals!$P$2:$P$865,Calc_Actuals!$J$2:$J$865,G296,Calc_Actuals!$K$2:$K$865,O296,Calc_Actuals!$F$2:$F$865,B296,Calc_Actuals!$H$2:$H$865,C296,Calc_Actuals!$C$2:$C$865,"Actual"),0)</f>
        <v>0</v>
      </c>
      <c r="O296" s="42" t="n">
        <f aca="false">VALUE(RIGHT(A296,2))</f>
        <v>12</v>
      </c>
      <c r="P296" s="42" t="str">
        <f aca="false">A296&amp;"|"&amp;B296&amp;"|"&amp;C296</f>
        <v>2026-12|West|Personal Care</v>
      </c>
    </row>
    <row r="297" customFormat="false" ht="15" hidden="false" customHeight="false" outlineLevel="0" collapsed="false">
      <c r="A297" s="42" t="str">
        <f aca="false">Sales_Budget!A286</f>
        <v>2026-12</v>
      </c>
      <c r="B297" s="42" t="str">
        <f aca="false">Sales_Budget!B286</f>
        <v>West</v>
      </c>
      <c r="C297" s="42" t="str">
        <f aca="false">Sales_Budget!C286</f>
        <v>Foods</v>
      </c>
      <c r="D297" s="43" t="n">
        <f aca="false">Sales_Budget!E286</f>
        <v>1371600</v>
      </c>
      <c r="E297" s="43" t="n">
        <f aca="false">Sales_Budget!F286</f>
        <v>850392</v>
      </c>
      <c r="F297" s="43" t="n">
        <f aca="false">Sales_Budget!G286</f>
        <v>521208</v>
      </c>
      <c r="G297" s="42" t="n">
        <f aca="false">VALUE(LEFT(A297,4))</f>
        <v>2026</v>
      </c>
      <c r="H297" s="42" t="n">
        <f aca="false">IF(COUNTIFS(Calc_Actuals!$F$2:$F$865,B297,Calc_Actuals!$H$2:$H$865,C297,Calc_Actuals!$C$2:$C$865,"Actual")&gt;0,1,0)</f>
        <v>0</v>
      </c>
      <c r="I297" s="42" t="str">
        <f aca="false">IFERROR(INDEX(Calendar!$E$2:$E$25,MATCH(A297,Calendar!$A$2:$A$25,0)),"UNMATCHED")</f>
        <v>Forecast</v>
      </c>
      <c r="J297" s="43" t="n">
        <f aca="false">D297*$B$7</f>
        <v>348505.485663472</v>
      </c>
      <c r="K297" s="43" t="n">
        <f aca="false">E297*$B$7</f>
        <v>216073.401111353</v>
      </c>
      <c r="L297" s="43" t="n">
        <f aca="false">F297*$B$7</f>
        <v>132432.08455212</v>
      </c>
      <c r="M297" s="43" t="n">
        <f aca="false">IF(I297="Actual",SUMIFS(Calc_Actuals!$N$2:$N$865,Calc_Actuals!$J$2:$J$865,G297,Calc_Actuals!$K$2:$K$865,O297,Calc_Actuals!$F$2:$F$865,B297,Calc_Actuals!$H$2:$H$865,C297,Calc_Actuals!$C$2:$C$865,"Actual"),0)</f>
        <v>0</v>
      </c>
      <c r="N297" s="43" t="n">
        <f aca="false">IF(I297="Actual",SUMIFS(Calc_Actuals!$P$2:$P$865,Calc_Actuals!$J$2:$J$865,G297,Calc_Actuals!$K$2:$K$865,O297,Calc_Actuals!$F$2:$F$865,B297,Calc_Actuals!$H$2:$H$865,C297,Calc_Actuals!$C$2:$C$865,"Actual"),0)</f>
        <v>0</v>
      </c>
      <c r="O297" s="42" t="n">
        <f aca="false">VALUE(RIGHT(A297,2))</f>
        <v>12</v>
      </c>
      <c r="P297" s="42" t="str">
        <f aca="false">A297&amp;"|"&amp;B297&amp;"|"&amp;C297</f>
        <v>2026-12|West|Foods</v>
      </c>
    </row>
    <row r="298" customFormat="false" ht="15" hidden="false" customHeight="false" outlineLevel="0" collapsed="false">
      <c r="A298" s="42" t="str">
        <f aca="false">Sales_Budget!A287</f>
        <v>2026-12</v>
      </c>
      <c r="B298" s="42" t="str">
        <f aca="false">Sales_Budget!B287</f>
        <v>East</v>
      </c>
      <c r="C298" s="42" t="str">
        <f aca="false">Sales_Budget!C287</f>
        <v>Home Care</v>
      </c>
      <c r="D298" s="43" t="n">
        <f aca="false">Sales_Budget!E287</f>
        <v>1301400</v>
      </c>
      <c r="E298" s="43" t="n">
        <f aca="false">Sales_Budget!F287</f>
        <v>806868</v>
      </c>
      <c r="F298" s="43" t="n">
        <f aca="false">Sales_Budget!G287</f>
        <v>494532</v>
      </c>
      <c r="G298" s="42" t="n">
        <f aca="false">VALUE(LEFT(A298,4))</f>
        <v>2026</v>
      </c>
      <c r="H298" s="42" t="n">
        <f aca="false">IF(COUNTIFS(Calc_Actuals!$F$2:$F$865,B298,Calc_Actuals!$H$2:$H$865,C298,Calc_Actuals!$C$2:$C$865,"Actual")&gt;0,1,0)</f>
        <v>1</v>
      </c>
      <c r="I298" s="42" t="str">
        <f aca="false">IFERROR(INDEX(Calendar!$E$2:$E$25,MATCH(A298,Calendar!$A$2:$A$25,0)),"UNMATCHED")</f>
        <v>Forecast</v>
      </c>
      <c r="J298" s="43" t="n">
        <f aca="false">D298*$B$7</f>
        <v>330668.59072794</v>
      </c>
      <c r="K298" s="43" t="n">
        <f aca="false">E298*$B$7</f>
        <v>205014.526251323</v>
      </c>
      <c r="L298" s="43" t="n">
        <f aca="false">F298*$B$7</f>
        <v>125654.064476617</v>
      </c>
      <c r="M298" s="43" t="n">
        <f aca="false">IF(I298="Actual",SUMIFS(Calc_Actuals!$N$2:$N$865,Calc_Actuals!$J$2:$J$865,G298,Calc_Actuals!$K$2:$K$865,O298,Calc_Actuals!$F$2:$F$865,B298,Calc_Actuals!$H$2:$H$865,C298,Calc_Actuals!$C$2:$C$865,"Actual"),0)</f>
        <v>0</v>
      </c>
      <c r="N298" s="43" t="n">
        <f aca="false">IF(I298="Actual",SUMIFS(Calc_Actuals!$P$2:$P$865,Calc_Actuals!$J$2:$J$865,G298,Calc_Actuals!$K$2:$K$865,O298,Calc_Actuals!$F$2:$F$865,B298,Calc_Actuals!$H$2:$H$865,C298,Calc_Actuals!$C$2:$C$865,"Actual"),0)</f>
        <v>0</v>
      </c>
      <c r="O298" s="42" t="n">
        <f aca="false">VALUE(RIGHT(A298,2))</f>
        <v>12</v>
      </c>
      <c r="P298" s="42" t="str">
        <f aca="false">A298&amp;"|"&amp;B298&amp;"|"&amp;C298</f>
        <v>2026-12|East|Home Care</v>
      </c>
    </row>
    <row r="299" customFormat="false" ht="15" hidden="false" customHeight="false" outlineLevel="0" collapsed="false">
      <c r="A299" s="42" t="str">
        <f aca="false">Sales_Budget!A288</f>
        <v>2026-12</v>
      </c>
      <c r="B299" s="42" t="str">
        <f aca="false">Sales_Budget!B288</f>
        <v>East</v>
      </c>
      <c r="C299" s="42" t="str">
        <f aca="false">Sales_Budget!C288</f>
        <v>Personal Care</v>
      </c>
      <c r="D299" s="43" t="n">
        <f aca="false">Sales_Budget!E288</f>
        <v>1382400</v>
      </c>
      <c r="E299" s="43" t="n">
        <f aca="false">Sales_Budget!F288</f>
        <v>857088</v>
      </c>
      <c r="F299" s="43" t="n">
        <f aca="false">Sales_Budget!G288</f>
        <v>525312</v>
      </c>
      <c r="G299" s="42" t="n">
        <f aca="false">VALUE(LEFT(A299,4))</f>
        <v>2026</v>
      </c>
      <c r="H299" s="42" t="n">
        <f aca="false">IF(COUNTIFS(Calc_Actuals!$F$2:$F$865,B299,Calc_Actuals!$H$2:$H$865,C299,Calc_Actuals!$C$2:$C$865,"Actual")&gt;0,1,0)</f>
        <v>0</v>
      </c>
      <c r="I299" s="42" t="str">
        <f aca="false">IFERROR(INDEX(Calendar!$E$2:$E$25,MATCH(A299,Calendar!$A$2:$A$25,0)),"UNMATCHED")</f>
        <v>Forecast</v>
      </c>
      <c r="J299" s="43" t="n">
        <f aca="false">D299*$B$7</f>
        <v>351249.623345862</v>
      </c>
      <c r="K299" s="43" t="n">
        <f aca="false">E299*$B$7</f>
        <v>217774.766474434</v>
      </c>
      <c r="L299" s="43" t="n">
        <f aca="false">F299*$B$7</f>
        <v>133474.856871428</v>
      </c>
      <c r="M299" s="43" t="n">
        <f aca="false">IF(I299="Actual",SUMIFS(Calc_Actuals!$N$2:$N$865,Calc_Actuals!$J$2:$J$865,G299,Calc_Actuals!$K$2:$K$865,O299,Calc_Actuals!$F$2:$F$865,B299,Calc_Actuals!$H$2:$H$865,C299,Calc_Actuals!$C$2:$C$865,"Actual"),0)</f>
        <v>0</v>
      </c>
      <c r="N299" s="43" t="n">
        <f aca="false">IF(I299="Actual",SUMIFS(Calc_Actuals!$P$2:$P$865,Calc_Actuals!$J$2:$J$865,G299,Calc_Actuals!$K$2:$K$865,O299,Calc_Actuals!$F$2:$F$865,B299,Calc_Actuals!$H$2:$H$865,C299,Calc_Actuals!$C$2:$C$865,"Actual"),0)</f>
        <v>0</v>
      </c>
      <c r="O299" s="42" t="n">
        <f aca="false">VALUE(RIGHT(A299,2))</f>
        <v>12</v>
      </c>
      <c r="P299" s="42" t="str">
        <f aca="false">A299&amp;"|"&amp;B299&amp;"|"&amp;C299</f>
        <v>2026-12|East|Personal Care</v>
      </c>
    </row>
    <row r="300" customFormat="false" ht="15" hidden="false" customHeight="false" outlineLevel="0" collapsed="false">
      <c r="A300" s="42" t="str">
        <f aca="false">Sales_Budget!A289</f>
        <v>2026-12</v>
      </c>
      <c r="B300" s="42" t="str">
        <f aca="false">Sales_Budget!B289</f>
        <v>East</v>
      </c>
      <c r="C300" s="42" t="str">
        <f aca="false">Sales_Budget!C289</f>
        <v>Foods</v>
      </c>
      <c r="D300" s="43" t="n">
        <f aca="false">Sales_Budget!E289</f>
        <v>1463400</v>
      </c>
      <c r="E300" s="43" t="n">
        <f aca="false">Sales_Budget!F289</f>
        <v>907308</v>
      </c>
      <c r="F300" s="43" t="n">
        <f aca="false">Sales_Budget!G289</f>
        <v>556092</v>
      </c>
      <c r="G300" s="42" t="n">
        <f aca="false">VALUE(LEFT(A300,4))</f>
        <v>2026</v>
      </c>
      <c r="H300" s="42" t="n">
        <f aca="false">IF(COUNTIFS(Calc_Actuals!$F$2:$F$865,B300,Calc_Actuals!$H$2:$H$865,C300,Calc_Actuals!$C$2:$C$865,"Actual")&gt;0,1,0)</f>
        <v>1</v>
      </c>
      <c r="I300" s="42" t="str">
        <f aca="false">IFERROR(INDEX(Calendar!$E$2:$E$25,MATCH(A300,Calendar!$A$2:$A$25,0)),"UNMATCHED")</f>
        <v>Forecast</v>
      </c>
      <c r="J300" s="43" t="n">
        <f aca="false">D300*$B$7</f>
        <v>371830.655963783</v>
      </c>
      <c r="K300" s="43" t="n">
        <f aca="false">E300*$B$7</f>
        <v>230535.006697546</v>
      </c>
      <c r="L300" s="43" t="n">
        <f aca="false">F300*$B$7</f>
        <v>141295.649266238</v>
      </c>
      <c r="M300" s="43" t="n">
        <f aca="false">IF(I300="Actual",SUMIFS(Calc_Actuals!$N$2:$N$865,Calc_Actuals!$J$2:$J$865,G300,Calc_Actuals!$K$2:$K$865,O300,Calc_Actuals!$F$2:$F$865,B300,Calc_Actuals!$H$2:$H$865,C300,Calc_Actuals!$C$2:$C$865,"Actual"),0)</f>
        <v>0</v>
      </c>
      <c r="N300" s="43" t="n">
        <f aca="false">IF(I300="Actual",SUMIFS(Calc_Actuals!$P$2:$P$865,Calc_Actuals!$J$2:$J$865,G300,Calc_Actuals!$K$2:$K$865,O300,Calc_Actuals!$F$2:$F$865,B300,Calc_Actuals!$H$2:$H$865,C300,Calc_Actuals!$C$2:$C$865,"Actual"),0)</f>
        <v>0</v>
      </c>
      <c r="O300" s="42" t="n">
        <f aca="false">VALUE(RIGHT(A300,2))</f>
        <v>12</v>
      </c>
      <c r="P300" s="42" t="str">
        <f aca="false">A300&amp;"|"&amp;B300&amp;"|"&amp;C300</f>
        <v>2026-12|East|Foods</v>
      </c>
    </row>
  </sheetData>
  <mergeCells count="1">
    <mergeCell ref="A9:O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J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5"/>
    <col collapsed="false" customWidth="true" hidden="false" outlineLevel="0" max="3" min="3" style="0" width="44"/>
    <col collapsed="false" customWidth="true" hidden="false" outlineLevel="0" max="4" min="4" style="0" width="52"/>
    <col collapsed="false" customWidth="true" hidden="false" outlineLevel="0" max="6" min="5" style="0" width="18"/>
    <col collapsed="false" customWidth="true" hidden="false" outlineLevel="0" max="7" min="7" style="0" width="14"/>
    <col collapsed="false" customWidth="true" hidden="false" outlineLevel="0" max="9" min="8" style="0" width="10"/>
    <col collapsed="false" customWidth="true" hidden="false" outlineLevel="0" max="10" min="10" style="0" width="46"/>
  </cols>
  <sheetData>
    <row r="1" customFormat="false" ht="19.7" hidden="false" customHeight="false" outlineLevel="0" collapsed="false">
      <c r="A1" s="1" t="s">
        <v>213</v>
      </c>
    </row>
    <row r="2" customFormat="false" ht="15" hidden="false" customHeight="false" outlineLevel="0" collapsed="false">
      <c r="A2" s="2" t="s">
        <v>214</v>
      </c>
    </row>
    <row r="3" customFormat="false" ht="15" hidden="false" customHeight="false" outlineLevel="0" collapsed="false">
      <c r="A3" s="16" t="s">
        <v>215</v>
      </c>
      <c r="B3" s="16"/>
      <c r="C3" s="16" t="str">
        <f aca="false">IF(COUNTIF(I6:I56,"FAIL")=0,"ALL "&amp;COUNTIF(I6:I56,"PASS")&amp;" CHECKS PASS",COUNTIF(I6:I56,"FAIL")&amp;" CHECK(S) FAIL")</f>
        <v>ALL 51 CHECKS PASS</v>
      </c>
    </row>
    <row r="5" customFormat="false" ht="31.5" hidden="false" customHeight="true" outlineLevel="0" collapsed="false">
      <c r="A5" s="4" t="s">
        <v>216</v>
      </c>
      <c r="B5" s="4" t="s">
        <v>217</v>
      </c>
      <c r="C5" s="4" t="s">
        <v>218</v>
      </c>
      <c r="D5" s="4" t="s">
        <v>219</v>
      </c>
      <c r="E5" s="4" t="s">
        <v>220</v>
      </c>
      <c r="F5" s="4" t="s">
        <v>221</v>
      </c>
      <c r="G5" s="4" t="s">
        <v>222</v>
      </c>
      <c r="H5" s="4" t="s">
        <v>223</v>
      </c>
      <c r="I5" s="4" t="s">
        <v>224</v>
      </c>
      <c r="J5" s="4" t="s">
        <v>225</v>
      </c>
    </row>
    <row r="6" customFormat="false" ht="30" hidden="false" customHeight="true" outlineLevel="0" collapsed="false">
      <c r="A6" s="17" t="n">
        <v>1</v>
      </c>
      <c r="B6" s="17" t="s">
        <v>226</v>
      </c>
      <c r="C6" s="14" t="s">
        <v>227</v>
      </c>
      <c r="D6" s="14" t="s">
        <v>228</v>
      </c>
      <c r="E6" s="44" t="n">
        <v>864</v>
      </c>
      <c r="F6" s="18" t="n">
        <f aca="false">COUNTA(Sales_Transactions!$A$2:$A$865)</f>
        <v>864</v>
      </c>
      <c r="G6" s="34" t="n">
        <f aca="false">F6-E6</f>
        <v>0</v>
      </c>
      <c r="H6" s="45" t="n">
        <v>0</v>
      </c>
      <c r="I6" s="46" t="str">
        <f aca="false">IF(ISNUMBER(G6),IF(ABS(G6)&lt;=H6,"PASS","FAIL"),"FAIL")</f>
        <v>PASS</v>
      </c>
      <c r="J6" s="14" t="str">
        <f aca="false">IF(I6="PASS","None",IF(I6="N/A","No baseline in source","EXCEPTION: difference "&amp;TEXT(G6,"#,##0.00")&amp;" - investigate; see Calc_Actuals filter on col W"))</f>
        <v>None</v>
      </c>
    </row>
    <row r="7" customFormat="false" ht="30" hidden="false" customHeight="true" outlineLevel="0" collapsed="false">
      <c r="A7" s="17" t="n">
        <v>2</v>
      </c>
      <c r="B7" s="17" t="s">
        <v>226</v>
      </c>
      <c r="C7" s="14" t="s">
        <v>229</v>
      </c>
      <c r="D7" s="14" t="s">
        <v>230</v>
      </c>
      <c r="E7" s="44" t="n">
        <v>756</v>
      </c>
      <c r="F7" s="18" t="n">
        <f aca="false">COUNTIF(Sales_Transactions!$C$2:$C$865,"Actual")</f>
        <v>756</v>
      </c>
      <c r="G7" s="34" t="n">
        <f aca="false">F7-E7</f>
        <v>0</v>
      </c>
      <c r="H7" s="45" t="n">
        <v>0</v>
      </c>
      <c r="I7" s="46" t="str">
        <f aca="false">IF(ISNUMBER(G7),IF(ABS(G7)&lt;=H7,"PASS","FAIL"),"FAIL")</f>
        <v>PASS</v>
      </c>
      <c r="J7" s="14" t="str">
        <f aca="false">IF(I7="PASS","None",IF(I7="N/A","No baseline in source","EXCEPTION: difference "&amp;TEXT(G7,"#,##0.00")&amp;" - investigate; see Calc_Actuals filter on col W"))</f>
        <v>None</v>
      </c>
    </row>
    <row r="8" customFormat="false" ht="30" hidden="false" customHeight="true" outlineLevel="0" collapsed="false">
      <c r="A8" s="17" t="n">
        <v>3</v>
      </c>
      <c r="B8" s="17" t="s">
        <v>226</v>
      </c>
      <c r="C8" s="14" t="s">
        <v>231</v>
      </c>
      <c r="D8" s="14" t="s">
        <v>232</v>
      </c>
      <c r="E8" s="44" t="n">
        <v>108</v>
      </c>
      <c r="F8" s="18" t="n">
        <f aca="false">COUNTIF(Sales_Transactions!$C$2:$C$865,"Forecast")</f>
        <v>108</v>
      </c>
      <c r="G8" s="34" t="n">
        <f aca="false">F8-E8</f>
        <v>0</v>
      </c>
      <c r="H8" s="45" t="n">
        <v>0</v>
      </c>
      <c r="I8" s="46" t="str">
        <f aca="false">IF(ISNUMBER(G8),IF(ABS(G8)&lt;=H8,"PASS","FAIL"),"FAIL")</f>
        <v>PASS</v>
      </c>
      <c r="J8" s="14" t="str">
        <f aca="false">IF(I8="PASS","None",IF(I8="N/A","No baseline in source","EXCEPTION: difference "&amp;TEXT(G8,"#,##0.00")&amp;" - investigate; see Calc_Actuals filter on col W"))</f>
        <v>None</v>
      </c>
    </row>
    <row r="9" customFormat="false" ht="30" hidden="false" customHeight="true" outlineLevel="0" collapsed="false">
      <c r="A9" s="17" t="n">
        <v>4</v>
      </c>
      <c r="B9" s="17" t="s">
        <v>226</v>
      </c>
      <c r="C9" s="14" t="s">
        <v>233</v>
      </c>
      <c r="D9" s="14" t="s">
        <v>234</v>
      </c>
      <c r="E9" s="18" t="n">
        <v>0</v>
      </c>
      <c r="F9" s="18" t="n">
        <f aca="false">ROWS(Sales_Transactions!$A$2:$A$865)-COUNTIF(Sales_Transactions!$C$2:$C$865,"Actual")-COUNTIF(Sales_Transactions!$C$2:$C$865,"Forecast")</f>
        <v>0</v>
      </c>
      <c r="G9" s="34" t="n">
        <f aca="false">F9-E9</f>
        <v>0</v>
      </c>
      <c r="H9" s="45" t="n">
        <v>0</v>
      </c>
      <c r="I9" s="46" t="str">
        <f aca="false">IF(ISNUMBER(G9),IF(ABS(G9)&lt;=H9,"PASS","FAIL"),"FAIL")</f>
        <v>PASS</v>
      </c>
      <c r="J9" s="14" t="str">
        <f aca="false">IF(I9="PASS","None",IF(I9="N/A","No baseline in source","EXCEPTION: difference "&amp;TEXT(G9,"#,##0.00")&amp;" - investigate; see Calc_Actuals filter on col W"))</f>
        <v>None</v>
      </c>
    </row>
    <row r="10" customFormat="false" ht="30" hidden="false" customHeight="true" outlineLevel="0" collapsed="false">
      <c r="A10" s="17" t="n">
        <v>5</v>
      </c>
      <c r="B10" s="17" t="s">
        <v>226</v>
      </c>
      <c r="C10" s="14" t="s">
        <v>235</v>
      </c>
      <c r="D10" s="14" t="s">
        <v>236</v>
      </c>
      <c r="E10" s="18" t="n">
        <v>0</v>
      </c>
      <c r="F10" s="18" t="n">
        <f aca="false">COUNTBLANK(Sales_Transactions!$A$2:$K$865)</f>
        <v>0</v>
      </c>
      <c r="G10" s="34" t="n">
        <f aca="false">F10-E10</f>
        <v>0</v>
      </c>
      <c r="H10" s="45" t="n">
        <v>0</v>
      </c>
      <c r="I10" s="46" t="str">
        <f aca="false">IF(ISNUMBER(G10),IF(ABS(G10)&lt;=H10,"PASS","FAIL"),"FAIL")</f>
        <v>PASS</v>
      </c>
      <c r="J10" s="14" t="str">
        <f aca="false">IF(I10="PASS","None",IF(I10="N/A","No baseline in source","EXCEPTION: difference "&amp;TEXT(G10,"#,##0.00")&amp;" - investigate; see Calc_Actuals filter on col W"))</f>
        <v>None</v>
      </c>
    </row>
    <row r="11" customFormat="false" ht="30" hidden="false" customHeight="true" outlineLevel="0" collapsed="false">
      <c r="A11" s="17" t="n">
        <v>6</v>
      </c>
      <c r="B11" s="17" t="s">
        <v>237</v>
      </c>
      <c r="C11" s="14" t="s">
        <v>238</v>
      </c>
      <c r="D11" s="14" t="s">
        <v>239</v>
      </c>
      <c r="E11" s="44" t="n">
        <v>864</v>
      </c>
      <c r="F11" s="18" t="n">
        <f aca="false">ROUND(SUMPRODUCT(1/COUNTIF(Sales_Transactions!$A$2:$A$865,Sales_Transactions!$A$2:$A$865)),0)</f>
        <v>864</v>
      </c>
      <c r="G11" s="34" t="n">
        <f aca="false">F11-E11</f>
        <v>0</v>
      </c>
      <c r="H11" s="45" t="n">
        <v>0</v>
      </c>
      <c r="I11" s="46" t="str">
        <f aca="false">IF(ISNUMBER(G11),IF(ABS(G11)&lt;=H11,"PASS","FAIL"),"FAIL")</f>
        <v>PASS</v>
      </c>
      <c r="J11" s="14" t="str">
        <f aca="false">IF(I11="PASS","None",IF(I11="N/A","No baseline in source","EXCEPTION: difference "&amp;TEXT(G11,"#,##0.00")&amp;" - investigate; see Calc_Actuals filter on col W"))</f>
        <v>None</v>
      </c>
    </row>
    <row r="12" customFormat="false" ht="30" hidden="false" customHeight="true" outlineLevel="0" collapsed="false">
      <c r="A12" s="17" t="n">
        <v>7</v>
      </c>
      <c r="B12" s="17" t="s">
        <v>237</v>
      </c>
      <c r="C12" s="14" t="s">
        <v>240</v>
      </c>
      <c r="D12" s="14" t="s">
        <v>241</v>
      </c>
      <c r="E12" s="18" t="n">
        <v>0</v>
      </c>
      <c r="F12" s="18" t="n">
        <f aca="false">ROWS(Sales_Transactions!$A$2:$A$865)-ROUND(SUMPRODUCT(1/COUNTIF(Sales_Transactions!$A$2:$A$865,Sales_Transactions!$A$2:$A$865)),0)</f>
        <v>0</v>
      </c>
      <c r="G12" s="34" t="n">
        <f aca="false">F12-E12</f>
        <v>0</v>
      </c>
      <c r="H12" s="45" t="n">
        <v>0</v>
      </c>
      <c r="I12" s="46" t="str">
        <f aca="false">IF(ISNUMBER(G12),IF(ABS(G12)&lt;=H12,"PASS","FAIL"),"FAIL")</f>
        <v>PASS</v>
      </c>
      <c r="J12" s="14" t="str">
        <f aca="false">IF(I12="PASS","None",IF(I12="N/A","No baseline in source","EXCEPTION: difference "&amp;TEXT(G12,"#,##0.00")&amp;" - investigate; see Calc_Actuals filter on col W"))</f>
        <v>None</v>
      </c>
    </row>
    <row r="13" customFormat="false" ht="30" hidden="false" customHeight="true" outlineLevel="0" collapsed="false">
      <c r="A13" s="17" t="n">
        <v>8</v>
      </c>
      <c r="B13" s="17" t="s">
        <v>237</v>
      </c>
      <c r="C13" s="14" t="s">
        <v>242</v>
      </c>
      <c r="D13" s="14" t="s">
        <v>243</v>
      </c>
      <c r="E13" s="44" t="n">
        <v>0</v>
      </c>
      <c r="F13" s="18" t="n">
        <f aca="false">SUMPRODUCT(--ISNA(MATCH(Sales_Transactions!$E$2:$E$865,Product_Master!$A$2:$A$9,0)))</f>
        <v>0</v>
      </c>
      <c r="G13" s="34" t="n">
        <f aca="false">F13-E13</f>
        <v>0</v>
      </c>
      <c r="H13" s="45" t="n">
        <v>0</v>
      </c>
      <c r="I13" s="46" t="str">
        <f aca="false">IF(ISNUMBER(G13),IF(ABS(G13)&lt;=H13,"PASS","FAIL"),"FAIL")</f>
        <v>PASS</v>
      </c>
      <c r="J13" s="14" t="str">
        <f aca="false">IF(I13="PASS","None",IF(I13="N/A","No baseline in source","EXCEPTION: difference "&amp;TEXT(G13,"#,##0.00")&amp;" - investigate; see Calc_Actuals filter on col W"))</f>
        <v>None</v>
      </c>
    </row>
    <row r="14" customFormat="false" ht="30" hidden="false" customHeight="true" outlineLevel="0" collapsed="false">
      <c r="A14" s="17" t="n">
        <v>9</v>
      </c>
      <c r="B14" s="17" t="s">
        <v>237</v>
      </c>
      <c r="C14" s="14" t="s">
        <v>244</v>
      </c>
      <c r="D14" s="14" t="s">
        <v>245</v>
      </c>
      <c r="E14" s="44" t="n">
        <v>0</v>
      </c>
      <c r="F14" s="18" t="n">
        <f aca="false">SUMPRODUCT(--ISNA(MATCH(Sales_Transactions!$D$2:$D$865,Customer_Master!$A$2:$A$49,0)))</f>
        <v>0</v>
      </c>
      <c r="G14" s="34" t="n">
        <f aca="false">F14-E14</f>
        <v>0</v>
      </c>
      <c r="H14" s="45" t="n">
        <v>0</v>
      </c>
      <c r="I14" s="46" t="str">
        <f aca="false">IF(ISNUMBER(G14),IF(ABS(G14)&lt;=H14,"PASS","FAIL"),"FAIL")</f>
        <v>PASS</v>
      </c>
      <c r="J14" s="14" t="str">
        <f aca="false">IF(I14="PASS","None",IF(I14="N/A","No baseline in source","EXCEPTION: difference "&amp;TEXT(G14,"#,##0.00")&amp;" - investigate; see Calc_Actuals filter on col W"))</f>
        <v>None</v>
      </c>
    </row>
    <row r="15" customFormat="false" ht="30" hidden="false" customHeight="true" outlineLevel="0" collapsed="false">
      <c r="A15" s="17" t="n">
        <v>10</v>
      </c>
      <c r="B15" s="17" t="s">
        <v>237</v>
      </c>
      <c r="C15" s="14" t="s">
        <v>246</v>
      </c>
      <c r="D15" s="14" t="s">
        <v>247</v>
      </c>
      <c r="E15" s="18" t="n">
        <v>0</v>
      </c>
      <c r="F15" s="18" t="n">
        <f aca="false">SUMPRODUCT(--ISNA(MATCH(Sales_Transactions!$B$2:$B$865,Calendar!$A$2:$A$25,0)))</f>
        <v>0</v>
      </c>
      <c r="G15" s="34" t="n">
        <f aca="false">F15-E15</f>
        <v>0</v>
      </c>
      <c r="H15" s="45" t="n">
        <v>0</v>
      </c>
      <c r="I15" s="46" t="str">
        <f aca="false">IF(ISNUMBER(G15),IF(ABS(G15)&lt;=H15,"PASS","FAIL"),"FAIL")</f>
        <v>PASS</v>
      </c>
      <c r="J15" s="14" t="str">
        <f aca="false">IF(I15="PASS","None",IF(I15="N/A","No baseline in source","EXCEPTION: difference "&amp;TEXT(G15,"#,##0.00")&amp;" - investigate; see Calc_Actuals filter on col W"))</f>
        <v>None</v>
      </c>
    </row>
    <row r="16" customFormat="false" ht="30" hidden="false" customHeight="true" outlineLevel="0" collapsed="false">
      <c r="A16" s="17" t="n">
        <v>11</v>
      </c>
      <c r="B16" s="17" t="s">
        <v>237</v>
      </c>
      <c r="C16" s="14" t="s">
        <v>248</v>
      </c>
      <c r="D16" s="14" t="s">
        <v>249</v>
      </c>
      <c r="E16" s="18" t="n">
        <v>0</v>
      </c>
      <c r="F16" s="18" t="n">
        <f aca="false">ROWS(Product_Master!$A$2:$A$9)-ROUND(SUMPRODUCT(1/COUNTIF(Product_Master!$A$2:$A$9,Product_Master!$A$2:$A$9)),0)</f>
        <v>0</v>
      </c>
      <c r="G16" s="34" t="n">
        <f aca="false">F16-E16</f>
        <v>0</v>
      </c>
      <c r="H16" s="45" t="n">
        <v>0</v>
      </c>
      <c r="I16" s="46" t="str">
        <f aca="false">IF(ISNUMBER(G16),IF(ABS(G16)&lt;=H16,"PASS","FAIL"),"FAIL")</f>
        <v>PASS</v>
      </c>
      <c r="J16" s="14" t="str">
        <f aca="false">IF(I16="PASS","None",IF(I16="N/A","No baseline in source","EXCEPTION: difference "&amp;TEXT(G16,"#,##0.00")&amp;" - investigate; see Calc_Actuals filter on col W"))</f>
        <v>None</v>
      </c>
    </row>
    <row r="17" customFormat="false" ht="30" hidden="false" customHeight="true" outlineLevel="0" collapsed="false">
      <c r="A17" s="17" t="n">
        <v>12</v>
      </c>
      <c r="B17" s="17" t="s">
        <v>237</v>
      </c>
      <c r="C17" s="14" t="s">
        <v>250</v>
      </c>
      <c r="D17" s="14" t="s">
        <v>249</v>
      </c>
      <c r="E17" s="18" t="n">
        <v>0</v>
      </c>
      <c r="F17" s="18" t="n">
        <f aca="false">ROWS(Customer_Master!$A$2:$A$49)-ROUND(SUMPRODUCT(1/COUNTIF(Customer_Master!$A$2:$A$49,Customer_Master!$A$2:$A$49)),0)</f>
        <v>0</v>
      </c>
      <c r="G17" s="34" t="n">
        <f aca="false">F17-E17</f>
        <v>0</v>
      </c>
      <c r="H17" s="45" t="n">
        <v>0</v>
      </c>
      <c r="I17" s="46" t="str">
        <f aca="false">IF(ISNUMBER(G17),IF(ABS(G17)&lt;=H17,"PASS","FAIL"),"FAIL")</f>
        <v>PASS</v>
      </c>
      <c r="J17" s="14" t="str">
        <f aca="false">IF(I17="PASS","None",IF(I17="N/A","No baseline in source","EXCEPTION: difference "&amp;TEXT(G17,"#,##0.00")&amp;" - investigate; see Calc_Actuals filter on col W"))</f>
        <v>None</v>
      </c>
    </row>
    <row r="18" customFormat="false" ht="30" hidden="false" customHeight="true" outlineLevel="0" collapsed="false">
      <c r="A18" s="17" t="n">
        <v>13</v>
      </c>
      <c r="B18" s="17" t="s">
        <v>22</v>
      </c>
      <c r="C18" s="14" t="s">
        <v>251</v>
      </c>
      <c r="D18" s="14" t="s">
        <v>252</v>
      </c>
      <c r="E18" s="18" t="n">
        <v>0</v>
      </c>
      <c r="F18" s="18" t="n">
        <f aca="false">SUM(Calc_Actuals!$V$2:$V$865)</f>
        <v>0</v>
      </c>
      <c r="G18" s="34" t="n">
        <f aca="false">F18-E18</f>
        <v>0</v>
      </c>
      <c r="H18" s="45" t="n">
        <v>0</v>
      </c>
      <c r="I18" s="46" t="str">
        <f aca="false">IF(ISNUMBER(G18),IF(ABS(G18)&lt;=H18,"PASS","FAIL"),"FAIL")</f>
        <v>PASS</v>
      </c>
      <c r="J18" s="14" t="str">
        <f aca="false">IF(I18="PASS","None",IF(I18="N/A","No baseline in source","EXCEPTION: difference "&amp;TEXT(G18,"#,##0.00")&amp;" - investigate; see Calc_Actuals filter on col W"))</f>
        <v>None</v>
      </c>
    </row>
    <row r="19" customFormat="false" ht="30" hidden="false" customHeight="true" outlineLevel="0" collapsed="false">
      <c r="A19" s="17" t="n">
        <v>14</v>
      </c>
      <c r="B19" s="17" t="s">
        <v>253</v>
      </c>
      <c r="C19" s="14" t="s">
        <v>254</v>
      </c>
      <c r="D19" s="14" t="s">
        <v>255</v>
      </c>
      <c r="E19" s="18" t="n">
        <v>0</v>
      </c>
      <c r="F19" s="18" t="n">
        <f aca="false">SUMPRODUCT(--(ABS(Sales_Transactions!$F$2:$F$865*Sales_Transactions!$G$2:$G$865-Sales_Transactions!$I$2:$I$865)&gt;0.01))</f>
        <v>0</v>
      </c>
      <c r="G19" s="34" t="n">
        <f aca="false">F19-E19</f>
        <v>0</v>
      </c>
      <c r="H19" s="45" t="n">
        <v>0</v>
      </c>
      <c r="I19" s="46" t="str">
        <f aca="false">IF(ISNUMBER(G19),IF(ABS(G19)&lt;=H19,"PASS","FAIL"),"FAIL")</f>
        <v>PASS</v>
      </c>
      <c r="J19" s="14" t="str">
        <f aca="false">IF(I19="PASS","None",IF(I19="N/A","No baseline in source","EXCEPTION: difference "&amp;TEXT(G19,"#,##0.00")&amp;" - investigate; see Calc_Actuals filter on col W"))</f>
        <v>None</v>
      </c>
    </row>
    <row r="20" customFormat="false" ht="30" hidden="false" customHeight="true" outlineLevel="0" collapsed="false">
      <c r="A20" s="17" t="n">
        <v>15</v>
      </c>
      <c r="B20" s="17" t="s">
        <v>253</v>
      </c>
      <c r="C20" s="14" t="s">
        <v>256</v>
      </c>
      <c r="D20" s="14" t="s">
        <v>257</v>
      </c>
      <c r="E20" s="18" t="n">
        <v>0</v>
      </c>
      <c r="F20" s="18" t="n">
        <f aca="false">SUMPRODUCT(--(ABS(Sales_Transactions!$F$2:$F$865*Sales_Transactions!$H$2:$H$865-Sales_Transactions!$J$2:$J$865)&gt;0.01))</f>
        <v>0</v>
      </c>
      <c r="G20" s="34" t="n">
        <f aca="false">F20-E20</f>
        <v>0</v>
      </c>
      <c r="H20" s="45" t="n">
        <v>0</v>
      </c>
      <c r="I20" s="46" t="str">
        <f aca="false">IF(ISNUMBER(G20),IF(ABS(G20)&lt;=H20,"PASS","FAIL"),"FAIL")</f>
        <v>PASS</v>
      </c>
      <c r="J20" s="14" t="str">
        <f aca="false">IF(I20="PASS","None",IF(I20="N/A","No baseline in source","EXCEPTION: difference "&amp;TEXT(G20,"#,##0.00")&amp;" - investigate; see Calc_Actuals filter on col W"))</f>
        <v>None</v>
      </c>
    </row>
    <row r="21" customFormat="false" ht="30" hidden="false" customHeight="true" outlineLevel="0" collapsed="false">
      <c r="A21" s="17" t="n">
        <v>16</v>
      </c>
      <c r="B21" s="17" t="s">
        <v>253</v>
      </c>
      <c r="C21" s="14" t="s">
        <v>258</v>
      </c>
      <c r="D21" s="14" t="s">
        <v>259</v>
      </c>
      <c r="E21" s="18" t="n">
        <v>0</v>
      </c>
      <c r="F21" s="18" t="n">
        <f aca="false">SUMPRODUCT(--(ABS(Sales_Transactions!$I$2:$I$865-Sales_Transactions!$J$2:$J$865-Sales_Transactions!$K$2:$K$865)&gt;0.01))</f>
        <v>0</v>
      </c>
      <c r="G21" s="34" t="n">
        <f aca="false">F21-E21</f>
        <v>0</v>
      </c>
      <c r="H21" s="45" t="n">
        <v>0</v>
      </c>
      <c r="I21" s="46" t="str">
        <f aca="false">IF(ISNUMBER(G21),IF(ABS(G21)&lt;=H21,"PASS","FAIL"),"FAIL")</f>
        <v>PASS</v>
      </c>
      <c r="J21" s="14" t="str">
        <f aca="false">IF(I21="PASS","None",IF(I21="N/A","No baseline in source","EXCEPTION: difference "&amp;TEXT(G21,"#,##0.00")&amp;" - investigate; see Calc_Actuals filter on col W"))</f>
        <v>None</v>
      </c>
    </row>
    <row r="22" customFormat="false" ht="30" hidden="false" customHeight="true" outlineLevel="0" collapsed="false">
      <c r="A22" s="17" t="n">
        <v>17</v>
      </c>
      <c r="B22" s="17" t="s">
        <v>253</v>
      </c>
      <c r="C22" s="14" t="s">
        <v>260</v>
      </c>
      <c r="D22" s="14" t="s">
        <v>261</v>
      </c>
      <c r="E22" s="18" t="n">
        <v>0</v>
      </c>
      <c r="F22" s="18" t="n">
        <f aca="false">COUNTIF(Sales_Transactions!$F$2:$F$865,"&lt;=0")+COUNTIF(Sales_Transactions!$G$2:$G$865,"&lt;=0")+COUNTIF(Sales_Transactions!$H$2:$H$865,"&lt;=0")</f>
        <v>0</v>
      </c>
      <c r="G22" s="34" t="n">
        <f aca="false">F22-E22</f>
        <v>0</v>
      </c>
      <c r="H22" s="45" t="n">
        <v>0</v>
      </c>
      <c r="I22" s="46" t="str">
        <f aca="false">IF(ISNUMBER(G22),IF(ABS(G22)&lt;=H22,"PASS","FAIL"),"FAIL")</f>
        <v>PASS</v>
      </c>
      <c r="J22" s="14" t="str">
        <f aca="false">IF(I22="PASS","None",IF(I22="N/A","No baseline in source","EXCEPTION: difference "&amp;TEXT(G22,"#,##0.00")&amp;" - investigate; see Calc_Actuals filter on col W"))</f>
        <v>None</v>
      </c>
    </row>
    <row r="23" customFormat="false" ht="30" hidden="false" customHeight="true" outlineLevel="0" collapsed="false">
      <c r="A23" s="17" t="n">
        <v>18</v>
      </c>
      <c r="B23" s="17" t="s">
        <v>262</v>
      </c>
      <c r="C23" s="14" t="s">
        <v>263</v>
      </c>
      <c r="D23" s="14" t="s">
        <v>264</v>
      </c>
      <c r="E23" s="47" t="n">
        <f aca="false">SUMIFS(Sales_Transactions!$I$2:$I$865,Sales_Transactions!$C$2:$C$865,"Actual")</f>
        <v>42593025.3</v>
      </c>
      <c r="F23" s="47" t="n">
        <f aca="false">Monthly_MIS!E30</f>
        <v>42593025.3</v>
      </c>
      <c r="G23" s="48" t="n">
        <f aca="false">F23-E23</f>
        <v>0</v>
      </c>
      <c r="H23" s="45" t="n">
        <v>0.01</v>
      </c>
      <c r="I23" s="46" t="str">
        <f aca="false">IF(ISNUMBER(G23),IF(ABS(G23)&lt;=H23,"PASS","FAIL"),"FAIL")</f>
        <v>PASS</v>
      </c>
      <c r="J23" s="14" t="str">
        <f aca="false">IF(I23="PASS","None",IF(I23="N/A","No baseline in source","EXCEPTION: difference "&amp;TEXT(G23,"#,##0.00")&amp;" - investigate; see Calc_Actuals filter on col W"))</f>
        <v>None</v>
      </c>
    </row>
    <row r="24" customFormat="false" ht="30" hidden="false" customHeight="true" outlineLevel="0" collapsed="false">
      <c r="A24" s="17" t="n">
        <v>19</v>
      </c>
      <c r="B24" s="17" t="s">
        <v>262</v>
      </c>
      <c r="C24" s="14" t="s">
        <v>265</v>
      </c>
      <c r="D24" s="14" t="s">
        <v>266</v>
      </c>
      <c r="E24" s="49" t="n">
        <v>42593025.3</v>
      </c>
      <c r="F24" s="47" t="n">
        <f aca="false">Monthly_MIS!E30</f>
        <v>42593025.3</v>
      </c>
      <c r="G24" s="48" t="n">
        <f aca="false">F24-E24</f>
        <v>0</v>
      </c>
      <c r="H24" s="45" t="n">
        <v>0.01</v>
      </c>
      <c r="I24" s="46" t="str">
        <f aca="false">IF(ISNUMBER(G24),IF(ABS(G24)&lt;=H24,"PASS","FAIL"),"FAIL")</f>
        <v>PASS</v>
      </c>
      <c r="J24" s="14" t="str">
        <f aca="false">IF(I24="PASS","None",IF(I24="N/A","No baseline in source","EXCEPTION: difference "&amp;TEXT(G24,"#,##0.00")&amp;" - investigate; see Calc_Actuals filter on col W"))</f>
        <v>None</v>
      </c>
    </row>
    <row r="25" customFormat="false" ht="30" hidden="false" customHeight="true" outlineLevel="0" collapsed="false">
      <c r="A25" s="17" t="n">
        <v>20</v>
      </c>
      <c r="B25" s="17" t="s">
        <v>262</v>
      </c>
      <c r="C25" s="14" t="s">
        <v>267</v>
      </c>
      <c r="D25" s="14" t="s">
        <v>268</v>
      </c>
      <c r="E25" s="47" t="n">
        <f aca="false">SUMIFS(Sales_Transactions!$J$2:$J$865,Sales_Transactions!$C$2:$C$865,"Actual")</f>
        <v>27380595.19</v>
      </c>
      <c r="F25" s="47" t="n">
        <f aca="false">Monthly_MIS!F30</f>
        <v>27380595.19</v>
      </c>
      <c r="G25" s="48" t="n">
        <f aca="false">F25-E25</f>
        <v>0</v>
      </c>
      <c r="H25" s="45" t="n">
        <v>0.01</v>
      </c>
      <c r="I25" s="46" t="str">
        <f aca="false">IF(ISNUMBER(G25),IF(ABS(G25)&lt;=H25,"PASS","FAIL"),"FAIL")</f>
        <v>PASS</v>
      </c>
      <c r="J25" s="14" t="str">
        <f aca="false">IF(I25="PASS","None",IF(I25="N/A","No baseline in source","EXCEPTION: difference "&amp;TEXT(G25,"#,##0.00")&amp;" - investigate; see Calc_Actuals filter on col W"))</f>
        <v>None</v>
      </c>
    </row>
    <row r="26" customFormat="false" ht="30" hidden="false" customHeight="true" outlineLevel="0" collapsed="false">
      <c r="A26" s="17" t="n">
        <v>21</v>
      </c>
      <c r="B26" s="17" t="s">
        <v>262</v>
      </c>
      <c r="C26" s="14" t="s">
        <v>269</v>
      </c>
      <c r="D26" s="14" t="s">
        <v>266</v>
      </c>
      <c r="E26" s="49" t="n">
        <v>27380595.19</v>
      </c>
      <c r="F26" s="47" t="n">
        <f aca="false">Monthly_MIS!F30</f>
        <v>27380595.19</v>
      </c>
      <c r="G26" s="48" t="n">
        <f aca="false">F26-E26</f>
        <v>0</v>
      </c>
      <c r="H26" s="45" t="n">
        <v>0.01</v>
      </c>
      <c r="I26" s="46" t="str">
        <f aca="false">IF(ISNUMBER(G26),IF(ABS(G26)&lt;=H26,"PASS","FAIL"),"FAIL")</f>
        <v>PASS</v>
      </c>
      <c r="J26" s="14" t="str">
        <f aca="false">IF(I26="PASS","None",IF(I26="N/A","No baseline in source","EXCEPTION: difference "&amp;TEXT(G26,"#,##0.00")&amp;" - investigate; see Calc_Actuals filter on col W"))</f>
        <v>None</v>
      </c>
    </row>
    <row r="27" customFormat="false" ht="30" hidden="false" customHeight="true" outlineLevel="0" collapsed="false">
      <c r="A27" s="17" t="n">
        <v>22</v>
      </c>
      <c r="B27" s="17" t="s">
        <v>262</v>
      </c>
      <c r="C27" s="14" t="s">
        <v>270</v>
      </c>
      <c r="D27" s="14" t="s">
        <v>271</v>
      </c>
      <c r="E27" s="47" t="n">
        <f aca="false">SUMIFS(Sales_Transactions!$K$2:$K$865,Sales_Transactions!$C$2:$C$865,"Actual")</f>
        <v>15212430.11</v>
      </c>
      <c r="F27" s="47" t="n">
        <f aca="false">Monthly_MIS!G30</f>
        <v>15212430.11</v>
      </c>
      <c r="G27" s="48" t="n">
        <f aca="false">F27-E27</f>
        <v>0</v>
      </c>
      <c r="H27" s="45" t="n">
        <v>0.01</v>
      </c>
      <c r="I27" s="46" t="str">
        <f aca="false">IF(ISNUMBER(G27),IF(ABS(G27)&lt;=H27,"PASS","FAIL"),"FAIL")</f>
        <v>PASS</v>
      </c>
      <c r="J27" s="14" t="str">
        <f aca="false">IF(I27="PASS","None",IF(I27="N/A","No baseline in source","EXCEPTION: difference "&amp;TEXT(G27,"#,##0.00")&amp;" - investigate; see Calc_Actuals filter on col W"))</f>
        <v>None</v>
      </c>
    </row>
    <row r="28" customFormat="false" ht="30" hidden="false" customHeight="true" outlineLevel="0" collapsed="false">
      <c r="A28" s="17" t="n">
        <v>23</v>
      </c>
      <c r="B28" s="17" t="s">
        <v>262</v>
      </c>
      <c r="C28" s="14" t="s">
        <v>272</v>
      </c>
      <c r="D28" s="14" t="s">
        <v>266</v>
      </c>
      <c r="E28" s="49" t="n">
        <v>15212430.11</v>
      </c>
      <c r="F28" s="47" t="n">
        <f aca="false">Monthly_MIS!G30</f>
        <v>15212430.11</v>
      </c>
      <c r="G28" s="48" t="n">
        <f aca="false">F28-E28</f>
        <v>0</v>
      </c>
      <c r="H28" s="45" t="n">
        <v>0.01</v>
      </c>
      <c r="I28" s="46" t="str">
        <f aca="false">IF(ISNUMBER(G28),IF(ABS(G28)&lt;=H28,"PASS","FAIL"),"FAIL")</f>
        <v>PASS</v>
      </c>
      <c r="J28" s="14" t="str">
        <f aca="false">IF(I28="PASS","None",IF(I28="N/A","No baseline in source","EXCEPTION: difference "&amp;TEXT(G28,"#,##0.00")&amp;" - investigate; see Calc_Actuals filter on col W"))</f>
        <v>None</v>
      </c>
    </row>
    <row r="29" customFormat="false" ht="30" hidden="false" customHeight="true" outlineLevel="0" collapsed="false">
      <c r="A29" s="17" t="n">
        <v>24</v>
      </c>
      <c r="B29" s="17" t="s">
        <v>262</v>
      </c>
      <c r="C29" s="14" t="s">
        <v>273</v>
      </c>
      <c r="D29" s="14" t="s">
        <v>274</v>
      </c>
      <c r="E29" s="18" t="n">
        <v>0</v>
      </c>
      <c r="F29" s="18" t="n">
        <f aca="false">SUMPRODUCT(--(ABS(Monthly_MIS!$E$9:$E$29-Monthly_MIS!$L$9:$L$29)&gt;0.01))</f>
        <v>0</v>
      </c>
      <c r="G29" s="34" t="n">
        <f aca="false">F29-E29</f>
        <v>0</v>
      </c>
      <c r="H29" s="45" t="n">
        <v>0</v>
      </c>
      <c r="I29" s="46" t="str">
        <f aca="false">IF(ISNUMBER(G29),IF(ABS(G29)&lt;=H29,"PASS","FAIL"),"FAIL")</f>
        <v>PASS</v>
      </c>
      <c r="J29" s="14" t="str">
        <f aca="false">IF(I29="PASS","None",IF(I29="N/A","No baseline in source","EXCEPTION: difference "&amp;TEXT(G29,"#,##0.00")&amp;" - investigate; see Calc_Actuals filter on col W"))</f>
        <v>None</v>
      </c>
    </row>
    <row r="30" customFormat="false" ht="30" hidden="false" customHeight="true" outlineLevel="0" collapsed="false">
      <c r="A30" s="17" t="n">
        <v>25</v>
      </c>
      <c r="B30" s="17" t="s">
        <v>262</v>
      </c>
      <c r="C30" s="14" t="s">
        <v>275</v>
      </c>
      <c r="D30" s="14" t="s">
        <v>274</v>
      </c>
      <c r="E30" s="18" t="n">
        <v>0</v>
      </c>
      <c r="F30" s="18" t="n">
        <f aca="false">SUMPRODUCT(--(ABS(Monthly_MIS!$F$9:$F$29-Monthly_MIS!$M$9:$M$29)&gt;0.01))</f>
        <v>0</v>
      </c>
      <c r="G30" s="34" t="n">
        <f aca="false">F30-E30</f>
        <v>0</v>
      </c>
      <c r="H30" s="45" t="n">
        <v>0</v>
      </c>
      <c r="I30" s="46" t="str">
        <f aca="false">IF(ISNUMBER(G30),IF(ABS(G30)&lt;=H30,"PASS","FAIL"),"FAIL")</f>
        <v>PASS</v>
      </c>
      <c r="J30" s="14" t="str">
        <f aca="false">IF(I30="PASS","None",IF(I30="N/A","No baseline in source","EXCEPTION: difference "&amp;TEXT(G30,"#,##0.00")&amp;" - investigate; see Calc_Actuals filter on col W"))</f>
        <v>None</v>
      </c>
    </row>
    <row r="31" customFormat="false" ht="30" hidden="false" customHeight="true" outlineLevel="0" collapsed="false">
      <c r="A31" s="17" t="n">
        <v>26</v>
      </c>
      <c r="B31" s="17" t="s">
        <v>262</v>
      </c>
      <c r="C31" s="14" t="s">
        <v>276</v>
      </c>
      <c r="D31" s="14" t="s">
        <v>277</v>
      </c>
      <c r="E31" s="47" t="n">
        <f aca="false">Monthly_MIS!E30</f>
        <v>42593025.3</v>
      </c>
      <c r="F31" s="47" t="n">
        <f aca="false">Region_Performance!B10</f>
        <v>42593025.3</v>
      </c>
      <c r="G31" s="48" t="n">
        <f aca="false">F31-E31</f>
        <v>0</v>
      </c>
      <c r="H31" s="45" t="n">
        <v>0.01</v>
      </c>
      <c r="I31" s="46" t="str">
        <f aca="false">IF(ISNUMBER(G31),IF(ABS(G31)&lt;=H31,"PASS","FAIL"),"FAIL")</f>
        <v>PASS</v>
      </c>
      <c r="J31" s="14" t="str">
        <f aca="false">IF(I31="PASS","None",IF(I31="N/A","No baseline in source","EXCEPTION: difference "&amp;TEXT(G31,"#,##0.00")&amp;" - investigate; see Calc_Actuals filter on col W"))</f>
        <v>None</v>
      </c>
    </row>
    <row r="32" customFormat="false" ht="30" hidden="false" customHeight="true" outlineLevel="0" collapsed="false">
      <c r="A32" s="17" t="n">
        <v>27</v>
      </c>
      <c r="B32" s="17" t="s">
        <v>262</v>
      </c>
      <c r="C32" s="14" t="s">
        <v>278</v>
      </c>
      <c r="D32" s="14" t="s">
        <v>279</v>
      </c>
      <c r="E32" s="47" t="n">
        <f aca="false">Monthly_MIS!E30</f>
        <v>42593025.3</v>
      </c>
      <c r="F32" s="47" t="n">
        <f aca="false">Product_Performance!C14</f>
        <v>42593025.3</v>
      </c>
      <c r="G32" s="48" t="n">
        <f aca="false">F32-E32</f>
        <v>0</v>
      </c>
      <c r="H32" s="45" t="n">
        <v>0.01</v>
      </c>
      <c r="I32" s="46" t="str">
        <f aca="false">IF(ISNUMBER(G32),IF(ABS(G32)&lt;=H32,"PASS","FAIL"),"FAIL")</f>
        <v>PASS</v>
      </c>
      <c r="J32" s="14" t="str">
        <f aca="false">IF(I32="PASS","None",IF(I32="N/A","No baseline in source","EXCEPTION: difference "&amp;TEXT(G32,"#,##0.00")&amp;" - investigate; see Calc_Actuals filter on col W"))</f>
        <v>None</v>
      </c>
    </row>
    <row r="33" customFormat="false" ht="30" hidden="false" customHeight="true" outlineLevel="0" collapsed="false">
      <c r="A33" s="17" t="n">
        <v>28</v>
      </c>
      <c r="B33" s="17" t="s">
        <v>262</v>
      </c>
      <c r="C33" s="14" t="s">
        <v>280</v>
      </c>
      <c r="D33" s="14" t="s">
        <v>277</v>
      </c>
      <c r="E33" s="47" t="n">
        <f aca="false">Monthly_MIS!F30</f>
        <v>27380595.19</v>
      </c>
      <c r="F33" s="47" t="n">
        <f aca="false">Region_Performance!C10</f>
        <v>27380595.19</v>
      </c>
      <c r="G33" s="48" t="n">
        <f aca="false">F33-E33</f>
        <v>0</v>
      </c>
      <c r="H33" s="45" t="n">
        <v>0.01</v>
      </c>
      <c r="I33" s="46" t="str">
        <f aca="false">IF(ISNUMBER(G33),IF(ABS(G33)&lt;=H33,"PASS","FAIL"),"FAIL")</f>
        <v>PASS</v>
      </c>
      <c r="J33" s="14" t="str">
        <f aca="false">IF(I33="PASS","None",IF(I33="N/A","No baseline in source","EXCEPTION: difference "&amp;TEXT(G33,"#,##0.00")&amp;" - investigate; see Calc_Actuals filter on col W"))</f>
        <v>None</v>
      </c>
    </row>
    <row r="34" customFormat="false" ht="30" hidden="false" customHeight="true" outlineLevel="0" collapsed="false">
      <c r="A34" s="17" t="n">
        <v>29</v>
      </c>
      <c r="B34" s="17" t="s">
        <v>262</v>
      </c>
      <c r="C34" s="14" t="s">
        <v>281</v>
      </c>
      <c r="D34" s="14" t="s">
        <v>279</v>
      </c>
      <c r="E34" s="47" t="n">
        <f aca="false">Monthly_MIS!F30</f>
        <v>27380595.19</v>
      </c>
      <c r="F34" s="47" t="n">
        <f aca="false">Product_Performance!D14</f>
        <v>27380595.19</v>
      </c>
      <c r="G34" s="48" t="n">
        <f aca="false">F34-E34</f>
        <v>0</v>
      </c>
      <c r="H34" s="45" t="n">
        <v>0.01</v>
      </c>
      <c r="I34" s="46" t="str">
        <f aca="false">IF(ISNUMBER(G34),IF(ABS(G34)&lt;=H34,"PASS","FAIL"),"FAIL")</f>
        <v>PASS</v>
      </c>
      <c r="J34" s="14" t="str">
        <f aca="false">IF(I34="PASS","None",IF(I34="N/A","No baseline in source","EXCEPTION: difference "&amp;TEXT(G34,"#,##0.00")&amp;" - investigate; see Calc_Actuals filter on col W"))</f>
        <v>None</v>
      </c>
    </row>
    <row r="35" customFormat="false" ht="30" hidden="false" customHeight="true" outlineLevel="0" collapsed="false">
      <c r="A35" s="17" t="n">
        <v>30</v>
      </c>
      <c r="B35" s="17" t="s">
        <v>262</v>
      </c>
      <c r="C35" s="14" t="s">
        <v>282</v>
      </c>
      <c r="D35" s="14" t="s">
        <v>277</v>
      </c>
      <c r="E35" s="47" t="n">
        <f aca="false">Monthly_MIS!G30</f>
        <v>15212430.11</v>
      </c>
      <c r="F35" s="47" t="n">
        <f aca="false">Region_Performance!D10</f>
        <v>15212430.11</v>
      </c>
      <c r="G35" s="48" t="n">
        <f aca="false">F35-E35</f>
        <v>0</v>
      </c>
      <c r="H35" s="45" t="n">
        <v>0.01</v>
      </c>
      <c r="I35" s="46" t="str">
        <f aca="false">IF(ISNUMBER(G35),IF(ABS(G35)&lt;=H35,"PASS","FAIL"),"FAIL")</f>
        <v>PASS</v>
      </c>
      <c r="J35" s="14" t="str">
        <f aca="false">IF(I35="PASS","None",IF(I35="N/A","No baseline in source","EXCEPTION: difference "&amp;TEXT(G35,"#,##0.00")&amp;" - investigate; see Calc_Actuals filter on col W"))</f>
        <v>None</v>
      </c>
    </row>
    <row r="36" customFormat="false" ht="30" hidden="false" customHeight="true" outlineLevel="0" collapsed="false">
      <c r="A36" s="17" t="n">
        <v>31</v>
      </c>
      <c r="B36" s="17" t="s">
        <v>262</v>
      </c>
      <c r="C36" s="14" t="s">
        <v>283</v>
      </c>
      <c r="D36" s="14" t="s">
        <v>279</v>
      </c>
      <c r="E36" s="47" t="n">
        <f aca="false">Monthly_MIS!G30</f>
        <v>15212430.11</v>
      </c>
      <c r="F36" s="47" t="n">
        <f aca="false">Product_Performance!E14</f>
        <v>15212430.11</v>
      </c>
      <c r="G36" s="48" t="n">
        <f aca="false">F36-E36</f>
        <v>0</v>
      </c>
      <c r="H36" s="45" t="n">
        <v>0.01</v>
      </c>
      <c r="I36" s="46" t="str">
        <f aca="false">IF(ISNUMBER(G36),IF(ABS(G36)&lt;=H36,"PASS","FAIL"),"FAIL")</f>
        <v>PASS</v>
      </c>
      <c r="J36" s="14" t="str">
        <f aca="false">IF(I36="PASS","None",IF(I36="N/A","No baseline in source","EXCEPTION: difference "&amp;TEXT(G36,"#,##0.00")&amp;" - investigate; see Calc_Actuals filter on col W"))</f>
        <v>None</v>
      </c>
    </row>
    <row r="37" customFormat="false" ht="30" hidden="false" customHeight="true" outlineLevel="0" collapsed="false">
      <c r="A37" s="17" t="n">
        <v>32</v>
      </c>
      <c r="B37" s="17" t="s">
        <v>262</v>
      </c>
      <c r="C37" s="14" t="s">
        <v>284</v>
      </c>
      <c r="D37" s="14" t="s">
        <v>285</v>
      </c>
      <c r="E37" s="47" t="n">
        <f aca="false">Monthly_MIS!E34</f>
        <v>18093973.88</v>
      </c>
      <c r="F37" s="47" t="n">
        <f aca="false">SUM(Region_Performance!G6:G9)</f>
        <v>18093973.88</v>
      </c>
      <c r="G37" s="48" t="n">
        <f aca="false">F37-E37</f>
        <v>0</v>
      </c>
      <c r="H37" s="45" t="n">
        <v>0.01</v>
      </c>
      <c r="I37" s="46" t="str">
        <f aca="false">IF(ISNUMBER(G37),IF(ABS(G37)&lt;=H37,"PASS","FAIL"),"FAIL")</f>
        <v>PASS</v>
      </c>
      <c r="J37" s="14" t="str">
        <f aca="false">IF(I37="PASS","None",IF(I37="N/A","No baseline in source","EXCEPTION: difference "&amp;TEXT(G37,"#,##0.00")&amp;" - investigate; see Calc_Actuals filter on col W"))</f>
        <v>None</v>
      </c>
    </row>
    <row r="38" customFormat="false" ht="30" hidden="false" customHeight="true" outlineLevel="0" collapsed="false">
      <c r="A38" s="17" t="n">
        <v>33</v>
      </c>
      <c r="B38" s="17" t="s">
        <v>262</v>
      </c>
      <c r="C38" s="14" t="s">
        <v>286</v>
      </c>
      <c r="D38" s="14" t="s">
        <v>287</v>
      </c>
      <c r="E38" s="47" t="n">
        <f aca="false">Monthly_MIS!E34</f>
        <v>18093973.88</v>
      </c>
      <c r="F38" s="47" t="n">
        <f aca="false">SUM(Product_Performance!H6:H13)</f>
        <v>18093973.88</v>
      </c>
      <c r="G38" s="48" t="n">
        <f aca="false">F38-E38</f>
        <v>0</v>
      </c>
      <c r="H38" s="45" t="n">
        <v>0.01</v>
      </c>
      <c r="I38" s="46" t="str">
        <f aca="false">IF(ISNUMBER(G38),IF(ABS(G38)&lt;=H38,"PASS","FAIL"),"FAIL")</f>
        <v>PASS</v>
      </c>
      <c r="J38" s="14" t="str">
        <f aca="false">IF(I38="PASS","None",IF(I38="N/A","No baseline in source","EXCEPTION: difference "&amp;TEXT(G38,"#,##0.00")&amp;" - investigate; see Calc_Actuals filter on col W"))</f>
        <v>None</v>
      </c>
    </row>
    <row r="39" customFormat="false" ht="30" hidden="false" customHeight="true" outlineLevel="0" collapsed="false">
      <c r="A39" s="17" t="n">
        <v>34</v>
      </c>
      <c r="B39" s="17" t="s">
        <v>262</v>
      </c>
      <c r="C39" s="14" t="s">
        <v>288</v>
      </c>
      <c r="D39" s="14" t="s">
        <v>285</v>
      </c>
      <c r="E39" s="47" t="n">
        <f aca="false">Monthly_MIS!E35</f>
        <v>18422630.5</v>
      </c>
      <c r="F39" s="47" t="n">
        <f aca="false">SUM(Region_Performance!H6:H9)</f>
        <v>18422630.5</v>
      </c>
      <c r="G39" s="48" t="n">
        <f aca="false">F39-E39</f>
        <v>0</v>
      </c>
      <c r="H39" s="45" t="n">
        <v>0.01</v>
      </c>
      <c r="I39" s="46" t="str">
        <f aca="false">IF(ISNUMBER(G39),IF(ABS(G39)&lt;=H39,"PASS","FAIL"),"FAIL")</f>
        <v>PASS</v>
      </c>
      <c r="J39" s="14" t="str">
        <f aca="false">IF(I39="PASS","None",IF(I39="N/A","No baseline in source","EXCEPTION: difference "&amp;TEXT(G39,"#,##0.00")&amp;" - investigate; see Calc_Actuals filter on col W"))</f>
        <v>None</v>
      </c>
    </row>
    <row r="40" customFormat="false" ht="30" hidden="false" customHeight="true" outlineLevel="0" collapsed="false">
      <c r="A40" s="17" t="n">
        <v>35</v>
      </c>
      <c r="B40" s="17" t="s">
        <v>262</v>
      </c>
      <c r="C40" s="14" t="s">
        <v>289</v>
      </c>
      <c r="D40" s="14" t="s">
        <v>287</v>
      </c>
      <c r="E40" s="47" t="n">
        <f aca="false">Monthly_MIS!E35</f>
        <v>18422630.5</v>
      </c>
      <c r="F40" s="47" t="n">
        <f aca="false">SUM(Product_Performance!I6:I13)</f>
        <v>18422630.5</v>
      </c>
      <c r="G40" s="48" t="n">
        <f aca="false">F40-E40</f>
        <v>0</v>
      </c>
      <c r="H40" s="45" t="n">
        <v>0.01</v>
      </c>
      <c r="I40" s="46" t="str">
        <f aca="false">IF(ISNUMBER(G40),IF(ABS(G40)&lt;=H40,"PASS","FAIL"),"FAIL")</f>
        <v>PASS</v>
      </c>
      <c r="J40" s="14" t="str">
        <f aca="false">IF(I40="PASS","None",IF(I40="N/A","No baseline in source","EXCEPTION: difference "&amp;TEXT(G40,"#,##0.00")&amp;" - investigate; see Calc_Actuals filter on col W"))</f>
        <v>None</v>
      </c>
    </row>
    <row r="41" customFormat="false" ht="30" hidden="false" customHeight="true" outlineLevel="0" collapsed="false">
      <c r="A41" s="17" t="n">
        <v>36</v>
      </c>
      <c r="B41" s="17" t="s">
        <v>262</v>
      </c>
      <c r="C41" s="14" t="s">
        <v>290</v>
      </c>
      <c r="D41" s="14" t="s">
        <v>291</v>
      </c>
      <c r="E41" s="47" t="n">
        <f aca="false">Monthly_MIS!G34</f>
        <v>6461431.2</v>
      </c>
      <c r="F41" s="47" t="n">
        <f aca="false">SUMPRODUCT(Region_Performance!J6:J9,Region_Performance!G6:G9)</f>
        <v>6461431.2</v>
      </c>
      <c r="G41" s="48" t="n">
        <f aca="false">F41-E41</f>
        <v>0</v>
      </c>
      <c r="H41" s="45" t="n">
        <v>0.01</v>
      </c>
      <c r="I41" s="46" t="str">
        <f aca="false">IF(ISNUMBER(G41),IF(ABS(G41)&lt;=H41,"PASS","FAIL"),"FAIL")</f>
        <v>PASS</v>
      </c>
      <c r="J41" s="14" t="str">
        <f aca="false">IF(I41="PASS","None",IF(I41="N/A","No baseline in source","EXCEPTION: difference "&amp;TEXT(G41,"#,##0.00")&amp;" - investigate; see Calc_Actuals filter on col W"))</f>
        <v>None</v>
      </c>
    </row>
    <row r="42" customFormat="false" ht="30" hidden="false" customHeight="true" outlineLevel="0" collapsed="false">
      <c r="A42" s="17" t="n">
        <v>37</v>
      </c>
      <c r="B42" s="17" t="s">
        <v>262</v>
      </c>
      <c r="C42" s="14" t="s">
        <v>292</v>
      </c>
      <c r="D42" s="14" t="s">
        <v>293</v>
      </c>
      <c r="E42" s="47" t="n">
        <f aca="false">Monthly_MIS!G34</f>
        <v>6461431.2</v>
      </c>
      <c r="F42" s="47" t="n">
        <f aca="false">SUMPRODUCT(Product_Performance!K6:K13,Product_Performance!H6:H13)</f>
        <v>6461431.2</v>
      </c>
      <c r="G42" s="48" t="n">
        <f aca="false">F42-E42</f>
        <v>0</v>
      </c>
      <c r="H42" s="45" t="n">
        <v>0.01</v>
      </c>
      <c r="I42" s="46" t="str">
        <f aca="false">IF(ISNUMBER(G42),IF(ABS(G42)&lt;=H42,"PASS","FAIL"),"FAIL")</f>
        <v>PASS</v>
      </c>
      <c r="J42" s="14" t="str">
        <f aca="false">IF(I42="PASS","None",IF(I42="N/A","No baseline in source","EXCEPTION: difference "&amp;TEXT(G42,"#,##0.00")&amp;" - investigate; see Calc_Actuals filter on col W"))</f>
        <v>None</v>
      </c>
    </row>
    <row r="43" customFormat="false" ht="30" hidden="false" customHeight="true" outlineLevel="0" collapsed="false">
      <c r="A43" s="17" t="n">
        <v>38</v>
      </c>
      <c r="B43" s="17" t="s">
        <v>262</v>
      </c>
      <c r="C43" s="14" t="s">
        <v>294</v>
      </c>
      <c r="D43" s="14" t="s">
        <v>295</v>
      </c>
      <c r="E43" s="47" t="n">
        <f aca="false">Monthly_MIS!E30</f>
        <v>42593025.3</v>
      </c>
      <c r="F43" s="47" t="n">
        <f aca="false">Product_Performance!C54</f>
        <v>42593025.3</v>
      </c>
      <c r="G43" s="48" t="n">
        <f aca="false">F43-E43</f>
        <v>0</v>
      </c>
      <c r="H43" s="45" t="n">
        <v>0.01</v>
      </c>
      <c r="I43" s="46" t="str">
        <f aca="false">IF(ISNUMBER(G43),IF(ABS(G43)&lt;=H43,"PASS","FAIL"),"FAIL")</f>
        <v>PASS</v>
      </c>
      <c r="J43" s="14" t="str">
        <f aca="false">IF(I43="PASS","None",IF(I43="N/A","No baseline in source","EXCEPTION: difference "&amp;TEXT(G43,"#,##0.00")&amp;" - investigate; see Calc_Actuals filter on col W"))</f>
        <v>None</v>
      </c>
    </row>
    <row r="44" customFormat="false" ht="30" hidden="false" customHeight="true" outlineLevel="0" collapsed="false">
      <c r="A44" s="17" t="n">
        <v>39</v>
      </c>
      <c r="B44" s="17" t="s">
        <v>262</v>
      </c>
      <c r="C44" s="14" t="s">
        <v>296</v>
      </c>
      <c r="D44" s="14" t="s">
        <v>297</v>
      </c>
      <c r="E44" s="47" t="n">
        <f aca="false">SUMIFS(Sales_Transactions!$K$2:$K$865,Sales_Transactions!$C$2:$C$865,"Actual")</f>
        <v>15212430.11</v>
      </c>
      <c r="F44" s="47" t="n">
        <f aca="false">Monthly_MIS!E30-Monthly_MIS!F30</f>
        <v>15212430.11</v>
      </c>
      <c r="G44" s="48" t="n">
        <f aca="false">F44-E44</f>
        <v>0</v>
      </c>
      <c r="H44" s="45" t="n">
        <v>0.01</v>
      </c>
      <c r="I44" s="46" t="str">
        <f aca="false">IF(ISNUMBER(G44),IF(ABS(G44)&lt;=H44,"PASS","FAIL"),"FAIL")</f>
        <v>PASS</v>
      </c>
      <c r="J44" s="14" t="str">
        <f aca="false">IF(I44="PASS","None",IF(I44="N/A","No baseline in source","EXCEPTION: difference "&amp;TEXT(G44,"#,##0.00")&amp;" - investigate; see Calc_Actuals filter on col W"))</f>
        <v>None</v>
      </c>
    </row>
    <row r="45" customFormat="false" ht="30" hidden="false" customHeight="true" outlineLevel="0" collapsed="false">
      <c r="A45" s="17" t="n">
        <v>40</v>
      </c>
      <c r="B45" s="17" t="s">
        <v>298</v>
      </c>
      <c r="C45" s="14" t="s">
        <v>299</v>
      </c>
      <c r="D45" s="14" t="s">
        <v>300</v>
      </c>
      <c r="E45" s="47" t="n">
        <f aca="false">SUM(Sales_Transactions!$I$2:$I$865)</f>
        <v>48526724.06</v>
      </c>
      <c r="F45" s="47" t="n">
        <f aca="false">Monthly_MIS!E30+SUMIFS(Sales_Transactions!$I$2:$I$865,Sales_Transactions!$C$2:$C$865,"Forecast")</f>
        <v>48526724.06</v>
      </c>
      <c r="G45" s="48" t="n">
        <f aca="false">F45-E45</f>
        <v>0</v>
      </c>
      <c r="H45" s="45" t="n">
        <v>0.01</v>
      </c>
      <c r="I45" s="46" t="str">
        <f aca="false">IF(ISNUMBER(G45),IF(ABS(G45)&lt;=H45,"PASS","FAIL"),"FAIL")</f>
        <v>PASS</v>
      </c>
      <c r="J45" s="14" t="str">
        <f aca="false">IF(I45="PASS","None",IF(I45="N/A","No baseline in source","EXCEPTION: difference "&amp;TEXT(G45,"#,##0.00")&amp;" - investigate; see Calc_Actuals filter on col W"))</f>
        <v>None</v>
      </c>
    </row>
    <row r="46" customFormat="false" ht="30" hidden="false" customHeight="true" outlineLevel="0" collapsed="false">
      <c r="A46" s="17" t="n">
        <v>41</v>
      </c>
      <c r="B46" s="17" t="s">
        <v>298</v>
      </c>
      <c r="C46" s="14" t="s">
        <v>301</v>
      </c>
      <c r="D46" s="14" t="s">
        <v>302</v>
      </c>
      <c r="E46" s="18" t="n">
        <v>0</v>
      </c>
      <c r="F46" s="18" t="n">
        <f aca="false">SUMPRODUCT((Calendar!$E$2:$E$25="Forecast")*ISNUMBER(MATCH(Calendar!$A$2:$A$25,Monthly_MIS!$A$9:$A$29,0)))</f>
        <v>0</v>
      </c>
      <c r="G46" s="34" t="n">
        <f aca="false">F46-E46</f>
        <v>0</v>
      </c>
      <c r="H46" s="45" t="n">
        <v>0</v>
      </c>
      <c r="I46" s="46" t="str">
        <f aca="false">IF(ISNUMBER(G46),IF(ABS(G46)&lt;=H46,"PASS","FAIL"),"FAIL")</f>
        <v>PASS</v>
      </c>
      <c r="J46" s="14" t="str">
        <f aca="false">IF(I46="PASS","None",IF(I46="N/A","No baseline in source","EXCEPTION: difference "&amp;TEXT(G46,"#,##0.00")&amp;" - investigate; see Calc_Actuals filter on col W"))</f>
        <v>None</v>
      </c>
    </row>
    <row r="47" customFormat="false" ht="30" hidden="false" customHeight="true" outlineLevel="0" collapsed="false">
      <c r="A47" s="17" t="n">
        <v>42</v>
      </c>
      <c r="B47" s="17" t="s">
        <v>298</v>
      </c>
      <c r="C47" s="14" t="s">
        <v>303</v>
      </c>
      <c r="D47" s="14" t="s">
        <v>304</v>
      </c>
      <c r="E47" s="47" t="n">
        <f aca="false">COUNTIF(Calendar!$E$2:$E$25,"Actual")</f>
        <v>21</v>
      </c>
      <c r="F47" s="18" t="n">
        <f aca="false">COUNTA(Monthly_MIS!$A$9:$A$29)</f>
        <v>21</v>
      </c>
      <c r="G47" s="34" t="n">
        <f aca="false">F47-E47</f>
        <v>0</v>
      </c>
      <c r="H47" s="45" t="n">
        <v>0</v>
      </c>
      <c r="I47" s="46" t="str">
        <f aca="false">IF(ISNUMBER(G47),IF(ABS(G47)&lt;=H47,"PASS","FAIL"),"FAIL")</f>
        <v>PASS</v>
      </c>
      <c r="J47" s="14" t="str">
        <f aca="false">IF(I47="PASS","None",IF(I47="N/A","No baseline in source","EXCEPTION: difference "&amp;TEXT(G47,"#,##0.00")&amp;" - investigate; see Calc_Actuals filter on col W"))</f>
        <v>None</v>
      </c>
    </row>
    <row r="48" customFormat="false" ht="30" hidden="false" customHeight="true" outlineLevel="0" collapsed="false">
      <c r="A48" s="17" t="n">
        <v>43</v>
      </c>
      <c r="B48" s="17" t="s">
        <v>298</v>
      </c>
      <c r="C48" s="14" t="s">
        <v>305</v>
      </c>
      <c r="D48" s="14" t="s">
        <v>306</v>
      </c>
      <c r="E48" s="18" t="n">
        <v>0</v>
      </c>
      <c r="F48" s="18" t="n">
        <f aca="false">COUNTIF(Monthly_MIS!$C$9:$C$29,0)</f>
        <v>0</v>
      </c>
      <c r="G48" s="34" t="n">
        <f aca="false">F48-E48</f>
        <v>0</v>
      </c>
      <c r="H48" s="45" t="n">
        <v>0</v>
      </c>
      <c r="I48" s="46" t="str">
        <f aca="false">IF(ISNUMBER(G48),IF(ABS(G48)&lt;=H48,"PASS","FAIL"),"FAIL")</f>
        <v>PASS</v>
      </c>
      <c r="J48" s="14" t="str">
        <f aca="false">IF(I48="PASS","None",IF(I48="N/A","No baseline in source","EXCEPTION: difference "&amp;TEXT(G48,"#,##0.00")&amp;" - investigate; see Calc_Actuals filter on col W"))</f>
        <v>None</v>
      </c>
    </row>
    <row r="49" customFormat="false" ht="30" hidden="false" customHeight="true" outlineLevel="0" collapsed="false">
      <c r="A49" s="17" t="n">
        <v>44</v>
      </c>
      <c r="B49" s="17" t="s">
        <v>307</v>
      </c>
      <c r="C49" s="14" t="s">
        <v>308</v>
      </c>
      <c r="D49" s="14" t="s">
        <v>309</v>
      </c>
      <c r="E49" s="47" t="n">
        <f aca="false">SUM(Sales_Budget!$E$2:$E$289)</f>
        <v>345196800</v>
      </c>
      <c r="F49" s="47" t="n">
        <f aca="false">SUM(Budget_v2_Synthetic!$D$13:$D$300)</f>
        <v>345196800</v>
      </c>
      <c r="G49" s="48" t="n">
        <f aca="false">F49-E49</f>
        <v>0</v>
      </c>
      <c r="H49" s="45" t="n">
        <v>0.01</v>
      </c>
      <c r="I49" s="46" t="str">
        <f aca="false">IF(ISNUMBER(G49),IF(ABS(G49)&lt;=H49,"PASS","FAIL"),"FAIL")</f>
        <v>PASS</v>
      </c>
      <c r="J49" s="14" t="str">
        <f aca="false">IF(I49="PASS","None",IF(I49="N/A","No baseline in source","EXCEPTION: difference "&amp;TEXT(G49,"#,##0.00")&amp;" - investigate; see Calc_Actuals filter on col W"))</f>
        <v>None</v>
      </c>
    </row>
    <row r="50" customFormat="false" ht="30" hidden="false" customHeight="true" outlineLevel="0" collapsed="false">
      <c r="A50" s="17" t="n">
        <v>45</v>
      </c>
      <c r="B50" s="17" t="s">
        <v>307</v>
      </c>
      <c r="C50" s="14" t="s">
        <v>310</v>
      </c>
      <c r="D50" s="14" t="s">
        <v>311</v>
      </c>
      <c r="E50" s="47" t="n">
        <f aca="false">Budget_v2_Synthetic!B5</f>
        <v>24499051.42</v>
      </c>
      <c r="F50" s="47" t="n">
        <f aca="false">SUMIFS(Budget_v2_Synthetic!$J$13:$J$300,Budget_v2_Synthetic!$G$13:$G$300,Budget_v2_Synthetic!B4,Budget_v2_Synthetic!$H$13:$H$300,1)</f>
        <v>24499051.42</v>
      </c>
      <c r="G50" s="48" t="n">
        <f aca="false">F50-E50</f>
        <v>0</v>
      </c>
      <c r="H50" s="45" t="n">
        <v>0.01</v>
      </c>
      <c r="I50" s="46" t="str">
        <f aca="false">IF(ISNUMBER(G50),IF(ABS(G50)&lt;=H50,"PASS","FAIL"),"FAIL")</f>
        <v>PASS</v>
      </c>
      <c r="J50" s="14" t="str">
        <f aca="false">IF(I50="PASS","None",IF(I50="N/A","No baseline in source","EXCEPTION: difference "&amp;TEXT(G50,"#,##0.00")&amp;" - investigate; see Calc_Actuals filter on col W"))</f>
        <v>None</v>
      </c>
    </row>
    <row r="51" customFormat="false" ht="30" hidden="false" customHeight="true" outlineLevel="0" collapsed="false">
      <c r="A51" s="17" t="n">
        <v>46</v>
      </c>
      <c r="B51" s="17" t="s">
        <v>307</v>
      </c>
      <c r="C51" s="14" t="s">
        <v>312</v>
      </c>
      <c r="D51" s="14" t="s">
        <v>313</v>
      </c>
      <c r="E51" s="47" t="n">
        <f aca="false">SUM(Budget_v2_Synthetic!$J$13:$J$300)-SUM(Budget_v2_Synthetic!$K$13:$K$300)</f>
        <v>33329784.0512694</v>
      </c>
      <c r="F51" s="47" t="n">
        <f aca="false">SUM(Budget_v2_Synthetic!$L$13:$L$300)</f>
        <v>33329784.0512694</v>
      </c>
      <c r="G51" s="48" t="n">
        <f aca="false">F51-E51</f>
        <v>0</v>
      </c>
      <c r="H51" s="45" t="n">
        <v>0.01</v>
      </c>
      <c r="I51" s="46" t="str">
        <f aca="false">IF(ISNUMBER(G51),IF(ABS(G51)&lt;=H51,"PASS","FAIL"),"FAIL")</f>
        <v>PASS</v>
      </c>
      <c r="J51" s="14" t="str">
        <f aca="false">IF(I51="PASS","None",IF(I51="N/A","No baseline in source","EXCEPTION: difference "&amp;TEXT(G51,"#,##0.00")&amp;" - investigate; see Calc_Actuals filter on col W"))</f>
        <v>None</v>
      </c>
    </row>
    <row r="52" customFormat="false" ht="30" hidden="false" customHeight="true" outlineLevel="0" collapsed="false">
      <c r="A52" s="17" t="n">
        <v>47</v>
      </c>
      <c r="B52" s="17" t="s">
        <v>307</v>
      </c>
      <c r="C52" s="14" t="s">
        <v>314</v>
      </c>
      <c r="D52" s="14" t="s">
        <v>315</v>
      </c>
      <c r="E52" s="47" t="n">
        <f aca="false">Monthly_MIS!E30</f>
        <v>42593025.3</v>
      </c>
      <c r="F52" s="47" t="n">
        <f aca="false">Budget_vs_Actual_v2!C26</f>
        <v>42593025.3</v>
      </c>
      <c r="G52" s="48" t="n">
        <f aca="false">F52-E52</f>
        <v>0</v>
      </c>
      <c r="H52" s="45" t="n">
        <v>0.01</v>
      </c>
      <c r="I52" s="46" t="str">
        <f aca="false">IF(ISNUMBER(G52),IF(ABS(G52)&lt;=H52,"PASS","FAIL"),"FAIL")</f>
        <v>PASS</v>
      </c>
      <c r="J52" s="14" t="str">
        <f aca="false">IF(I52="PASS","None",IF(I52="N/A","No baseline in source","EXCEPTION: difference "&amp;TEXT(G52,"#,##0.00")&amp;" - investigate; see Calc_Actuals filter on col W"))</f>
        <v>None</v>
      </c>
    </row>
    <row r="53" customFormat="false" ht="30" hidden="false" customHeight="true" outlineLevel="0" collapsed="false">
      <c r="A53" s="17" t="n">
        <v>48</v>
      </c>
      <c r="B53" s="17" t="s">
        <v>307</v>
      </c>
      <c r="C53" s="14" t="s">
        <v>316</v>
      </c>
      <c r="D53" s="14" t="s">
        <v>306</v>
      </c>
      <c r="E53" s="18" t="n">
        <v>0</v>
      </c>
      <c r="F53" s="18" t="n">
        <f aca="false">COUNTIF(Budget_v2_Synthetic!$I$13:$I$300,"UNMATCHED")</f>
        <v>0</v>
      </c>
      <c r="G53" s="34" t="n">
        <f aca="false">F53-E53</f>
        <v>0</v>
      </c>
      <c r="H53" s="45" t="n">
        <v>0</v>
      </c>
      <c r="I53" s="46" t="str">
        <f aca="false">IF(ISNUMBER(G53),IF(ABS(G53)&lt;=H53,"PASS","FAIL"),"FAIL")</f>
        <v>PASS</v>
      </c>
      <c r="J53" s="14" t="str">
        <f aca="false">IF(I53="PASS","None",IF(I53="N/A","No baseline in source","EXCEPTION: difference "&amp;TEXT(G53,"#,##0.00")&amp;" - investigate; see Calc_Actuals filter on col W"))</f>
        <v>None</v>
      </c>
    </row>
    <row r="54" customFormat="false" ht="30" hidden="false" customHeight="true" outlineLevel="0" collapsed="false">
      <c r="A54" s="17" t="n">
        <v>49</v>
      </c>
      <c r="B54" s="17" t="s">
        <v>307</v>
      </c>
      <c r="C54" s="14" t="s">
        <v>317</v>
      </c>
      <c r="D54" s="14" t="s">
        <v>306</v>
      </c>
      <c r="E54" s="18" t="n">
        <v>0</v>
      </c>
      <c r="F54" s="18" t="n">
        <f aca="false">ROWS(Budget_v2_Synthetic!$P$13:$P$300)-ROUND(SUMPRODUCT(1/COUNTIF(Budget_v2_Synthetic!$P$13:$P$300,Budget_v2_Synthetic!$P$13:$P$300)),0)</f>
        <v>0</v>
      </c>
      <c r="G54" s="34" t="n">
        <f aca="false">F54-E54</f>
        <v>0</v>
      </c>
      <c r="H54" s="45" t="n">
        <v>0</v>
      </c>
      <c r="I54" s="46" t="str">
        <f aca="false">IF(ISNUMBER(G54),IF(ABS(G54)&lt;=H54,"PASS","FAIL"),"FAIL")</f>
        <v>PASS</v>
      </c>
      <c r="J54" s="14" t="str">
        <f aca="false">IF(I54="PASS","None",IF(I54="N/A","No baseline in source","EXCEPTION: difference "&amp;TEXT(G54,"#,##0.00")&amp;" - investigate; see Calc_Actuals filter on col W"))</f>
        <v>None</v>
      </c>
    </row>
    <row r="55" customFormat="false" ht="30" hidden="false" customHeight="true" outlineLevel="0" collapsed="false">
      <c r="A55" s="17" t="n">
        <v>50</v>
      </c>
      <c r="B55" s="17" t="s">
        <v>318</v>
      </c>
      <c r="C55" s="14" t="s">
        <v>319</v>
      </c>
      <c r="D55" s="14" t="s">
        <v>320</v>
      </c>
      <c r="E55" s="18" t="n">
        <v>0</v>
      </c>
      <c r="F55" s="18" t="n">
        <f aca="false">SUMPRODUCT(--ISERROR(Calc_Actuals!$A$2:$W$865))+SUMPRODUCT(--ISERROR(Monthly_MIS!$A$9:$M$30))+SUMPRODUCT(--ISERROR(Region_Performance!$A$6:$N$10))+SUMPRODUCT(--ISERROR(Product_Performance!$A$6:$N$14))+SUMPRODUCT(--ISERROR(Budget_v2_Synthetic!$A$13:$P$300))</f>
        <v>0</v>
      </c>
      <c r="G55" s="34" t="n">
        <f aca="false">F55-E55</f>
        <v>0</v>
      </c>
      <c r="H55" s="45" t="n">
        <v>0</v>
      </c>
      <c r="I55" s="46" t="str">
        <f aca="false">IF(ISNUMBER(G55),IF(ABS(G55)&lt;=H55,"PASS","FAIL"),"FAIL")</f>
        <v>PASS</v>
      </c>
      <c r="J55" s="14" t="str">
        <f aca="false">IF(I55="PASS","None",IF(I55="N/A","No baseline in source","EXCEPTION: difference "&amp;TEXT(G55,"#,##0.00")&amp;" - investigate; see Calc_Actuals filter on col W"))</f>
        <v>None</v>
      </c>
    </row>
    <row r="56" customFormat="false" ht="30" hidden="false" customHeight="true" outlineLevel="0" collapsed="false">
      <c r="A56" s="17" t="n">
        <v>51</v>
      </c>
      <c r="B56" s="17" t="s">
        <v>318</v>
      </c>
      <c r="C56" s="14" t="s">
        <v>321</v>
      </c>
      <c r="D56" s="14" t="s">
        <v>322</v>
      </c>
      <c r="E56" s="18" t="n">
        <v>0</v>
      </c>
      <c r="F56" s="18" t="n">
        <f aca="false">SUM(Calc_Actuals!$W$2:$W$865)</f>
        <v>0</v>
      </c>
      <c r="G56" s="34" t="n">
        <f aca="false">F56-E56</f>
        <v>0</v>
      </c>
      <c r="H56" s="45" t="n">
        <v>0</v>
      </c>
      <c r="I56" s="46" t="str">
        <f aca="false">IF(ISNUMBER(G56),IF(ABS(G56)&lt;=H56,"PASS","FAIL"),"FAIL")</f>
        <v>PASS</v>
      </c>
      <c r="J56" s="14" t="str">
        <f aca="false">IF(I56="PASS","None",IF(I56="N/A","No baseline in source","EXCEPTION: difference "&amp;TEXT(G56,"#,##0.00")&amp;" - investigate; see Calc_Actuals filter on col W"))</f>
        <v>None</v>
      </c>
    </row>
    <row r="58" customFormat="false" ht="15" hidden="false" customHeight="false" outlineLevel="0" collapsed="false">
      <c r="A58" s="12" t="s">
        <v>323</v>
      </c>
    </row>
    <row r="59" customFormat="false" ht="31.5" hidden="false" customHeight="true" outlineLevel="0" collapsed="false">
      <c r="A59" s="4" t="s">
        <v>216</v>
      </c>
      <c r="B59" s="4" t="s">
        <v>324</v>
      </c>
      <c r="C59" s="4" t="s">
        <v>325</v>
      </c>
      <c r="D59" s="4" t="s">
        <v>326</v>
      </c>
      <c r="E59" s="4" t="s">
        <v>2</v>
      </c>
      <c r="F59" s="4"/>
      <c r="G59" s="4"/>
      <c r="H59" s="4"/>
      <c r="I59" s="4" t="s">
        <v>22</v>
      </c>
      <c r="J59" s="4" t="s">
        <v>139</v>
      </c>
    </row>
    <row r="60" customFormat="false" ht="42" hidden="false" customHeight="true" outlineLevel="0" collapsed="false">
      <c r="A60" s="17" t="s">
        <v>327</v>
      </c>
      <c r="B60" s="17" t="s">
        <v>328</v>
      </c>
      <c r="C60" s="14" t="s">
        <v>329</v>
      </c>
      <c r="D60" s="14" t="s">
        <v>330</v>
      </c>
      <c r="E60" s="50" t="n">
        <f aca="false">SUMPRODUCT(ISNUMBER(MATCH(Sales_Budget!$A$2:$A$289,Monthly_MIS!$A$9:$A$29,0))*Sales_Budget!$E$2:$E$289)/Monthly_MIS!E30</f>
        <v>7.05250678683301</v>
      </c>
      <c r="F60" s="17"/>
      <c r="G60" s="17"/>
      <c r="H60" s="17"/>
      <c r="I60" s="46" t="str">
        <f aca="false">IF(OR(E60&gt;1.5,E60&lt;0.67),"FLAG","OK")</f>
        <v>FLAG</v>
      </c>
      <c r="J60" s="14" t="s">
        <v>331</v>
      </c>
    </row>
    <row r="61" customFormat="false" ht="30" hidden="false" customHeight="true" outlineLevel="0" collapsed="false">
      <c r="A61" s="17" t="s">
        <v>332</v>
      </c>
      <c r="B61" s="17" t="s">
        <v>298</v>
      </c>
      <c r="C61" s="14" t="s">
        <v>333</v>
      </c>
      <c r="D61" s="14" t="s">
        <v>334</v>
      </c>
      <c r="E61" s="17"/>
      <c r="F61" s="17"/>
      <c r="G61" s="17"/>
      <c r="H61" s="17"/>
      <c r="I61" s="46" t="s">
        <v>335</v>
      </c>
      <c r="J61" s="14" t="s">
        <v>336</v>
      </c>
    </row>
    <row r="62" customFormat="false" ht="48" hidden="false" customHeight="true" outlineLevel="0" collapsed="false">
      <c r="A62" s="17" t="s">
        <v>337</v>
      </c>
      <c r="B62" s="17" t="s">
        <v>338</v>
      </c>
      <c r="C62" s="14" t="s">
        <v>339</v>
      </c>
      <c r="D62" s="14" t="s">
        <v>340</v>
      </c>
      <c r="E62" s="32" t="n">
        <f aca="false">MAX(Product_Performance!N6:N13)</f>
        <v>1</v>
      </c>
      <c r="F62" s="17"/>
      <c r="G62" s="17"/>
      <c r="H62" s="17"/>
      <c r="I62" s="46" t="str">
        <f aca="false">IF(E62&lt;=1,"FLAG","OK")</f>
        <v>FLAG</v>
      </c>
      <c r="J62" s="14" t="s">
        <v>341</v>
      </c>
    </row>
    <row r="64" customFormat="false" ht="15" hidden="false" customHeight="false" outlineLevel="0" collapsed="false">
      <c r="A64" s="12" t="s">
        <v>342</v>
      </c>
    </row>
    <row r="65" customFormat="false" ht="15" hidden="false" customHeight="false" outlineLevel="0" collapsed="false">
      <c r="A65" s="42" t="s">
        <v>343</v>
      </c>
      <c r="C65" s="42" t="s">
        <v>344</v>
      </c>
    </row>
  </sheetData>
  <mergeCells count="1">
    <mergeCell ref="A3:B3"/>
  </mergeCells>
  <conditionalFormatting sqref="I6:I56">
    <cfRule type="cellIs" priority="2" operator="equal" aboveAverage="0" equalAverage="0" bottom="0" percent="0" rank="0" text="" dxfId="0">
      <formula>"PASS"</formula>
    </cfRule>
    <cfRule type="cellIs" priority="3" operator="equal" aboveAverage="0" equalAverage="0" bottom="0" percent="0" rank="0" text="" dxfId="1">
      <formula>"FAIL"</formula>
    </cfRule>
  </conditionalFormatting>
  <conditionalFormatting sqref="C3">
    <cfRule type="expression" priority="4" aboveAverage="0" equalAverage="0" bottom="0" percent="0" rank="0" text="" dxfId="1">
      <formula>ISNUMBER(SEARCH("FAIL",C3))</formula>
    </cfRule>
    <cfRule type="expression" priority="5" aboveAverage="0" equalAverage="0" bottom="0" percent="0" rank="0" text="" dxfId="0">
      <formula>ISNUMBER(SEARCH("PASS",C3))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E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4"/>
    <col collapsed="false" customWidth="true" hidden="false" outlineLevel="0" max="3" min="3" style="0" width="62"/>
    <col collapsed="false" customWidth="true" hidden="false" outlineLevel="0" max="4" min="4" style="0" width="14"/>
    <col collapsed="false" customWidth="true" hidden="false" outlineLevel="0" max="5" min="5" style="0" width="62"/>
  </cols>
  <sheetData>
    <row r="1" customFormat="false" ht="19.7" hidden="false" customHeight="false" outlineLevel="0" collapsed="false">
      <c r="A1" s="1" t="s">
        <v>345</v>
      </c>
    </row>
    <row r="2" customFormat="false" ht="15" hidden="false" customHeight="false" outlineLevel="0" collapsed="false">
      <c r="A2" s="2" t="s">
        <v>346</v>
      </c>
    </row>
    <row r="4" customFormat="false" ht="31.5" hidden="false" customHeight="true" outlineLevel="0" collapsed="false">
      <c r="A4" s="4" t="s">
        <v>216</v>
      </c>
      <c r="B4" s="4" t="s">
        <v>148</v>
      </c>
      <c r="C4" s="4" t="s">
        <v>347</v>
      </c>
      <c r="D4" s="4" t="s">
        <v>224</v>
      </c>
      <c r="E4" s="4" t="s">
        <v>348</v>
      </c>
    </row>
    <row r="5" customFormat="false" ht="61.5" hidden="false" customHeight="true" outlineLevel="0" collapsed="false">
      <c r="A5" s="17" t="n">
        <v>1</v>
      </c>
      <c r="B5" s="14" t="s">
        <v>349</v>
      </c>
      <c r="C5" s="14" t="s">
        <v>350</v>
      </c>
      <c r="D5" s="15" t="s">
        <v>351</v>
      </c>
      <c r="E5" s="14" t="s">
        <v>352</v>
      </c>
    </row>
    <row r="6" customFormat="false" ht="61.5" hidden="false" customHeight="true" outlineLevel="0" collapsed="false">
      <c r="A6" s="17" t="n">
        <v>2</v>
      </c>
      <c r="B6" s="14" t="s">
        <v>353</v>
      </c>
      <c r="C6" s="14" t="s">
        <v>354</v>
      </c>
      <c r="D6" s="15" t="s">
        <v>351</v>
      </c>
      <c r="E6" s="14" t="s">
        <v>355</v>
      </c>
    </row>
    <row r="7" customFormat="false" ht="61.5" hidden="false" customHeight="true" outlineLevel="0" collapsed="false">
      <c r="A7" s="17" t="n">
        <v>3</v>
      </c>
      <c r="B7" s="14" t="s">
        <v>356</v>
      </c>
      <c r="C7" s="14" t="s">
        <v>357</v>
      </c>
      <c r="D7" s="15" t="s">
        <v>351</v>
      </c>
      <c r="E7" s="14" t="s">
        <v>358</v>
      </c>
    </row>
    <row r="8" customFormat="false" ht="61.5" hidden="false" customHeight="true" outlineLevel="0" collapsed="false">
      <c r="A8" s="17" t="n">
        <v>4</v>
      </c>
      <c r="B8" s="14" t="s">
        <v>359</v>
      </c>
      <c r="C8" s="14" t="s">
        <v>360</v>
      </c>
      <c r="D8" s="15" t="s">
        <v>351</v>
      </c>
      <c r="E8" s="14" t="s">
        <v>361</v>
      </c>
    </row>
    <row r="9" customFormat="false" ht="61.5" hidden="false" customHeight="true" outlineLevel="0" collapsed="false">
      <c r="A9" s="17" t="n">
        <v>5</v>
      </c>
      <c r="B9" s="14" t="s">
        <v>362</v>
      </c>
      <c r="C9" s="14" t="s">
        <v>363</v>
      </c>
      <c r="D9" s="15" t="s">
        <v>351</v>
      </c>
      <c r="E9" s="14" t="s">
        <v>364</v>
      </c>
    </row>
    <row r="10" customFormat="false" ht="61.5" hidden="false" customHeight="true" outlineLevel="0" collapsed="false">
      <c r="A10" s="17" t="n">
        <v>6</v>
      </c>
      <c r="B10" s="14" t="s">
        <v>365</v>
      </c>
      <c r="C10" s="14" t="s">
        <v>366</v>
      </c>
      <c r="D10" s="15" t="s">
        <v>367</v>
      </c>
      <c r="E10" s="14" t="s">
        <v>368</v>
      </c>
    </row>
    <row r="11" customFormat="false" ht="61.5" hidden="false" customHeight="true" outlineLevel="0" collapsed="false">
      <c r="A11" s="17" t="n">
        <v>7</v>
      </c>
      <c r="B11" s="14" t="s">
        <v>369</v>
      </c>
      <c r="C11" s="14" t="s">
        <v>366</v>
      </c>
      <c r="D11" s="15" t="s">
        <v>367</v>
      </c>
      <c r="E11" s="14" t="s">
        <v>370</v>
      </c>
    </row>
    <row r="12" customFormat="false" ht="61.5" hidden="false" customHeight="true" outlineLevel="0" collapsed="false">
      <c r="A12" s="17" t="n">
        <v>8</v>
      </c>
      <c r="B12" s="14" t="s">
        <v>371</v>
      </c>
      <c r="C12" s="14" t="s">
        <v>366</v>
      </c>
      <c r="D12" s="15" t="s">
        <v>367</v>
      </c>
      <c r="E12" s="14" t="s">
        <v>372</v>
      </c>
    </row>
    <row r="13" customFormat="false" ht="61.5" hidden="false" customHeight="true" outlineLevel="0" collapsed="false">
      <c r="A13" s="17" t="n">
        <v>9</v>
      </c>
      <c r="B13" s="14" t="s">
        <v>373</v>
      </c>
      <c r="C13" s="14" t="s">
        <v>366</v>
      </c>
      <c r="D13" s="15" t="s">
        <v>367</v>
      </c>
      <c r="E13" s="14" t="s">
        <v>374</v>
      </c>
    </row>
    <row r="14" customFormat="false" ht="61.5" hidden="false" customHeight="true" outlineLevel="0" collapsed="false">
      <c r="A14" s="17" t="n">
        <v>10</v>
      </c>
      <c r="B14" s="14" t="s">
        <v>375</v>
      </c>
      <c r="C14" s="14" t="s">
        <v>366</v>
      </c>
      <c r="D14" s="15" t="s">
        <v>367</v>
      </c>
      <c r="E14" s="14" t="s">
        <v>376</v>
      </c>
    </row>
    <row r="15" customFormat="false" ht="61.5" hidden="false" customHeight="true" outlineLevel="0" collapsed="false">
      <c r="A15" s="17" t="n">
        <v>11</v>
      </c>
      <c r="B15" s="14" t="s">
        <v>377</v>
      </c>
      <c r="C15" s="14" t="s">
        <v>366</v>
      </c>
      <c r="D15" s="15" t="s">
        <v>367</v>
      </c>
      <c r="E15" s="14" t="s">
        <v>378</v>
      </c>
    </row>
    <row r="16" customFormat="false" ht="61.5" hidden="false" customHeight="true" outlineLevel="0" collapsed="false">
      <c r="A16" s="17" t="n">
        <v>12</v>
      </c>
      <c r="B16" s="14" t="s">
        <v>379</v>
      </c>
      <c r="C16" s="14" t="s">
        <v>380</v>
      </c>
      <c r="D16" s="15" t="s">
        <v>40</v>
      </c>
      <c r="E16" s="14" t="s">
        <v>381</v>
      </c>
    </row>
    <row r="17" customFormat="false" ht="61.5" hidden="false" customHeight="true" outlineLevel="0" collapsed="false">
      <c r="A17" s="17" t="n">
        <v>13</v>
      </c>
      <c r="B17" s="14" t="s">
        <v>382</v>
      </c>
      <c r="C17" s="14" t="s">
        <v>383</v>
      </c>
      <c r="D17" s="15" t="s">
        <v>367</v>
      </c>
      <c r="E17" s="14" t="s">
        <v>384</v>
      </c>
    </row>
  </sheetData>
  <conditionalFormatting sqref="D5:D17">
    <cfRule type="expression" priority="2" aboveAverage="0" equalAverage="0" bottom="0" percent="0" rank="0" text="" dxfId="2">
      <formula>LEFT(D5,4)="PASS"</formula>
    </cfRule>
    <cfRule type="expression" priority="3" aboveAverage="0" equalAverage="0" bottom="0" percent="0" rank="0" text="" dxfId="3">
      <formula>LEFT(D5,4)="FAIL"</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E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6"/>
    <col collapsed="false" customWidth="true" hidden="false" outlineLevel="0" max="3" min="3" style="0" width="14"/>
    <col collapsed="false" customWidth="true" hidden="false" outlineLevel="0" max="4" min="4" style="0" width="48"/>
    <col collapsed="false" customWidth="true" hidden="false" outlineLevel="0" max="5" min="5" style="0" width="64"/>
  </cols>
  <sheetData>
    <row r="1" customFormat="false" ht="19.7" hidden="false" customHeight="false" outlineLevel="0" collapsed="false">
      <c r="A1" s="1" t="s">
        <v>385</v>
      </c>
    </row>
    <row r="2" customFormat="false" ht="15" hidden="false" customHeight="false" outlineLevel="0" collapsed="false">
      <c r="A2" s="2" t="s">
        <v>386</v>
      </c>
    </row>
    <row r="4" customFormat="false" ht="31.5" hidden="false" customHeight="true" outlineLevel="0" collapsed="false">
      <c r="A4" s="4" t="s">
        <v>387</v>
      </c>
      <c r="B4" s="4" t="s">
        <v>388</v>
      </c>
      <c r="C4" s="4" t="s">
        <v>389</v>
      </c>
      <c r="D4" s="4" t="s">
        <v>390</v>
      </c>
      <c r="E4" s="4" t="s">
        <v>391</v>
      </c>
    </row>
    <row r="5" customFormat="false" ht="15" hidden="false" customHeight="false" outlineLevel="0" collapsed="false">
      <c r="A5" s="14" t="s">
        <v>392</v>
      </c>
      <c r="B5" s="14" t="s">
        <v>393</v>
      </c>
      <c r="C5" s="14" t="s">
        <v>394</v>
      </c>
      <c r="D5" s="14" t="s">
        <v>395</v>
      </c>
      <c r="E5" s="14" t="s">
        <v>396</v>
      </c>
    </row>
    <row r="6" customFormat="false" ht="15" hidden="false" customHeight="false" outlineLevel="0" collapsed="false">
      <c r="A6" s="14" t="s">
        <v>392</v>
      </c>
      <c r="B6" s="14" t="s">
        <v>50</v>
      </c>
      <c r="C6" s="14" t="s">
        <v>397</v>
      </c>
      <c r="D6" s="14" t="s">
        <v>398</v>
      </c>
      <c r="E6" s="14" t="s">
        <v>399</v>
      </c>
    </row>
    <row r="7" customFormat="false" ht="15" hidden="false" customHeight="false" outlineLevel="0" collapsed="false">
      <c r="A7" s="14" t="s">
        <v>392</v>
      </c>
      <c r="B7" s="14" t="s">
        <v>22</v>
      </c>
      <c r="C7" s="14" t="s">
        <v>394</v>
      </c>
      <c r="D7" s="14" t="s">
        <v>400</v>
      </c>
      <c r="E7" s="14" t="s">
        <v>401</v>
      </c>
    </row>
    <row r="8" customFormat="false" ht="15" hidden="false" customHeight="false" outlineLevel="0" collapsed="false">
      <c r="A8" s="14" t="s">
        <v>392</v>
      </c>
      <c r="B8" s="14" t="s">
        <v>402</v>
      </c>
      <c r="C8" s="14" t="s">
        <v>394</v>
      </c>
      <c r="D8" s="14" t="s">
        <v>403</v>
      </c>
      <c r="E8" s="14" t="s">
        <v>404</v>
      </c>
    </row>
    <row r="9" customFormat="false" ht="15" hidden="false" customHeight="false" outlineLevel="0" collapsed="false">
      <c r="A9" s="14" t="s">
        <v>392</v>
      </c>
      <c r="B9" s="14" t="s">
        <v>53</v>
      </c>
      <c r="C9" s="14" t="s">
        <v>405</v>
      </c>
      <c r="D9" s="14" t="s">
        <v>406</v>
      </c>
      <c r="E9" s="14" t="s">
        <v>407</v>
      </c>
    </row>
    <row r="10" customFormat="false" ht="15" hidden="false" customHeight="false" outlineLevel="0" collapsed="false">
      <c r="A10" s="14" t="s">
        <v>392</v>
      </c>
      <c r="B10" s="14" t="s">
        <v>408</v>
      </c>
      <c r="C10" s="14" t="s">
        <v>409</v>
      </c>
      <c r="D10" s="14" t="s">
        <v>410</v>
      </c>
      <c r="E10" s="14" t="s">
        <v>407</v>
      </c>
    </row>
    <row r="11" customFormat="false" ht="15" hidden="false" customHeight="false" outlineLevel="0" collapsed="false">
      <c r="A11" s="14" t="s">
        <v>392</v>
      </c>
      <c r="B11" s="14" t="s">
        <v>411</v>
      </c>
      <c r="C11" s="14" t="s">
        <v>409</v>
      </c>
      <c r="D11" s="14" t="s">
        <v>412</v>
      </c>
      <c r="E11" s="14" t="s">
        <v>413</v>
      </c>
    </row>
    <row r="12" customFormat="false" ht="15" hidden="false" customHeight="false" outlineLevel="0" collapsed="false">
      <c r="A12" s="14" t="s">
        <v>392</v>
      </c>
      <c r="B12" s="14" t="s">
        <v>414</v>
      </c>
      <c r="C12" s="14" t="s">
        <v>409</v>
      </c>
      <c r="D12" s="14" t="s">
        <v>415</v>
      </c>
      <c r="E12" s="14" t="s">
        <v>416</v>
      </c>
    </row>
    <row r="13" customFormat="false" ht="15" hidden="false" customHeight="false" outlineLevel="0" collapsed="false">
      <c r="A13" s="14" t="s">
        <v>392</v>
      </c>
      <c r="B13" s="14" t="s">
        <v>417</v>
      </c>
      <c r="C13" s="14" t="s">
        <v>409</v>
      </c>
      <c r="D13" s="14" t="s">
        <v>418</v>
      </c>
      <c r="E13" s="14" t="s">
        <v>419</v>
      </c>
    </row>
    <row r="14" customFormat="false" ht="15" hidden="false" customHeight="false" outlineLevel="0" collapsed="false">
      <c r="A14" s="14" t="s">
        <v>420</v>
      </c>
      <c r="B14" s="14" t="s">
        <v>421</v>
      </c>
      <c r="C14" s="14" t="s">
        <v>394</v>
      </c>
      <c r="D14" s="14" t="s">
        <v>422</v>
      </c>
      <c r="E14" s="14" t="s">
        <v>423</v>
      </c>
    </row>
    <row r="15" customFormat="false" ht="15" hidden="false" customHeight="false" outlineLevel="0" collapsed="false">
      <c r="A15" s="14" t="s">
        <v>420</v>
      </c>
      <c r="B15" s="14" t="s">
        <v>424</v>
      </c>
      <c r="C15" s="14" t="s">
        <v>409</v>
      </c>
      <c r="D15" s="14" t="s">
        <v>425</v>
      </c>
      <c r="E15" s="14" t="s">
        <v>426</v>
      </c>
    </row>
    <row r="16" customFormat="false" ht="23.85" hidden="false" customHeight="false" outlineLevel="0" collapsed="false">
      <c r="A16" s="14" t="s">
        <v>427</v>
      </c>
      <c r="B16" s="14" t="s">
        <v>428</v>
      </c>
      <c r="C16" s="14" t="s">
        <v>394</v>
      </c>
      <c r="D16" s="14" t="s">
        <v>429</v>
      </c>
      <c r="E16" s="14" t="s">
        <v>430</v>
      </c>
    </row>
    <row r="17" customFormat="false" ht="23.85" hidden="false" customHeight="false" outlineLevel="0" collapsed="false">
      <c r="A17" s="14" t="s">
        <v>431</v>
      </c>
      <c r="B17" s="14" t="s">
        <v>432</v>
      </c>
      <c r="C17" s="14" t="s">
        <v>433</v>
      </c>
      <c r="D17" s="14" t="s">
        <v>434</v>
      </c>
      <c r="E17" s="14" t="s">
        <v>435</v>
      </c>
    </row>
    <row r="18" customFormat="false" ht="15" hidden="false" customHeight="false" outlineLevel="0" collapsed="false">
      <c r="A18" s="14" t="s">
        <v>436</v>
      </c>
      <c r="B18" s="14" t="s">
        <v>437</v>
      </c>
      <c r="C18" s="14" t="s">
        <v>438</v>
      </c>
      <c r="D18" s="14" t="s">
        <v>439</v>
      </c>
      <c r="E18" s="14" t="s">
        <v>440</v>
      </c>
    </row>
    <row r="19" customFormat="false" ht="15" hidden="false" customHeight="false" outlineLevel="0" collapsed="false">
      <c r="A19" s="14" t="s">
        <v>441</v>
      </c>
      <c r="B19" s="14" t="s">
        <v>442</v>
      </c>
      <c r="C19" s="14" t="s">
        <v>394</v>
      </c>
      <c r="D19" s="14" t="s">
        <v>443</v>
      </c>
      <c r="E19" s="14" t="s">
        <v>444</v>
      </c>
    </row>
    <row r="20" customFormat="false" ht="15" hidden="false" customHeight="false" outlineLevel="0" collapsed="false">
      <c r="A20" s="14" t="s">
        <v>441</v>
      </c>
      <c r="B20" s="14" t="s">
        <v>445</v>
      </c>
      <c r="C20" s="14" t="s">
        <v>446</v>
      </c>
      <c r="D20" s="14" t="s">
        <v>447</v>
      </c>
      <c r="E20" s="14" t="s">
        <v>448</v>
      </c>
    </row>
    <row r="21" customFormat="false" ht="23.85" hidden="false" customHeight="false" outlineLevel="0" collapsed="false">
      <c r="A21" s="14" t="s">
        <v>441</v>
      </c>
      <c r="B21" s="14" t="s">
        <v>449</v>
      </c>
      <c r="C21" s="14" t="s">
        <v>450</v>
      </c>
      <c r="D21" s="14" t="s">
        <v>451</v>
      </c>
      <c r="E21" s="14" t="s">
        <v>452</v>
      </c>
    </row>
    <row r="22" customFormat="false" ht="23.85" hidden="false" customHeight="false" outlineLevel="0" collapsed="false">
      <c r="A22" s="14" t="s">
        <v>441</v>
      </c>
      <c r="B22" s="14" t="s">
        <v>453</v>
      </c>
      <c r="C22" s="14" t="s">
        <v>454</v>
      </c>
      <c r="D22" s="14" t="s">
        <v>455</v>
      </c>
      <c r="E22" s="14" t="s">
        <v>456</v>
      </c>
    </row>
    <row r="23" customFormat="false" ht="23.85" hidden="false" customHeight="false" outlineLevel="0" collapsed="false">
      <c r="A23" s="14" t="s">
        <v>457</v>
      </c>
      <c r="B23" s="14" t="s">
        <v>458</v>
      </c>
      <c r="C23" s="14" t="s">
        <v>450</v>
      </c>
      <c r="D23" s="14" t="s">
        <v>459</v>
      </c>
      <c r="E23" s="14" t="s">
        <v>460</v>
      </c>
    </row>
    <row r="24" customFormat="false" ht="23.85" hidden="false" customHeight="false" outlineLevel="0" collapsed="false">
      <c r="A24" s="14" t="s">
        <v>457</v>
      </c>
      <c r="B24" s="14" t="s">
        <v>204</v>
      </c>
      <c r="C24" s="14" t="s">
        <v>454</v>
      </c>
      <c r="D24" s="14" t="s">
        <v>461</v>
      </c>
      <c r="E24" s="14" t="s">
        <v>462</v>
      </c>
    </row>
    <row r="25" customFormat="false" ht="15" hidden="false" customHeight="false" outlineLevel="0" collapsed="false">
      <c r="A25" s="14" t="s">
        <v>457</v>
      </c>
      <c r="B25" s="14" t="s">
        <v>463</v>
      </c>
      <c r="C25" s="14" t="s">
        <v>464</v>
      </c>
      <c r="D25" s="14" t="s">
        <v>465</v>
      </c>
      <c r="E25" s="14" t="s">
        <v>466</v>
      </c>
    </row>
    <row r="26" customFormat="false" ht="15" hidden="false" customHeight="false" outlineLevel="0" collapsed="false">
      <c r="A26" s="14" t="s">
        <v>467</v>
      </c>
      <c r="B26" s="14" t="s">
        <v>468</v>
      </c>
      <c r="C26" s="14" t="s">
        <v>469</v>
      </c>
      <c r="D26" s="14" t="s">
        <v>470</v>
      </c>
      <c r="E26" s="14" t="s">
        <v>471</v>
      </c>
    </row>
    <row r="27" customFormat="false" ht="15" hidden="false" customHeight="false" outlineLevel="0" collapsed="false">
      <c r="A27" s="14" t="s">
        <v>472</v>
      </c>
      <c r="B27" s="14" t="s">
        <v>108</v>
      </c>
      <c r="C27" s="14" t="s">
        <v>405</v>
      </c>
      <c r="D27" s="14" t="s">
        <v>473</v>
      </c>
      <c r="E27" s="14" t="s">
        <v>474</v>
      </c>
    </row>
    <row r="28" customFormat="false" ht="15" hidden="false" customHeight="false" outlineLevel="0" collapsed="false">
      <c r="A28" s="14" t="s">
        <v>475</v>
      </c>
      <c r="B28" s="14" t="s">
        <v>476</v>
      </c>
      <c r="C28" s="14" t="s">
        <v>464</v>
      </c>
      <c r="D28" s="14" t="s">
        <v>477</v>
      </c>
      <c r="E28" s="14" t="s">
        <v>478</v>
      </c>
    </row>
    <row r="29" customFormat="false" ht="15" hidden="false" customHeight="false" outlineLevel="0" collapsed="false">
      <c r="A29" s="14" t="s">
        <v>475</v>
      </c>
      <c r="B29" s="14" t="s">
        <v>479</v>
      </c>
      <c r="C29" s="14" t="s">
        <v>464</v>
      </c>
      <c r="D29" s="14" t="s">
        <v>480</v>
      </c>
      <c r="E29" s="14" t="s">
        <v>481</v>
      </c>
    </row>
    <row r="30" customFormat="false" ht="15" hidden="false" customHeight="false" outlineLevel="0" collapsed="false">
      <c r="A30" s="14" t="s">
        <v>475</v>
      </c>
      <c r="B30" s="14" t="s">
        <v>57</v>
      </c>
      <c r="C30" s="14" t="s">
        <v>482</v>
      </c>
      <c r="D30" s="14" t="s">
        <v>483</v>
      </c>
      <c r="E30" s="14" t="s">
        <v>484</v>
      </c>
    </row>
    <row r="31" customFormat="false" ht="15" hidden="false" customHeight="false" outlineLevel="0" collapsed="false">
      <c r="A31" s="14" t="s">
        <v>475</v>
      </c>
      <c r="B31" s="14" t="s">
        <v>485</v>
      </c>
      <c r="C31" s="14" t="s">
        <v>482</v>
      </c>
      <c r="D31" s="14" t="s">
        <v>486</v>
      </c>
      <c r="E31" s="14" t="s">
        <v>487</v>
      </c>
    </row>
    <row r="32" customFormat="false" ht="15" hidden="false" customHeight="false" outlineLevel="0" collapsed="false">
      <c r="A32" s="14" t="s">
        <v>475</v>
      </c>
      <c r="B32" s="14" t="s">
        <v>60</v>
      </c>
      <c r="C32" s="14" t="s">
        <v>488</v>
      </c>
      <c r="D32" s="14" t="s">
        <v>489</v>
      </c>
      <c r="E32" s="14" t="s">
        <v>13</v>
      </c>
    </row>
    <row r="33" customFormat="false" ht="15" hidden="false" customHeight="false" outlineLevel="0" collapsed="false">
      <c r="A33" s="14" t="s">
        <v>490</v>
      </c>
      <c r="B33" s="14" t="s">
        <v>491</v>
      </c>
      <c r="C33" s="14" t="s">
        <v>469</v>
      </c>
      <c r="D33" s="14" t="s">
        <v>492</v>
      </c>
      <c r="E33" s="14" t="s">
        <v>493</v>
      </c>
    </row>
    <row r="34" customFormat="false" ht="15" hidden="false" customHeight="false" outlineLevel="0" collapsed="false">
      <c r="A34" s="14" t="s">
        <v>490</v>
      </c>
      <c r="B34" s="14" t="s">
        <v>92</v>
      </c>
      <c r="C34" s="14" t="s">
        <v>482</v>
      </c>
      <c r="D34" s="14" t="s">
        <v>494</v>
      </c>
      <c r="E34"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B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20"/>
  </cols>
  <sheetData>
    <row r="1" customFormat="false" ht="19.7" hidden="false" customHeight="false" outlineLevel="0" collapsed="false">
      <c r="A1" s="1" t="s">
        <v>495</v>
      </c>
    </row>
    <row r="2" customFormat="false" ht="15" hidden="false" customHeight="false" outlineLevel="0" collapsed="false">
      <c r="A2" s="2" t="s">
        <v>496</v>
      </c>
    </row>
    <row r="4" customFormat="false" ht="60" hidden="false" customHeight="true" outlineLevel="0" collapsed="false">
      <c r="A4" s="51" t="s">
        <v>497</v>
      </c>
      <c r="B4" s="14" t="s">
        <v>498</v>
      </c>
    </row>
    <row r="5" customFormat="false" ht="33.75" hidden="false" customHeight="true" outlineLevel="0" collapsed="false">
      <c r="A5" s="51" t="s">
        <v>499</v>
      </c>
      <c r="B5" s="14" t="s">
        <v>500</v>
      </c>
    </row>
    <row r="6" customFormat="false" ht="60" hidden="false" customHeight="true" outlineLevel="0" collapsed="false">
      <c r="A6" s="51" t="s">
        <v>501</v>
      </c>
      <c r="B6" s="14" t="s">
        <v>502</v>
      </c>
    </row>
    <row r="7" customFormat="false" ht="45" hidden="false" customHeight="true" outlineLevel="0" collapsed="false">
      <c r="A7" s="51" t="s">
        <v>503</v>
      </c>
      <c r="B7" s="14" t="s">
        <v>504</v>
      </c>
    </row>
    <row r="8" customFormat="false" ht="60" hidden="false" customHeight="true" outlineLevel="0" collapsed="false">
      <c r="A8" s="51" t="s">
        <v>505</v>
      </c>
      <c r="B8" s="14" t="s">
        <v>506</v>
      </c>
    </row>
    <row r="9" customFormat="false" ht="90" hidden="false" customHeight="true" outlineLevel="0" collapsed="false">
      <c r="A9" s="51" t="s">
        <v>507</v>
      </c>
      <c r="B9" s="14" t="s">
        <v>508</v>
      </c>
    </row>
    <row r="10" customFormat="false" ht="105" hidden="false" customHeight="true" outlineLevel="0" collapsed="false">
      <c r="A10" s="51" t="s">
        <v>509</v>
      </c>
      <c r="B10" s="14" t="s">
        <v>510</v>
      </c>
    </row>
    <row r="11" customFormat="false" ht="33.75" hidden="false" customHeight="true" outlineLevel="0" collapsed="false">
      <c r="A11" s="51" t="s">
        <v>511</v>
      </c>
      <c r="B11" s="14" t="s">
        <v>512</v>
      </c>
    </row>
    <row r="12" customFormat="false" ht="90" hidden="false" customHeight="true" outlineLevel="0" collapsed="false">
      <c r="A12" s="51" t="s">
        <v>513</v>
      </c>
      <c r="B12" s="14" t="s">
        <v>514</v>
      </c>
    </row>
    <row r="13" customFormat="false" ht="45" hidden="false" customHeight="true" outlineLevel="0" collapsed="false">
      <c r="A13" s="51" t="s">
        <v>515</v>
      </c>
      <c r="B13" s="14" t="s">
        <v>516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W8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3" min="1" style="0" width="16"/>
  </cols>
  <sheetData>
    <row r="1" customFormat="false" ht="31.5" hidden="false" customHeight="true" outlineLevel="0" collapsed="false">
      <c r="A1" s="4" t="s">
        <v>393</v>
      </c>
      <c r="B1" s="4" t="s">
        <v>50</v>
      </c>
      <c r="C1" s="4" t="s">
        <v>22</v>
      </c>
      <c r="D1" s="4" t="s">
        <v>517</v>
      </c>
      <c r="E1" s="4" t="s">
        <v>518</v>
      </c>
      <c r="F1" s="4" t="s">
        <v>91</v>
      </c>
      <c r="G1" s="4" t="s">
        <v>519</v>
      </c>
      <c r="H1" s="4" t="s">
        <v>107</v>
      </c>
      <c r="I1" s="4" t="s">
        <v>520</v>
      </c>
      <c r="J1" s="4" t="s">
        <v>51</v>
      </c>
      <c r="K1" s="4" t="s">
        <v>521</v>
      </c>
      <c r="L1" s="4" t="s">
        <v>522</v>
      </c>
      <c r="M1" s="4" t="s">
        <v>53</v>
      </c>
      <c r="N1" s="4" t="s">
        <v>411</v>
      </c>
      <c r="O1" s="4" t="s">
        <v>414</v>
      </c>
      <c r="P1" s="4" t="s">
        <v>417</v>
      </c>
      <c r="Q1" s="4" t="s">
        <v>523</v>
      </c>
      <c r="R1" s="4" t="s">
        <v>524</v>
      </c>
      <c r="S1" s="4" t="s">
        <v>525</v>
      </c>
      <c r="T1" s="4" t="s">
        <v>526</v>
      </c>
      <c r="U1" s="4" t="s">
        <v>527</v>
      </c>
      <c r="V1" s="4" t="s">
        <v>528</v>
      </c>
      <c r="W1" s="4" t="s">
        <v>529</v>
      </c>
    </row>
    <row r="2" customFormat="false" ht="15" hidden="false" customHeight="false" outlineLevel="0" collapsed="false">
      <c r="A2" s="42" t="str">
        <f aca="false">Sales_Transactions!A2</f>
        <v>INV-01-001</v>
      </c>
      <c r="B2" s="42" t="str">
        <f aca="false">Sales_Transactions!B2</f>
        <v>2025-01</v>
      </c>
      <c r="C2" s="42" t="str">
        <f aca="false">Sales_Transactions!C2</f>
        <v>Actual</v>
      </c>
      <c r="D2" s="42" t="str">
        <f aca="false">Sales_Transactions!D2</f>
        <v>C001</v>
      </c>
      <c r="E2" s="42" t="str">
        <f aca="false">Sales_Transactions!E2</f>
        <v>P001</v>
      </c>
      <c r="F2" s="42" t="str">
        <f aca="false">IFERROR(INDEX(Customer_Master!$C$2:$C$49,MATCH(D2,Customer_Master!$A$2:$A$49,0)),"UNMATCHED")</f>
        <v>South</v>
      </c>
      <c r="G2" s="42" t="str">
        <f aca="false">IFERROR(INDEX(Customer_Master!$D$2:$D$49,MATCH(D2,Customer_Master!$A$2:$A$49,0)),"UNMATCHED")</f>
        <v>Distributor</v>
      </c>
      <c r="H2" s="42" t="str">
        <f aca="false">IFERROR(INDEX(Product_Master!$C$2:$C$9,MATCH(E2,Product_Master!$A$2:$A$9,0)),"UNMATCHED")</f>
        <v>Home Care</v>
      </c>
      <c r="I2" s="42" t="str">
        <f aca="false">IFERROR(INDEX(Product_Master!$B$2:$B$9,MATCH(E2,Product_Master!$A$2:$A$9,0)),"UNMATCHED")</f>
        <v>Detergent 1kg</v>
      </c>
      <c r="J2" s="42" t="n">
        <f aca="false">IFERROR(INDEX(Calendar!$B$2:$B$25,MATCH(B2,Calendar!$A$2:$A$25,0)),0)</f>
        <v>2025</v>
      </c>
      <c r="K2" s="42" t="n">
        <f aca="false">IFERROR(VALUE(RIGHT(B2,2)),0)</f>
        <v>1</v>
      </c>
      <c r="L2" s="42" t="str">
        <f aca="false">IFERROR(INDEX(Calendar!$E$2:$E$25,MATCH(B2,Calendar!$A$2:$A$25,0)),"UNMATCHED")</f>
        <v>Actual</v>
      </c>
      <c r="M2" s="42" t="n">
        <f aca="false">Sales_Transactions!F2</f>
        <v>412</v>
      </c>
      <c r="N2" s="52" t="n">
        <f aca="false">Sales_Transactions!I2</f>
        <v>78255.28</v>
      </c>
      <c r="O2" s="52" t="n">
        <f aca="false">Sales_Transactions!J2</f>
        <v>57049.64</v>
      </c>
      <c r="P2" s="52" t="n">
        <f aca="false">Sales_Transactions!K2</f>
        <v>21205.64</v>
      </c>
      <c r="Q2" s="42" t="n">
        <f aca="false">IF(ISNUMBER(MATCH(E2,Product_Master!$A$2:$A$9,0)),0,1)</f>
        <v>0</v>
      </c>
      <c r="R2" s="42" t="n">
        <f aca="false">IF(ISNUMBER(MATCH(D2,Customer_Master!$A$2:$A$49,0)),0,1)</f>
        <v>0</v>
      </c>
      <c r="S2" s="42" t="n">
        <f aca="false">IF(ISNUMBER(MATCH(B2,Calendar!$A$2:$A$25,0)),0,1)</f>
        <v>0</v>
      </c>
      <c r="T2" s="42" t="n">
        <f aca="false">IF(COUNTIF(Sales_Transactions!$A$2:$A$865,A2)&gt;1,1,0)</f>
        <v>0</v>
      </c>
      <c r="U2" s="42" t="n">
        <f aca="false">IF(OR(ABS(Sales_Transactions!F2*Sales_Transactions!G2-Sales_Transactions!I2)&gt;0.01,ABS(Sales_Transactions!F2*Sales_Transactions!H2-Sales_Transactions!J2)&gt;0.01,ABS(Sales_Transactions!I2-Sales_Transactions!J2-Sales_Transactions!K2)&gt;0.01),1,0)</f>
        <v>0</v>
      </c>
      <c r="V2" s="42" t="n">
        <f aca="false">IF(C2&lt;&gt;L2,1,0)</f>
        <v>0</v>
      </c>
      <c r="W2" s="42" t="n">
        <f aca="false">IF(SUM(Q2:V2)&gt;0,1,0)</f>
        <v>0</v>
      </c>
    </row>
    <row r="3" customFormat="false" ht="15" hidden="false" customHeight="false" outlineLevel="0" collapsed="false">
      <c r="A3" s="42" t="str">
        <f aca="false">Sales_Transactions!A3</f>
        <v>INV-01-002</v>
      </c>
      <c r="B3" s="42" t="str">
        <f aca="false">Sales_Transactions!B3</f>
        <v>2025-01</v>
      </c>
      <c r="C3" s="42" t="str">
        <f aca="false">Sales_Transactions!C3</f>
        <v>Actual</v>
      </c>
      <c r="D3" s="42" t="str">
        <f aca="false">Sales_Transactions!D3</f>
        <v>C008</v>
      </c>
      <c r="E3" s="42" t="str">
        <f aca="false">Sales_Transactions!E3</f>
        <v>P006</v>
      </c>
      <c r="F3" s="42" t="str">
        <f aca="false">IFERROR(INDEX(Customer_Master!$C$2:$C$49,MATCH(D3,Customer_Master!$A$2:$A$49,0)),"UNMATCHED")</f>
        <v>East</v>
      </c>
      <c r="G3" s="42" t="str">
        <f aca="false">IFERROR(INDEX(Customer_Master!$D$2:$D$49,MATCH(D3,Customer_Master!$A$2:$A$49,0)),"UNMATCHED")</f>
        <v>Modern Trade</v>
      </c>
      <c r="H3" s="42" t="str">
        <f aca="false">IFERROR(INDEX(Product_Master!$C$2:$C$9,MATCH(E3,Product_Master!$A$2:$A$9,0)),"UNMATCHED")</f>
        <v>Foods</v>
      </c>
      <c r="I3" s="42" t="str">
        <f aca="false">IFERROR(INDEX(Product_Master!$B$2:$B$9,MATCH(E3,Product_Master!$A$2:$A$9,0)),"UNMATCHED")</f>
        <v>Breakfast Cereal</v>
      </c>
      <c r="J3" s="42" t="n">
        <f aca="false">IFERROR(INDEX(Calendar!$B$2:$B$25,MATCH(B3,Calendar!$A$2:$A$25,0)),0)</f>
        <v>2025</v>
      </c>
      <c r="K3" s="42" t="n">
        <f aca="false">IFERROR(VALUE(RIGHT(B3,2)),0)</f>
        <v>1</v>
      </c>
      <c r="L3" s="42" t="str">
        <f aca="false">IFERROR(INDEX(Calendar!$E$2:$E$25,MATCH(B3,Calendar!$A$2:$A$25,0)),"UNMATCHED")</f>
        <v>Actual</v>
      </c>
      <c r="M3" s="42" t="n">
        <f aca="false">Sales_Transactions!F3</f>
        <v>210</v>
      </c>
      <c r="N3" s="52" t="n">
        <f aca="false">Sales_Transactions!I3</f>
        <v>49213.5</v>
      </c>
      <c r="O3" s="52" t="n">
        <f aca="false">Sales_Transactions!J3</f>
        <v>34345.5</v>
      </c>
      <c r="P3" s="52" t="n">
        <f aca="false">Sales_Transactions!K3</f>
        <v>14868</v>
      </c>
      <c r="Q3" s="42" t="n">
        <f aca="false">IF(ISNUMBER(MATCH(E3,Product_Master!$A$2:$A$9,0)),0,1)</f>
        <v>0</v>
      </c>
      <c r="R3" s="42" t="n">
        <f aca="false">IF(ISNUMBER(MATCH(D3,Customer_Master!$A$2:$A$49,0)),0,1)</f>
        <v>0</v>
      </c>
      <c r="S3" s="42" t="n">
        <f aca="false">IF(ISNUMBER(MATCH(B3,Calendar!$A$2:$A$25,0)),0,1)</f>
        <v>0</v>
      </c>
      <c r="T3" s="42" t="n">
        <f aca="false">IF(COUNTIF(Sales_Transactions!$A$2:$A$865,A3)&gt;1,1,0)</f>
        <v>0</v>
      </c>
      <c r="U3" s="42" t="n">
        <f aca="false">IF(OR(ABS(Sales_Transactions!F3*Sales_Transactions!G3-Sales_Transactions!I3)&gt;0.01,ABS(Sales_Transactions!F3*Sales_Transactions!H3-Sales_Transactions!J3)&gt;0.01,ABS(Sales_Transactions!I3-Sales_Transactions!J3-Sales_Transactions!K3)&gt;0.01),1,0)</f>
        <v>0</v>
      </c>
      <c r="V3" s="42" t="n">
        <f aca="false">IF(C3&lt;&gt;L3,1,0)</f>
        <v>0</v>
      </c>
      <c r="W3" s="42" t="n">
        <f aca="false">IF(SUM(Q3:V3)&gt;0,1,0)</f>
        <v>0</v>
      </c>
    </row>
    <row r="4" customFormat="false" ht="15" hidden="false" customHeight="false" outlineLevel="0" collapsed="false">
      <c r="A4" s="42" t="str">
        <f aca="false">Sales_Transactions!A4</f>
        <v>INV-01-003</v>
      </c>
      <c r="B4" s="42" t="str">
        <f aca="false">Sales_Transactions!B4</f>
        <v>2025-01</v>
      </c>
      <c r="C4" s="42" t="str">
        <f aca="false">Sales_Transactions!C4</f>
        <v>Actual</v>
      </c>
      <c r="D4" s="42" t="str">
        <f aca="false">Sales_Transactions!D4</f>
        <v>C015</v>
      </c>
      <c r="E4" s="42" t="str">
        <f aca="false">Sales_Transactions!E4</f>
        <v>P003</v>
      </c>
      <c r="F4" s="42" t="str">
        <f aca="false">IFERROR(INDEX(Customer_Master!$C$2:$C$49,MATCH(D4,Customer_Master!$A$2:$A$49,0)),"UNMATCHED")</f>
        <v>West</v>
      </c>
      <c r="G4" s="42" t="str">
        <f aca="false">IFERROR(INDEX(Customer_Master!$D$2:$D$49,MATCH(D4,Customer_Master!$A$2:$A$49,0)),"UNMATCHED")</f>
        <v>Retail</v>
      </c>
      <c r="H4" s="42" t="str">
        <f aca="false">IFERROR(INDEX(Product_Master!$C$2:$C$9,MATCH(E4,Product_Master!$A$2:$A$9,0)),"UNMATCHED")</f>
        <v>Personal Care</v>
      </c>
      <c r="I4" s="42" t="str">
        <f aca="false">IFERROR(INDEX(Product_Master!$B$2:$B$9,MATCH(E4,Product_Master!$A$2:$A$9,0)),"UNMATCHED")</f>
        <v>Shampoo 400ml</v>
      </c>
      <c r="J4" s="42" t="n">
        <f aca="false">IFERROR(INDEX(Calendar!$B$2:$B$25,MATCH(B4,Calendar!$A$2:$A$25,0)),0)</f>
        <v>2025</v>
      </c>
      <c r="K4" s="42" t="n">
        <f aca="false">IFERROR(VALUE(RIGHT(B4,2)),0)</f>
        <v>1</v>
      </c>
      <c r="L4" s="42" t="str">
        <f aca="false">IFERROR(INDEX(Calendar!$E$2:$E$25,MATCH(B4,Calendar!$A$2:$A$25,0)),"UNMATCHED")</f>
        <v>Actual</v>
      </c>
      <c r="M4" s="42" t="n">
        <f aca="false">Sales_Transactions!F4</f>
        <v>431</v>
      </c>
      <c r="N4" s="52" t="n">
        <f aca="false">Sales_Transactions!I4</f>
        <v>119024.96</v>
      </c>
      <c r="O4" s="52" t="n">
        <f aca="false">Sales_Transactions!J4</f>
        <v>75575.85</v>
      </c>
      <c r="P4" s="52" t="n">
        <f aca="false">Sales_Transactions!K4</f>
        <v>43449.11</v>
      </c>
      <c r="Q4" s="42" t="n">
        <f aca="false">IF(ISNUMBER(MATCH(E4,Product_Master!$A$2:$A$9,0)),0,1)</f>
        <v>0</v>
      </c>
      <c r="R4" s="42" t="n">
        <f aca="false">IF(ISNUMBER(MATCH(D4,Customer_Master!$A$2:$A$49,0)),0,1)</f>
        <v>0</v>
      </c>
      <c r="S4" s="42" t="n">
        <f aca="false">IF(ISNUMBER(MATCH(B4,Calendar!$A$2:$A$25,0)),0,1)</f>
        <v>0</v>
      </c>
      <c r="T4" s="42" t="n">
        <f aca="false">IF(COUNTIF(Sales_Transactions!$A$2:$A$865,A4)&gt;1,1,0)</f>
        <v>0</v>
      </c>
      <c r="U4" s="42" t="n">
        <f aca="false">IF(OR(ABS(Sales_Transactions!F4*Sales_Transactions!G4-Sales_Transactions!I4)&gt;0.01,ABS(Sales_Transactions!F4*Sales_Transactions!H4-Sales_Transactions!J4)&gt;0.01,ABS(Sales_Transactions!I4-Sales_Transactions!J4-Sales_Transactions!K4)&gt;0.01),1,0)</f>
        <v>0</v>
      </c>
      <c r="V4" s="42" t="n">
        <f aca="false">IF(C4&lt;&gt;L4,1,0)</f>
        <v>0</v>
      </c>
      <c r="W4" s="42" t="n">
        <f aca="false">IF(SUM(Q4:V4)&gt;0,1,0)</f>
        <v>0</v>
      </c>
    </row>
    <row r="5" customFormat="false" ht="15" hidden="false" customHeight="false" outlineLevel="0" collapsed="false">
      <c r="A5" s="42" t="str">
        <f aca="false">Sales_Transactions!A5</f>
        <v>INV-01-004</v>
      </c>
      <c r="B5" s="42" t="str">
        <f aca="false">Sales_Transactions!B5</f>
        <v>2025-01</v>
      </c>
      <c r="C5" s="42" t="str">
        <f aca="false">Sales_Transactions!C5</f>
        <v>Actual</v>
      </c>
      <c r="D5" s="42" t="str">
        <f aca="false">Sales_Transactions!D5</f>
        <v>C022</v>
      </c>
      <c r="E5" s="42" t="str">
        <f aca="false">Sales_Transactions!E5</f>
        <v>P008</v>
      </c>
      <c r="F5" s="42" t="str">
        <f aca="false">IFERROR(INDEX(Customer_Master!$C$2:$C$49,MATCH(D5,Customer_Master!$A$2:$A$49,0)),"UNMATCHED")</f>
        <v>North</v>
      </c>
      <c r="G5" s="42" t="str">
        <f aca="false">IFERROR(INDEX(Customer_Master!$D$2:$D$49,MATCH(D5,Customer_Master!$A$2:$A$49,0)),"UNMATCHED")</f>
        <v>Distributor</v>
      </c>
      <c r="H5" s="42" t="str">
        <f aca="false">IFERROR(INDEX(Product_Master!$C$2:$C$9,MATCH(E5,Product_Master!$A$2:$A$9,0)),"UNMATCHED")</f>
        <v>Personal Care</v>
      </c>
      <c r="I5" s="42" t="str">
        <f aca="false">IFERROR(INDEX(Product_Master!$B$2:$B$9,MATCH(E5,Product_Master!$A$2:$A$9,0)),"UNMATCHED")</f>
        <v>Body Lotion</v>
      </c>
      <c r="J5" s="42" t="n">
        <f aca="false">IFERROR(INDEX(Calendar!$B$2:$B$25,MATCH(B5,Calendar!$A$2:$A$25,0)),0)</f>
        <v>2025</v>
      </c>
      <c r="K5" s="42" t="n">
        <f aca="false">IFERROR(VALUE(RIGHT(B5,2)),0)</f>
        <v>1</v>
      </c>
      <c r="L5" s="42" t="str">
        <f aca="false">IFERROR(INDEX(Calendar!$E$2:$E$25,MATCH(B5,Calendar!$A$2:$A$25,0)),"UNMATCHED")</f>
        <v>Actual</v>
      </c>
      <c r="M5" s="42" t="n">
        <f aca="false">Sales_Transactions!F5</f>
        <v>387</v>
      </c>
      <c r="N5" s="52" t="n">
        <f aca="false">Sales_Transactions!I5</f>
        <v>118839.96</v>
      </c>
      <c r="O5" s="52" t="n">
        <f aca="false">Sales_Transactions!J5</f>
        <v>75325.68</v>
      </c>
      <c r="P5" s="52" t="n">
        <f aca="false">Sales_Transactions!K5</f>
        <v>43514.28</v>
      </c>
      <c r="Q5" s="42" t="n">
        <f aca="false">IF(ISNUMBER(MATCH(E5,Product_Master!$A$2:$A$9,0)),0,1)</f>
        <v>0</v>
      </c>
      <c r="R5" s="42" t="n">
        <f aca="false">IF(ISNUMBER(MATCH(D5,Customer_Master!$A$2:$A$49,0)),0,1)</f>
        <v>0</v>
      </c>
      <c r="S5" s="42" t="n">
        <f aca="false">IF(ISNUMBER(MATCH(B5,Calendar!$A$2:$A$25,0)),0,1)</f>
        <v>0</v>
      </c>
      <c r="T5" s="42" t="n">
        <f aca="false">IF(COUNTIF(Sales_Transactions!$A$2:$A$865,A5)&gt;1,1,0)</f>
        <v>0</v>
      </c>
      <c r="U5" s="42" t="n">
        <f aca="false">IF(OR(ABS(Sales_Transactions!F5*Sales_Transactions!G5-Sales_Transactions!I5)&gt;0.01,ABS(Sales_Transactions!F5*Sales_Transactions!H5-Sales_Transactions!J5)&gt;0.01,ABS(Sales_Transactions!I5-Sales_Transactions!J5-Sales_Transactions!K5)&gt;0.01),1,0)</f>
        <v>0</v>
      </c>
      <c r="V5" s="42" t="n">
        <f aca="false">IF(C5&lt;&gt;L5,1,0)</f>
        <v>0</v>
      </c>
      <c r="W5" s="42" t="n">
        <f aca="false">IF(SUM(Q5:V5)&gt;0,1,0)</f>
        <v>0</v>
      </c>
    </row>
    <row r="6" customFormat="false" ht="15" hidden="false" customHeight="false" outlineLevel="0" collapsed="false">
      <c r="A6" s="42" t="str">
        <f aca="false">Sales_Transactions!A6</f>
        <v>INV-01-005</v>
      </c>
      <c r="B6" s="42" t="str">
        <f aca="false">Sales_Transactions!B6</f>
        <v>2025-01</v>
      </c>
      <c r="C6" s="42" t="str">
        <f aca="false">Sales_Transactions!C6</f>
        <v>Actual</v>
      </c>
      <c r="D6" s="42" t="str">
        <f aca="false">Sales_Transactions!D6</f>
        <v>C029</v>
      </c>
      <c r="E6" s="42" t="str">
        <f aca="false">Sales_Transactions!E6</f>
        <v>P005</v>
      </c>
      <c r="F6" s="42" t="str">
        <f aca="false">IFERROR(INDEX(Customer_Master!$C$2:$C$49,MATCH(D6,Customer_Master!$A$2:$A$49,0)),"UNMATCHED")</f>
        <v>South</v>
      </c>
      <c r="G6" s="42" t="str">
        <f aca="false">IFERROR(INDEX(Customer_Master!$D$2:$D$49,MATCH(D6,Customer_Master!$A$2:$A$49,0)),"UNMATCHED")</f>
        <v>Modern Trade</v>
      </c>
      <c r="H6" s="42" t="str">
        <f aca="false">IFERROR(INDEX(Product_Master!$C$2:$C$9,MATCH(E6,Product_Master!$A$2:$A$9,0)),"UNMATCHED")</f>
        <v>Foods</v>
      </c>
      <c r="I6" s="42" t="str">
        <f aca="false">IFERROR(INDEX(Product_Master!$B$2:$B$9,MATCH(E6,Product_Master!$A$2:$A$9,0)),"UNMATCHED")</f>
        <v>Biscuits 500g</v>
      </c>
      <c r="J6" s="42" t="n">
        <f aca="false">IFERROR(INDEX(Calendar!$B$2:$B$25,MATCH(B6,Calendar!$A$2:$A$25,0)),0)</f>
        <v>2025</v>
      </c>
      <c r="K6" s="42" t="n">
        <f aca="false">IFERROR(VALUE(RIGHT(B6,2)),0)</f>
        <v>1</v>
      </c>
      <c r="L6" s="42" t="str">
        <f aca="false">IFERROR(INDEX(Calendar!$E$2:$E$25,MATCH(B6,Calendar!$A$2:$A$25,0)),"UNMATCHED")</f>
        <v>Actual</v>
      </c>
      <c r="M6" s="42" t="n">
        <f aca="false">Sales_Transactions!F6</f>
        <v>196</v>
      </c>
      <c r="N6" s="52" t="n">
        <f aca="false">Sales_Transactions!I6</f>
        <v>19841.08</v>
      </c>
      <c r="O6" s="52" t="n">
        <f aca="false">Sales_Transactions!J6</f>
        <v>13555.36</v>
      </c>
      <c r="P6" s="52" t="n">
        <f aca="false">Sales_Transactions!K6</f>
        <v>6285.72</v>
      </c>
      <c r="Q6" s="42" t="n">
        <f aca="false">IF(ISNUMBER(MATCH(E6,Product_Master!$A$2:$A$9,0)),0,1)</f>
        <v>0</v>
      </c>
      <c r="R6" s="42" t="n">
        <f aca="false">IF(ISNUMBER(MATCH(D6,Customer_Master!$A$2:$A$49,0)),0,1)</f>
        <v>0</v>
      </c>
      <c r="S6" s="42" t="n">
        <f aca="false">IF(ISNUMBER(MATCH(B6,Calendar!$A$2:$A$25,0)),0,1)</f>
        <v>0</v>
      </c>
      <c r="T6" s="42" t="n">
        <f aca="false">IF(COUNTIF(Sales_Transactions!$A$2:$A$865,A6)&gt;1,1,0)</f>
        <v>0</v>
      </c>
      <c r="U6" s="42" t="n">
        <f aca="false">IF(OR(ABS(Sales_Transactions!F6*Sales_Transactions!G6-Sales_Transactions!I6)&gt;0.01,ABS(Sales_Transactions!F6*Sales_Transactions!H6-Sales_Transactions!J6)&gt;0.01,ABS(Sales_Transactions!I6-Sales_Transactions!J6-Sales_Transactions!K6)&gt;0.01),1,0)</f>
        <v>0</v>
      </c>
      <c r="V6" s="42" t="n">
        <f aca="false">IF(C6&lt;&gt;L6,1,0)</f>
        <v>0</v>
      </c>
      <c r="W6" s="42" t="n">
        <f aca="false">IF(SUM(Q6:V6)&gt;0,1,0)</f>
        <v>0</v>
      </c>
    </row>
    <row r="7" customFormat="false" ht="15" hidden="false" customHeight="false" outlineLevel="0" collapsed="false">
      <c r="A7" s="42" t="str">
        <f aca="false">Sales_Transactions!A7</f>
        <v>INV-01-006</v>
      </c>
      <c r="B7" s="42" t="str">
        <f aca="false">Sales_Transactions!B7</f>
        <v>2025-01</v>
      </c>
      <c r="C7" s="42" t="str">
        <f aca="false">Sales_Transactions!C7</f>
        <v>Actual</v>
      </c>
      <c r="D7" s="42" t="str">
        <f aca="false">Sales_Transactions!D7</f>
        <v>C036</v>
      </c>
      <c r="E7" s="42" t="str">
        <f aca="false">Sales_Transactions!E7</f>
        <v>P002</v>
      </c>
      <c r="F7" s="42" t="str">
        <f aca="false">IFERROR(INDEX(Customer_Master!$C$2:$C$49,MATCH(D7,Customer_Master!$A$2:$A$49,0)),"UNMATCHED")</f>
        <v>East</v>
      </c>
      <c r="G7" s="42" t="str">
        <f aca="false">IFERROR(INDEX(Customer_Master!$D$2:$D$49,MATCH(D7,Customer_Master!$A$2:$A$49,0)),"UNMATCHED")</f>
        <v>Retail</v>
      </c>
      <c r="H7" s="42" t="str">
        <f aca="false">IFERROR(INDEX(Product_Master!$C$2:$C$9,MATCH(E7,Product_Master!$A$2:$A$9,0)),"UNMATCHED")</f>
        <v>Home Care</v>
      </c>
      <c r="I7" s="42" t="str">
        <f aca="false">IFERROR(INDEX(Product_Master!$B$2:$B$9,MATCH(E7,Product_Master!$A$2:$A$9,0)),"UNMATCHED")</f>
        <v>Dishwash Gel</v>
      </c>
      <c r="J7" s="42" t="n">
        <f aca="false">IFERROR(INDEX(Calendar!$B$2:$B$25,MATCH(B7,Calendar!$A$2:$A$25,0)),0)</f>
        <v>2025</v>
      </c>
      <c r="K7" s="42" t="n">
        <f aca="false">IFERROR(VALUE(RIGHT(B7,2)),0)</f>
        <v>1</v>
      </c>
      <c r="L7" s="42" t="str">
        <f aca="false">IFERROR(INDEX(Calendar!$E$2:$E$25,MATCH(B7,Calendar!$A$2:$A$25,0)),"UNMATCHED")</f>
        <v>Actual</v>
      </c>
      <c r="M7" s="42" t="n">
        <f aca="false">Sales_Transactions!F7</f>
        <v>372</v>
      </c>
      <c r="N7" s="52" t="n">
        <f aca="false">Sales_Transactions!I7</f>
        <v>49401.6</v>
      </c>
      <c r="O7" s="52" t="n">
        <f aca="false">Sales_Transactions!J7</f>
        <v>31660.92</v>
      </c>
      <c r="P7" s="52" t="n">
        <f aca="false">Sales_Transactions!K7</f>
        <v>17740.68</v>
      </c>
      <c r="Q7" s="42" t="n">
        <f aca="false">IF(ISNUMBER(MATCH(E7,Product_Master!$A$2:$A$9,0)),0,1)</f>
        <v>0</v>
      </c>
      <c r="R7" s="42" t="n">
        <f aca="false">IF(ISNUMBER(MATCH(D7,Customer_Master!$A$2:$A$49,0)),0,1)</f>
        <v>0</v>
      </c>
      <c r="S7" s="42" t="n">
        <f aca="false">IF(ISNUMBER(MATCH(B7,Calendar!$A$2:$A$25,0)),0,1)</f>
        <v>0</v>
      </c>
      <c r="T7" s="42" t="n">
        <f aca="false">IF(COUNTIF(Sales_Transactions!$A$2:$A$865,A7)&gt;1,1,0)</f>
        <v>0</v>
      </c>
      <c r="U7" s="42" t="n">
        <f aca="false">IF(OR(ABS(Sales_Transactions!F7*Sales_Transactions!G7-Sales_Transactions!I7)&gt;0.01,ABS(Sales_Transactions!F7*Sales_Transactions!H7-Sales_Transactions!J7)&gt;0.01,ABS(Sales_Transactions!I7-Sales_Transactions!J7-Sales_Transactions!K7)&gt;0.01),1,0)</f>
        <v>0</v>
      </c>
      <c r="V7" s="42" t="n">
        <f aca="false">IF(C7&lt;&gt;L7,1,0)</f>
        <v>0</v>
      </c>
      <c r="W7" s="42" t="n">
        <f aca="false">IF(SUM(Q7:V7)&gt;0,1,0)</f>
        <v>0</v>
      </c>
    </row>
    <row r="8" customFormat="false" ht="15" hidden="false" customHeight="false" outlineLevel="0" collapsed="false">
      <c r="A8" s="42" t="str">
        <f aca="false">Sales_Transactions!A8</f>
        <v>INV-01-007</v>
      </c>
      <c r="B8" s="42" t="str">
        <f aca="false">Sales_Transactions!B8</f>
        <v>2025-01</v>
      </c>
      <c r="C8" s="42" t="str">
        <f aca="false">Sales_Transactions!C8</f>
        <v>Actual</v>
      </c>
      <c r="D8" s="42" t="str">
        <f aca="false">Sales_Transactions!D8</f>
        <v>C043</v>
      </c>
      <c r="E8" s="42" t="str">
        <f aca="false">Sales_Transactions!E8</f>
        <v>P007</v>
      </c>
      <c r="F8" s="42" t="str">
        <f aca="false">IFERROR(INDEX(Customer_Master!$C$2:$C$49,MATCH(D8,Customer_Master!$A$2:$A$49,0)),"UNMATCHED")</f>
        <v>West</v>
      </c>
      <c r="G8" s="42" t="str">
        <f aca="false">IFERROR(INDEX(Customer_Master!$D$2:$D$49,MATCH(D8,Customer_Master!$A$2:$A$49,0)),"UNMATCHED")</f>
        <v>Distributor</v>
      </c>
      <c r="H8" s="42" t="str">
        <f aca="false">IFERROR(INDEX(Product_Master!$C$2:$C$9,MATCH(E8,Product_Master!$A$2:$A$9,0)),"UNMATCHED")</f>
        <v>Home Care</v>
      </c>
      <c r="I8" s="42" t="str">
        <f aca="false">IFERROR(INDEX(Product_Master!$B$2:$B$9,MATCH(E8,Product_Master!$A$2:$A$9,0)),"UNMATCHED")</f>
        <v>Floor Cleaner</v>
      </c>
      <c r="J8" s="42" t="n">
        <f aca="false">IFERROR(INDEX(Calendar!$B$2:$B$25,MATCH(B8,Calendar!$A$2:$A$25,0)),0)</f>
        <v>2025</v>
      </c>
      <c r="K8" s="42" t="n">
        <f aca="false">IFERROR(VALUE(RIGHT(B8,2)),0)</f>
        <v>1</v>
      </c>
      <c r="L8" s="42" t="str">
        <f aca="false">IFERROR(INDEX(Calendar!$E$2:$E$25,MATCH(B8,Calendar!$A$2:$A$25,0)),"UNMATCHED")</f>
        <v>Actual</v>
      </c>
      <c r="M8" s="42" t="n">
        <f aca="false">Sales_Transactions!F8</f>
        <v>364</v>
      </c>
      <c r="N8" s="52" t="n">
        <f aca="false">Sales_Transactions!I8</f>
        <v>65323.44</v>
      </c>
      <c r="O8" s="52" t="n">
        <f aca="false">Sales_Transactions!J8</f>
        <v>41335.84</v>
      </c>
      <c r="P8" s="52" t="n">
        <f aca="false">Sales_Transactions!K8</f>
        <v>23987.6</v>
      </c>
      <c r="Q8" s="42" t="n">
        <f aca="false">IF(ISNUMBER(MATCH(E8,Product_Master!$A$2:$A$9,0)),0,1)</f>
        <v>0</v>
      </c>
      <c r="R8" s="42" t="n">
        <f aca="false">IF(ISNUMBER(MATCH(D8,Customer_Master!$A$2:$A$49,0)),0,1)</f>
        <v>0</v>
      </c>
      <c r="S8" s="42" t="n">
        <f aca="false">IF(ISNUMBER(MATCH(B8,Calendar!$A$2:$A$25,0)),0,1)</f>
        <v>0</v>
      </c>
      <c r="T8" s="42" t="n">
        <f aca="false">IF(COUNTIF(Sales_Transactions!$A$2:$A$865,A8)&gt;1,1,0)</f>
        <v>0</v>
      </c>
      <c r="U8" s="42" t="n">
        <f aca="false">IF(OR(ABS(Sales_Transactions!F8*Sales_Transactions!G8-Sales_Transactions!I8)&gt;0.01,ABS(Sales_Transactions!F8*Sales_Transactions!H8-Sales_Transactions!J8)&gt;0.01,ABS(Sales_Transactions!I8-Sales_Transactions!J8-Sales_Transactions!K8)&gt;0.01),1,0)</f>
        <v>0</v>
      </c>
      <c r="V8" s="42" t="n">
        <f aca="false">IF(C8&lt;&gt;L8,1,0)</f>
        <v>0</v>
      </c>
      <c r="W8" s="42" t="n">
        <f aca="false">IF(SUM(Q8:V8)&gt;0,1,0)</f>
        <v>0</v>
      </c>
    </row>
    <row r="9" customFormat="false" ht="15" hidden="false" customHeight="false" outlineLevel="0" collapsed="false">
      <c r="A9" s="42" t="str">
        <f aca="false">Sales_Transactions!A9</f>
        <v>INV-01-008</v>
      </c>
      <c r="B9" s="42" t="str">
        <f aca="false">Sales_Transactions!B9</f>
        <v>2025-01</v>
      </c>
      <c r="C9" s="42" t="str">
        <f aca="false">Sales_Transactions!C9</f>
        <v>Actual</v>
      </c>
      <c r="D9" s="42" t="str">
        <f aca="false">Sales_Transactions!D9</f>
        <v>C002</v>
      </c>
      <c r="E9" s="42" t="str">
        <f aca="false">Sales_Transactions!E9</f>
        <v>P004</v>
      </c>
      <c r="F9" s="42" t="str">
        <f aca="false">IFERROR(INDEX(Customer_Master!$C$2:$C$49,MATCH(D9,Customer_Master!$A$2:$A$49,0)),"UNMATCHED")</f>
        <v>North</v>
      </c>
      <c r="G9" s="42" t="str">
        <f aca="false">IFERROR(INDEX(Customer_Master!$D$2:$D$49,MATCH(D9,Customer_Master!$A$2:$A$49,0)),"UNMATCHED")</f>
        <v>Modern Trade</v>
      </c>
      <c r="H9" s="42" t="str">
        <f aca="false">IFERROR(INDEX(Product_Master!$C$2:$C$9,MATCH(E9,Product_Master!$A$2:$A$9,0)),"UNMATCHED")</f>
        <v>Personal Care</v>
      </c>
      <c r="I9" s="42" t="str">
        <f aca="false">IFERROR(INDEX(Product_Master!$B$2:$B$9,MATCH(E9,Product_Master!$A$2:$A$9,0)),"UNMATCHED")</f>
        <v>Soap 4-pack</v>
      </c>
      <c r="J9" s="42" t="n">
        <f aca="false">IFERROR(INDEX(Calendar!$B$2:$B$25,MATCH(B9,Calendar!$A$2:$A$25,0)),0)</f>
        <v>2025</v>
      </c>
      <c r="K9" s="42" t="n">
        <f aca="false">IFERROR(VALUE(RIGHT(B9,2)),0)</f>
        <v>1</v>
      </c>
      <c r="L9" s="42" t="str">
        <f aca="false">IFERROR(INDEX(Calendar!$E$2:$E$25,MATCH(B9,Calendar!$A$2:$A$25,0)),"UNMATCHED")</f>
        <v>Actual</v>
      </c>
      <c r="M9" s="42" t="n">
        <f aca="false">Sales_Transactions!F9</f>
        <v>227</v>
      </c>
      <c r="N9" s="52" t="n">
        <f aca="false">Sales_Transactions!I9</f>
        <v>39534.32</v>
      </c>
      <c r="O9" s="52" t="n">
        <f aca="false">Sales_Transactions!J9</f>
        <v>20936.21</v>
      </c>
      <c r="P9" s="52" t="n">
        <f aca="false">Sales_Transactions!K9</f>
        <v>18598.11</v>
      </c>
      <c r="Q9" s="42" t="n">
        <f aca="false">IF(ISNUMBER(MATCH(E9,Product_Master!$A$2:$A$9,0)),0,1)</f>
        <v>0</v>
      </c>
      <c r="R9" s="42" t="n">
        <f aca="false">IF(ISNUMBER(MATCH(D9,Customer_Master!$A$2:$A$49,0)),0,1)</f>
        <v>0</v>
      </c>
      <c r="S9" s="42" t="n">
        <f aca="false">IF(ISNUMBER(MATCH(B9,Calendar!$A$2:$A$25,0)),0,1)</f>
        <v>0</v>
      </c>
      <c r="T9" s="42" t="n">
        <f aca="false">IF(COUNTIF(Sales_Transactions!$A$2:$A$865,A9)&gt;1,1,0)</f>
        <v>0</v>
      </c>
      <c r="U9" s="42" t="n">
        <f aca="false">IF(OR(ABS(Sales_Transactions!F9*Sales_Transactions!G9-Sales_Transactions!I9)&gt;0.01,ABS(Sales_Transactions!F9*Sales_Transactions!H9-Sales_Transactions!J9)&gt;0.01,ABS(Sales_Transactions!I9-Sales_Transactions!J9-Sales_Transactions!K9)&gt;0.01),1,0)</f>
        <v>0</v>
      </c>
      <c r="V9" s="42" t="n">
        <f aca="false">IF(C9&lt;&gt;L9,1,0)</f>
        <v>0</v>
      </c>
      <c r="W9" s="42" t="n">
        <f aca="false">IF(SUM(Q9:V9)&gt;0,1,0)</f>
        <v>0</v>
      </c>
    </row>
    <row r="10" customFormat="false" ht="15" hidden="false" customHeight="false" outlineLevel="0" collapsed="false">
      <c r="A10" s="42" t="str">
        <f aca="false">Sales_Transactions!A10</f>
        <v>INV-01-009</v>
      </c>
      <c r="B10" s="42" t="str">
        <f aca="false">Sales_Transactions!B10</f>
        <v>2025-01</v>
      </c>
      <c r="C10" s="42" t="str">
        <f aca="false">Sales_Transactions!C10</f>
        <v>Actual</v>
      </c>
      <c r="D10" s="42" t="str">
        <f aca="false">Sales_Transactions!D10</f>
        <v>C009</v>
      </c>
      <c r="E10" s="42" t="str">
        <f aca="false">Sales_Transactions!E10</f>
        <v>P001</v>
      </c>
      <c r="F10" s="42" t="str">
        <f aca="false">IFERROR(INDEX(Customer_Master!$C$2:$C$49,MATCH(D10,Customer_Master!$A$2:$A$49,0)),"UNMATCHED")</f>
        <v>South</v>
      </c>
      <c r="G10" s="42" t="str">
        <f aca="false">IFERROR(INDEX(Customer_Master!$D$2:$D$49,MATCH(D10,Customer_Master!$A$2:$A$49,0)),"UNMATCHED")</f>
        <v>Retail</v>
      </c>
      <c r="H10" s="42" t="str">
        <f aca="false">IFERROR(INDEX(Product_Master!$C$2:$C$9,MATCH(E10,Product_Master!$A$2:$A$9,0)),"UNMATCHED")</f>
        <v>Home Care</v>
      </c>
      <c r="I10" s="42" t="str">
        <f aca="false">IFERROR(INDEX(Product_Master!$B$2:$B$9,MATCH(E10,Product_Master!$A$2:$A$9,0)),"UNMATCHED")</f>
        <v>Detergent 1kg</v>
      </c>
      <c r="J10" s="42" t="n">
        <f aca="false">IFERROR(INDEX(Calendar!$B$2:$B$25,MATCH(B10,Calendar!$A$2:$A$25,0)),0)</f>
        <v>2025</v>
      </c>
      <c r="K10" s="42" t="n">
        <f aca="false">IFERROR(VALUE(RIGHT(B10,2)),0)</f>
        <v>1</v>
      </c>
      <c r="L10" s="42" t="str">
        <f aca="false">IFERROR(INDEX(Calendar!$E$2:$E$25,MATCH(B10,Calendar!$A$2:$A$25,0)),"UNMATCHED")</f>
        <v>Actual</v>
      </c>
      <c r="M10" s="42" t="n">
        <f aca="false">Sales_Transactions!F10</f>
        <v>166</v>
      </c>
      <c r="N10" s="52" t="n">
        <f aca="false">Sales_Transactions!I10</f>
        <v>34189.36</v>
      </c>
      <c r="O10" s="52" t="n">
        <f aca="false">Sales_Transactions!J10</f>
        <v>21930.26</v>
      </c>
      <c r="P10" s="52" t="n">
        <f aca="false">Sales_Transactions!K10</f>
        <v>12259.1</v>
      </c>
      <c r="Q10" s="42" t="n">
        <f aca="false">IF(ISNUMBER(MATCH(E10,Product_Master!$A$2:$A$9,0)),0,1)</f>
        <v>0</v>
      </c>
      <c r="R10" s="42" t="n">
        <f aca="false">IF(ISNUMBER(MATCH(D10,Customer_Master!$A$2:$A$49,0)),0,1)</f>
        <v>0</v>
      </c>
      <c r="S10" s="42" t="n">
        <f aca="false">IF(ISNUMBER(MATCH(B10,Calendar!$A$2:$A$25,0)),0,1)</f>
        <v>0</v>
      </c>
      <c r="T10" s="42" t="n">
        <f aca="false">IF(COUNTIF(Sales_Transactions!$A$2:$A$865,A10)&gt;1,1,0)</f>
        <v>0</v>
      </c>
      <c r="U10" s="42" t="n">
        <f aca="false">IF(OR(ABS(Sales_Transactions!F10*Sales_Transactions!G10-Sales_Transactions!I10)&gt;0.01,ABS(Sales_Transactions!F10*Sales_Transactions!H10-Sales_Transactions!J10)&gt;0.01,ABS(Sales_Transactions!I10-Sales_Transactions!J10-Sales_Transactions!K10)&gt;0.01),1,0)</f>
        <v>0</v>
      </c>
      <c r="V10" s="42" t="n">
        <f aca="false">IF(C10&lt;&gt;L10,1,0)</f>
        <v>0</v>
      </c>
      <c r="W10" s="42" t="n">
        <f aca="false">IF(SUM(Q10:V10)&gt;0,1,0)</f>
        <v>0</v>
      </c>
    </row>
    <row r="11" customFormat="false" ht="15" hidden="false" customHeight="false" outlineLevel="0" collapsed="false">
      <c r="A11" s="42" t="str">
        <f aca="false">Sales_Transactions!A11</f>
        <v>INV-01-010</v>
      </c>
      <c r="B11" s="42" t="str">
        <f aca="false">Sales_Transactions!B11</f>
        <v>2025-01</v>
      </c>
      <c r="C11" s="42" t="str">
        <f aca="false">Sales_Transactions!C11</f>
        <v>Actual</v>
      </c>
      <c r="D11" s="42" t="str">
        <f aca="false">Sales_Transactions!D11</f>
        <v>C016</v>
      </c>
      <c r="E11" s="42" t="str">
        <f aca="false">Sales_Transactions!E11</f>
        <v>P006</v>
      </c>
      <c r="F11" s="42" t="str">
        <f aca="false">IFERROR(INDEX(Customer_Master!$C$2:$C$49,MATCH(D11,Customer_Master!$A$2:$A$49,0)),"UNMATCHED")</f>
        <v>East</v>
      </c>
      <c r="G11" s="42" t="str">
        <f aca="false">IFERROR(INDEX(Customer_Master!$D$2:$D$49,MATCH(D11,Customer_Master!$A$2:$A$49,0)),"UNMATCHED")</f>
        <v>Distributor</v>
      </c>
      <c r="H11" s="42" t="str">
        <f aca="false">IFERROR(INDEX(Product_Master!$C$2:$C$9,MATCH(E11,Product_Master!$A$2:$A$9,0)),"UNMATCHED")</f>
        <v>Foods</v>
      </c>
      <c r="I11" s="42" t="str">
        <f aca="false">IFERROR(INDEX(Product_Master!$B$2:$B$9,MATCH(E11,Product_Master!$A$2:$A$9,0)),"UNMATCHED")</f>
        <v>Breakfast Cereal</v>
      </c>
      <c r="J11" s="42" t="n">
        <f aca="false">IFERROR(INDEX(Calendar!$B$2:$B$25,MATCH(B11,Calendar!$A$2:$A$25,0)),0)</f>
        <v>2025</v>
      </c>
      <c r="K11" s="42" t="n">
        <f aca="false">IFERROR(VALUE(RIGHT(B11,2)),0)</f>
        <v>1</v>
      </c>
      <c r="L11" s="42" t="str">
        <f aca="false">IFERROR(INDEX(Calendar!$E$2:$E$25,MATCH(B11,Calendar!$A$2:$A$25,0)),"UNMATCHED")</f>
        <v>Actual</v>
      </c>
      <c r="M11" s="42" t="n">
        <f aca="false">Sales_Transactions!F11</f>
        <v>164</v>
      </c>
      <c r="N11" s="52" t="n">
        <f aca="false">Sales_Transactions!I11</f>
        <v>38390.76</v>
      </c>
      <c r="O11" s="52" t="n">
        <f aca="false">Sales_Transactions!J11</f>
        <v>26904.2</v>
      </c>
      <c r="P11" s="52" t="n">
        <f aca="false">Sales_Transactions!K11</f>
        <v>11486.56</v>
      </c>
      <c r="Q11" s="42" t="n">
        <f aca="false">IF(ISNUMBER(MATCH(E11,Product_Master!$A$2:$A$9,0)),0,1)</f>
        <v>0</v>
      </c>
      <c r="R11" s="42" t="n">
        <f aca="false">IF(ISNUMBER(MATCH(D11,Customer_Master!$A$2:$A$49,0)),0,1)</f>
        <v>0</v>
      </c>
      <c r="S11" s="42" t="n">
        <f aca="false">IF(ISNUMBER(MATCH(B11,Calendar!$A$2:$A$25,0)),0,1)</f>
        <v>0</v>
      </c>
      <c r="T11" s="42" t="n">
        <f aca="false">IF(COUNTIF(Sales_Transactions!$A$2:$A$865,A11)&gt;1,1,0)</f>
        <v>0</v>
      </c>
      <c r="U11" s="42" t="n">
        <f aca="false">IF(OR(ABS(Sales_Transactions!F11*Sales_Transactions!G11-Sales_Transactions!I11)&gt;0.01,ABS(Sales_Transactions!F11*Sales_Transactions!H11-Sales_Transactions!J11)&gt;0.01,ABS(Sales_Transactions!I11-Sales_Transactions!J11-Sales_Transactions!K11)&gt;0.01),1,0)</f>
        <v>0</v>
      </c>
      <c r="V11" s="42" t="n">
        <f aca="false">IF(C11&lt;&gt;L11,1,0)</f>
        <v>0</v>
      </c>
      <c r="W11" s="42" t="n">
        <f aca="false">IF(SUM(Q11:V11)&gt;0,1,0)</f>
        <v>0</v>
      </c>
    </row>
    <row r="12" customFormat="false" ht="15" hidden="false" customHeight="false" outlineLevel="0" collapsed="false">
      <c r="A12" s="42" t="str">
        <f aca="false">Sales_Transactions!A12</f>
        <v>INV-01-011</v>
      </c>
      <c r="B12" s="42" t="str">
        <f aca="false">Sales_Transactions!B12</f>
        <v>2025-01</v>
      </c>
      <c r="C12" s="42" t="str">
        <f aca="false">Sales_Transactions!C12</f>
        <v>Actual</v>
      </c>
      <c r="D12" s="42" t="str">
        <f aca="false">Sales_Transactions!D12</f>
        <v>C023</v>
      </c>
      <c r="E12" s="42" t="str">
        <f aca="false">Sales_Transactions!E12</f>
        <v>P003</v>
      </c>
      <c r="F12" s="42" t="str">
        <f aca="false">IFERROR(INDEX(Customer_Master!$C$2:$C$49,MATCH(D12,Customer_Master!$A$2:$A$49,0)),"UNMATCHED")</f>
        <v>West</v>
      </c>
      <c r="G12" s="42" t="str">
        <f aca="false">IFERROR(INDEX(Customer_Master!$D$2:$D$49,MATCH(D12,Customer_Master!$A$2:$A$49,0)),"UNMATCHED")</f>
        <v>Modern Trade</v>
      </c>
      <c r="H12" s="42" t="str">
        <f aca="false">IFERROR(INDEX(Product_Master!$C$2:$C$9,MATCH(E12,Product_Master!$A$2:$A$9,0)),"UNMATCHED")</f>
        <v>Personal Care</v>
      </c>
      <c r="I12" s="42" t="str">
        <f aca="false">IFERROR(INDEX(Product_Master!$B$2:$B$9,MATCH(E12,Product_Master!$A$2:$A$9,0)),"UNMATCHED")</f>
        <v>Shampoo 400ml</v>
      </c>
      <c r="J12" s="42" t="n">
        <f aca="false">IFERROR(INDEX(Calendar!$B$2:$B$25,MATCH(B12,Calendar!$A$2:$A$25,0)),0)</f>
        <v>2025</v>
      </c>
      <c r="K12" s="42" t="n">
        <f aca="false">IFERROR(VALUE(RIGHT(B12,2)),0)</f>
        <v>1</v>
      </c>
      <c r="L12" s="42" t="str">
        <f aca="false">IFERROR(INDEX(Calendar!$E$2:$E$25,MATCH(B12,Calendar!$A$2:$A$25,0)),"UNMATCHED")</f>
        <v>Actual</v>
      </c>
      <c r="M12" s="42" t="n">
        <f aca="false">Sales_Transactions!F12</f>
        <v>137</v>
      </c>
      <c r="N12" s="52" t="n">
        <f aca="false">Sales_Transactions!I12</f>
        <v>34603.46</v>
      </c>
      <c r="O12" s="52" t="n">
        <f aca="false">Sales_Transactions!J12</f>
        <v>22761.18</v>
      </c>
      <c r="P12" s="52" t="n">
        <f aca="false">Sales_Transactions!K12</f>
        <v>11842.28</v>
      </c>
      <c r="Q12" s="42" t="n">
        <f aca="false">IF(ISNUMBER(MATCH(E12,Product_Master!$A$2:$A$9,0)),0,1)</f>
        <v>0</v>
      </c>
      <c r="R12" s="42" t="n">
        <f aca="false">IF(ISNUMBER(MATCH(D12,Customer_Master!$A$2:$A$49,0)),0,1)</f>
        <v>0</v>
      </c>
      <c r="S12" s="42" t="n">
        <f aca="false">IF(ISNUMBER(MATCH(B12,Calendar!$A$2:$A$25,0)),0,1)</f>
        <v>0</v>
      </c>
      <c r="T12" s="42" t="n">
        <f aca="false">IF(COUNTIF(Sales_Transactions!$A$2:$A$865,A12)&gt;1,1,0)</f>
        <v>0</v>
      </c>
      <c r="U12" s="42" t="n">
        <f aca="false">IF(OR(ABS(Sales_Transactions!F12*Sales_Transactions!G12-Sales_Transactions!I12)&gt;0.01,ABS(Sales_Transactions!F12*Sales_Transactions!H12-Sales_Transactions!J12)&gt;0.01,ABS(Sales_Transactions!I12-Sales_Transactions!J12-Sales_Transactions!K12)&gt;0.01),1,0)</f>
        <v>0</v>
      </c>
      <c r="V12" s="42" t="n">
        <f aca="false">IF(C12&lt;&gt;L12,1,0)</f>
        <v>0</v>
      </c>
      <c r="W12" s="42" t="n">
        <f aca="false">IF(SUM(Q12:V12)&gt;0,1,0)</f>
        <v>0</v>
      </c>
    </row>
    <row r="13" customFormat="false" ht="15" hidden="false" customHeight="false" outlineLevel="0" collapsed="false">
      <c r="A13" s="42" t="str">
        <f aca="false">Sales_Transactions!A13</f>
        <v>INV-01-012</v>
      </c>
      <c r="B13" s="42" t="str">
        <f aca="false">Sales_Transactions!B13</f>
        <v>2025-01</v>
      </c>
      <c r="C13" s="42" t="str">
        <f aca="false">Sales_Transactions!C13</f>
        <v>Actual</v>
      </c>
      <c r="D13" s="42" t="str">
        <f aca="false">Sales_Transactions!D13</f>
        <v>C030</v>
      </c>
      <c r="E13" s="42" t="str">
        <f aca="false">Sales_Transactions!E13</f>
        <v>P008</v>
      </c>
      <c r="F13" s="42" t="str">
        <f aca="false">IFERROR(INDEX(Customer_Master!$C$2:$C$49,MATCH(D13,Customer_Master!$A$2:$A$49,0)),"UNMATCHED")</f>
        <v>North</v>
      </c>
      <c r="G13" s="42" t="str">
        <f aca="false">IFERROR(INDEX(Customer_Master!$D$2:$D$49,MATCH(D13,Customer_Master!$A$2:$A$49,0)),"UNMATCHED")</f>
        <v>Retail</v>
      </c>
      <c r="H13" s="42" t="str">
        <f aca="false">IFERROR(INDEX(Product_Master!$C$2:$C$9,MATCH(E13,Product_Master!$A$2:$A$9,0)),"UNMATCHED")</f>
        <v>Personal Care</v>
      </c>
      <c r="I13" s="42" t="str">
        <f aca="false">IFERROR(INDEX(Product_Master!$B$2:$B$9,MATCH(E13,Product_Master!$A$2:$A$9,0)),"UNMATCHED")</f>
        <v>Body Lotion</v>
      </c>
      <c r="J13" s="42" t="n">
        <f aca="false">IFERROR(INDEX(Calendar!$B$2:$B$25,MATCH(B13,Calendar!$A$2:$A$25,0)),0)</f>
        <v>2025</v>
      </c>
      <c r="K13" s="42" t="n">
        <f aca="false">IFERROR(VALUE(RIGHT(B13,2)),0)</f>
        <v>1</v>
      </c>
      <c r="L13" s="42" t="str">
        <f aca="false">IFERROR(INDEX(Calendar!$E$2:$E$25,MATCH(B13,Calendar!$A$2:$A$25,0)),"UNMATCHED")</f>
        <v>Actual</v>
      </c>
      <c r="M13" s="42" t="n">
        <f aca="false">Sales_Transactions!F13</f>
        <v>261</v>
      </c>
      <c r="N13" s="52" t="n">
        <f aca="false">Sales_Transactions!I13</f>
        <v>82152.36</v>
      </c>
      <c r="O13" s="52" t="n">
        <f aca="false">Sales_Transactions!J13</f>
        <v>55718.28</v>
      </c>
      <c r="P13" s="52" t="n">
        <f aca="false">Sales_Transactions!K13</f>
        <v>26434.08</v>
      </c>
      <c r="Q13" s="42" t="n">
        <f aca="false">IF(ISNUMBER(MATCH(E13,Product_Master!$A$2:$A$9,0)),0,1)</f>
        <v>0</v>
      </c>
      <c r="R13" s="42" t="n">
        <f aca="false">IF(ISNUMBER(MATCH(D13,Customer_Master!$A$2:$A$49,0)),0,1)</f>
        <v>0</v>
      </c>
      <c r="S13" s="42" t="n">
        <f aca="false">IF(ISNUMBER(MATCH(B13,Calendar!$A$2:$A$25,0)),0,1)</f>
        <v>0</v>
      </c>
      <c r="T13" s="42" t="n">
        <f aca="false">IF(COUNTIF(Sales_Transactions!$A$2:$A$865,A13)&gt;1,1,0)</f>
        <v>0</v>
      </c>
      <c r="U13" s="42" t="n">
        <f aca="false">IF(OR(ABS(Sales_Transactions!F13*Sales_Transactions!G13-Sales_Transactions!I13)&gt;0.01,ABS(Sales_Transactions!F13*Sales_Transactions!H13-Sales_Transactions!J13)&gt;0.01,ABS(Sales_Transactions!I13-Sales_Transactions!J13-Sales_Transactions!K13)&gt;0.01),1,0)</f>
        <v>0</v>
      </c>
      <c r="V13" s="42" t="n">
        <f aca="false">IF(C13&lt;&gt;L13,1,0)</f>
        <v>0</v>
      </c>
      <c r="W13" s="42" t="n">
        <f aca="false">IF(SUM(Q13:V13)&gt;0,1,0)</f>
        <v>0</v>
      </c>
    </row>
    <row r="14" customFormat="false" ht="15" hidden="false" customHeight="false" outlineLevel="0" collapsed="false">
      <c r="A14" s="42" t="str">
        <f aca="false">Sales_Transactions!A14</f>
        <v>INV-01-013</v>
      </c>
      <c r="B14" s="42" t="str">
        <f aca="false">Sales_Transactions!B14</f>
        <v>2025-01</v>
      </c>
      <c r="C14" s="42" t="str">
        <f aca="false">Sales_Transactions!C14</f>
        <v>Actual</v>
      </c>
      <c r="D14" s="42" t="str">
        <f aca="false">Sales_Transactions!D14</f>
        <v>C037</v>
      </c>
      <c r="E14" s="42" t="str">
        <f aca="false">Sales_Transactions!E14</f>
        <v>P005</v>
      </c>
      <c r="F14" s="42" t="str">
        <f aca="false">IFERROR(INDEX(Customer_Master!$C$2:$C$49,MATCH(D14,Customer_Master!$A$2:$A$49,0)),"UNMATCHED")</f>
        <v>South</v>
      </c>
      <c r="G14" s="42" t="str">
        <f aca="false">IFERROR(INDEX(Customer_Master!$D$2:$D$49,MATCH(D14,Customer_Master!$A$2:$A$49,0)),"UNMATCHED")</f>
        <v>Distributor</v>
      </c>
      <c r="H14" s="42" t="str">
        <f aca="false">IFERROR(INDEX(Product_Master!$C$2:$C$9,MATCH(E14,Product_Master!$A$2:$A$9,0)),"UNMATCHED")</f>
        <v>Foods</v>
      </c>
      <c r="I14" s="42" t="str">
        <f aca="false">IFERROR(INDEX(Product_Master!$B$2:$B$9,MATCH(E14,Product_Master!$A$2:$A$9,0)),"UNMATCHED")</f>
        <v>Biscuits 500g</v>
      </c>
      <c r="J14" s="42" t="n">
        <f aca="false">IFERROR(INDEX(Calendar!$B$2:$B$25,MATCH(B14,Calendar!$A$2:$A$25,0)),0)</f>
        <v>2025</v>
      </c>
      <c r="K14" s="42" t="n">
        <f aca="false">IFERROR(VALUE(RIGHT(B14,2)),0)</f>
        <v>1</v>
      </c>
      <c r="L14" s="42" t="str">
        <f aca="false">IFERROR(INDEX(Calendar!$E$2:$E$25,MATCH(B14,Calendar!$A$2:$A$25,0)),"UNMATCHED")</f>
        <v>Actual</v>
      </c>
      <c r="M14" s="42" t="n">
        <f aca="false">Sales_Transactions!F14</f>
        <v>458</v>
      </c>
      <c r="N14" s="52" t="n">
        <f aca="false">Sales_Transactions!I14</f>
        <v>47847.26</v>
      </c>
      <c r="O14" s="52" t="n">
        <f aca="false">Sales_Transactions!J14</f>
        <v>29916.56</v>
      </c>
      <c r="P14" s="52" t="n">
        <f aca="false">Sales_Transactions!K14</f>
        <v>17930.7</v>
      </c>
      <c r="Q14" s="42" t="n">
        <f aca="false">IF(ISNUMBER(MATCH(E14,Product_Master!$A$2:$A$9,0)),0,1)</f>
        <v>0</v>
      </c>
      <c r="R14" s="42" t="n">
        <f aca="false">IF(ISNUMBER(MATCH(D14,Customer_Master!$A$2:$A$49,0)),0,1)</f>
        <v>0</v>
      </c>
      <c r="S14" s="42" t="n">
        <f aca="false">IF(ISNUMBER(MATCH(B14,Calendar!$A$2:$A$25,0)),0,1)</f>
        <v>0</v>
      </c>
      <c r="T14" s="42" t="n">
        <f aca="false">IF(COUNTIF(Sales_Transactions!$A$2:$A$865,A14)&gt;1,1,0)</f>
        <v>0</v>
      </c>
      <c r="U14" s="42" t="n">
        <f aca="false">IF(OR(ABS(Sales_Transactions!F14*Sales_Transactions!G14-Sales_Transactions!I14)&gt;0.01,ABS(Sales_Transactions!F14*Sales_Transactions!H14-Sales_Transactions!J14)&gt;0.01,ABS(Sales_Transactions!I14-Sales_Transactions!J14-Sales_Transactions!K14)&gt;0.01),1,0)</f>
        <v>0</v>
      </c>
      <c r="V14" s="42" t="n">
        <f aca="false">IF(C14&lt;&gt;L14,1,0)</f>
        <v>0</v>
      </c>
      <c r="W14" s="42" t="n">
        <f aca="false">IF(SUM(Q14:V14)&gt;0,1,0)</f>
        <v>0</v>
      </c>
    </row>
    <row r="15" customFormat="false" ht="15" hidden="false" customHeight="false" outlineLevel="0" collapsed="false">
      <c r="A15" s="42" t="str">
        <f aca="false">Sales_Transactions!A15</f>
        <v>INV-01-014</v>
      </c>
      <c r="B15" s="42" t="str">
        <f aca="false">Sales_Transactions!B15</f>
        <v>2025-01</v>
      </c>
      <c r="C15" s="42" t="str">
        <f aca="false">Sales_Transactions!C15</f>
        <v>Actual</v>
      </c>
      <c r="D15" s="42" t="str">
        <f aca="false">Sales_Transactions!D15</f>
        <v>C044</v>
      </c>
      <c r="E15" s="42" t="str">
        <f aca="false">Sales_Transactions!E15</f>
        <v>P002</v>
      </c>
      <c r="F15" s="42" t="str">
        <f aca="false">IFERROR(INDEX(Customer_Master!$C$2:$C$49,MATCH(D15,Customer_Master!$A$2:$A$49,0)),"UNMATCHED")</f>
        <v>East</v>
      </c>
      <c r="G15" s="42" t="str">
        <f aca="false">IFERROR(INDEX(Customer_Master!$D$2:$D$49,MATCH(D15,Customer_Master!$A$2:$A$49,0)),"UNMATCHED")</f>
        <v>Modern Trade</v>
      </c>
      <c r="H15" s="42" t="str">
        <f aca="false">IFERROR(INDEX(Product_Master!$C$2:$C$9,MATCH(E15,Product_Master!$A$2:$A$9,0)),"UNMATCHED")</f>
        <v>Home Care</v>
      </c>
      <c r="I15" s="42" t="str">
        <f aca="false">IFERROR(INDEX(Product_Master!$B$2:$B$9,MATCH(E15,Product_Master!$A$2:$A$9,0)),"UNMATCHED")</f>
        <v>Dishwash Gel</v>
      </c>
      <c r="J15" s="42" t="n">
        <f aca="false">IFERROR(INDEX(Calendar!$B$2:$B$25,MATCH(B15,Calendar!$A$2:$A$25,0)),0)</f>
        <v>2025</v>
      </c>
      <c r="K15" s="42" t="n">
        <f aca="false">IFERROR(VALUE(RIGHT(B15,2)),0)</f>
        <v>1</v>
      </c>
      <c r="L15" s="42" t="str">
        <f aca="false">IFERROR(INDEX(Calendar!$E$2:$E$25,MATCH(B15,Calendar!$A$2:$A$25,0)),"UNMATCHED")</f>
        <v>Actual</v>
      </c>
      <c r="M15" s="42" t="n">
        <f aca="false">Sales_Transactions!F15</f>
        <v>278</v>
      </c>
      <c r="N15" s="52" t="n">
        <f aca="false">Sales_Transactions!I15</f>
        <v>36290.12</v>
      </c>
      <c r="O15" s="52" t="n">
        <f aca="false">Sales_Transactions!J15</f>
        <v>22684.8</v>
      </c>
      <c r="P15" s="52" t="n">
        <f aca="false">Sales_Transactions!K15</f>
        <v>13605.32</v>
      </c>
      <c r="Q15" s="42" t="n">
        <f aca="false">IF(ISNUMBER(MATCH(E15,Product_Master!$A$2:$A$9,0)),0,1)</f>
        <v>0</v>
      </c>
      <c r="R15" s="42" t="n">
        <f aca="false">IF(ISNUMBER(MATCH(D15,Customer_Master!$A$2:$A$49,0)),0,1)</f>
        <v>0</v>
      </c>
      <c r="S15" s="42" t="n">
        <f aca="false">IF(ISNUMBER(MATCH(B15,Calendar!$A$2:$A$25,0)),0,1)</f>
        <v>0</v>
      </c>
      <c r="T15" s="42" t="n">
        <f aca="false">IF(COUNTIF(Sales_Transactions!$A$2:$A$865,A15)&gt;1,1,0)</f>
        <v>0</v>
      </c>
      <c r="U15" s="42" t="n">
        <f aca="false">IF(OR(ABS(Sales_Transactions!F15*Sales_Transactions!G15-Sales_Transactions!I15)&gt;0.01,ABS(Sales_Transactions!F15*Sales_Transactions!H15-Sales_Transactions!J15)&gt;0.01,ABS(Sales_Transactions!I15-Sales_Transactions!J15-Sales_Transactions!K15)&gt;0.01),1,0)</f>
        <v>0</v>
      </c>
      <c r="V15" s="42" t="n">
        <f aca="false">IF(C15&lt;&gt;L15,1,0)</f>
        <v>0</v>
      </c>
      <c r="W15" s="42" t="n">
        <f aca="false">IF(SUM(Q15:V15)&gt;0,1,0)</f>
        <v>0</v>
      </c>
    </row>
    <row r="16" customFormat="false" ht="15" hidden="false" customHeight="false" outlineLevel="0" collapsed="false">
      <c r="A16" s="42" t="str">
        <f aca="false">Sales_Transactions!A16</f>
        <v>INV-01-015</v>
      </c>
      <c r="B16" s="42" t="str">
        <f aca="false">Sales_Transactions!B16</f>
        <v>2025-01</v>
      </c>
      <c r="C16" s="42" t="str">
        <f aca="false">Sales_Transactions!C16</f>
        <v>Actual</v>
      </c>
      <c r="D16" s="42" t="str">
        <f aca="false">Sales_Transactions!D16</f>
        <v>C003</v>
      </c>
      <c r="E16" s="42" t="str">
        <f aca="false">Sales_Transactions!E16</f>
        <v>P007</v>
      </c>
      <c r="F16" s="42" t="str">
        <f aca="false">IFERROR(INDEX(Customer_Master!$C$2:$C$49,MATCH(D16,Customer_Master!$A$2:$A$49,0)),"UNMATCHED")</f>
        <v>West</v>
      </c>
      <c r="G16" s="42" t="str">
        <f aca="false">IFERROR(INDEX(Customer_Master!$D$2:$D$49,MATCH(D16,Customer_Master!$A$2:$A$49,0)),"UNMATCHED")</f>
        <v>Retail</v>
      </c>
      <c r="H16" s="42" t="str">
        <f aca="false">IFERROR(INDEX(Product_Master!$C$2:$C$9,MATCH(E16,Product_Master!$A$2:$A$9,0)),"UNMATCHED")</f>
        <v>Home Care</v>
      </c>
      <c r="I16" s="42" t="str">
        <f aca="false">IFERROR(INDEX(Product_Master!$B$2:$B$9,MATCH(E16,Product_Master!$A$2:$A$9,0)),"UNMATCHED")</f>
        <v>Floor Cleaner</v>
      </c>
      <c r="J16" s="42" t="n">
        <f aca="false">IFERROR(INDEX(Calendar!$B$2:$B$25,MATCH(B16,Calendar!$A$2:$A$25,0)),0)</f>
        <v>2025</v>
      </c>
      <c r="K16" s="42" t="n">
        <f aca="false">IFERROR(VALUE(RIGHT(B16,2)),0)</f>
        <v>1</v>
      </c>
      <c r="L16" s="42" t="str">
        <f aca="false">IFERROR(INDEX(Calendar!$E$2:$E$25,MATCH(B16,Calendar!$A$2:$A$25,0)),"UNMATCHED")</f>
        <v>Actual</v>
      </c>
      <c r="M16" s="42" t="n">
        <f aca="false">Sales_Transactions!F16</f>
        <v>406</v>
      </c>
      <c r="N16" s="52" t="n">
        <f aca="false">Sales_Transactions!I16</f>
        <v>74858.28</v>
      </c>
      <c r="O16" s="52" t="n">
        <f aca="false">Sales_Transactions!J16</f>
        <v>48354.6</v>
      </c>
      <c r="P16" s="52" t="n">
        <f aca="false">Sales_Transactions!K16</f>
        <v>26503.68</v>
      </c>
      <c r="Q16" s="42" t="n">
        <f aca="false">IF(ISNUMBER(MATCH(E16,Product_Master!$A$2:$A$9,0)),0,1)</f>
        <v>0</v>
      </c>
      <c r="R16" s="42" t="n">
        <f aca="false">IF(ISNUMBER(MATCH(D16,Customer_Master!$A$2:$A$49,0)),0,1)</f>
        <v>0</v>
      </c>
      <c r="S16" s="42" t="n">
        <f aca="false">IF(ISNUMBER(MATCH(B16,Calendar!$A$2:$A$25,0)),0,1)</f>
        <v>0</v>
      </c>
      <c r="T16" s="42" t="n">
        <f aca="false">IF(COUNTIF(Sales_Transactions!$A$2:$A$865,A16)&gt;1,1,0)</f>
        <v>0</v>
      </c>
      <c r="U16" s="42" t="n">
        <f aca="false">IF(OR(ABS(Sales_Transactions!F16*Sales_Transactions!G16-Sales_Transactions!I16)&gt;0.01,ABS(Sales_Transactions!F16*Sales_Transactions!H16-Sales_Transactions!J16)&gt;0.01,ABS(Sales_Transactions!I16-Sales_Transactions!J16-Sales_Transactions!K16)&gt;0.01),1,0)</f>
        <v>0</v>
      </c>
      <c r="V16" s="42" t="n">
        <f aca="false">IF(C16&lt;&gt;L16,1,0)</f>
        <v>0</v>
      </c>
      <c r="W16" s="42" t="n">
        <f aca="false">IF(SUM(Q16:V16)&gt;0,1,0)</f>
        <v>0</v>
      </c>
    </row>
    <row r="17" customFormat="false" ht="15" hidden="false" customHeight="false" outlineLevel="0" collapsed="false">
      <c r="A17" s="42" t="str">
        <f aca="false">Sales_Transactions!A17</f>
        <v>INV-01-016</v>
      </c>
      <c r="B17" s="42" t="str">
        <f aca="false">Sales_Transactions!B17</f>
        <v>2025-01</v>
      </c>
      <c r="C17" s="42" t="str">
        <f aca="false">Sales_Transactions!C17</f>
        <v>Actual</v>
      </c>
      <c r="D17" s="42" t="str">
        <f aca="false">Sales_Transactions!D17</f>
        <v>C010</v>
      </c>
      <c r="E17" s="42" t="str">
        <f aca="false">Sales_Transactions!E17</f>
        <v>P004</v>
      </c>
      <c r="F17" s="42" t="str">
        <f aca="false">IFERROR(INDEX(Customer_Master!$C$2:$C$49,MATCH(D17,Customer_Master!$A$2:$A$49,0)),"UNMATCHED")</f>
        <v>North</v>
      </c>
      <c r="G17" s="42" t="str">
        <f aca="false">IFERROR(INDEX(Customer_Master!$D$2:$D$49,MATCH(D17,Customer_Master!$A$2:$A$49,0)),"UNMATCHED")</f>
        <v>Distributor</v>
      </c>
      <c r="H17" s="42" t="str">
        <f aca="false">IFERROR(INDEX(Product_Master!$C$2:$C$9,MATCH(E17,Product_Master!$A$2:$A$9,0)),"UNMATCHED")</f>
        <v>Personal Care</v>
      </c>
      <c r="I17" s="42" t="str">
        <f aca="false">IFERROR(INDEX(Product_Master!$B$2:$B$9,MATCH(E17,Product_Master!$A$2:$A$9,0)),"UNMATCHED")</f>
        <v>Soap 4-pack</v>
      </c>
      <c r="J17" s="42" t="n">
        <f aca="false">IFERROR(INDEX(Calendar!$B$2:$B$25,MATCH(B17,Calendar!$A$2:$A$25,0)),0)</f>
        <v>2025</v>
      </c>
      <c r="K17" s="42" t="n">
        <f aca="false">IFERROR(VALUE(RIGHT(B17,2)),0)</f>
        <v>1</v>
      </c>
      <c r="L17" s="42" t="str">
        <f aca="false">IFERROR(INDEX(Calendar!$E$2:$E$25,MATCH(B17,Calendar!$A$2:$A$25,0)),"UNMATCHED")</f>
        <v>Actual</v>
      </c>
      <c r="M17" s="42" t="n">
        <f aca="false">Sales_Transactions!F17</f>
        <v>380</v>
      </c>
      <c r="N17" s="52" t="n">
        <f aca="false">Sales_Transactions!I17</f>
        <v>60845.6</v>
      </c>
      <c r="O17" s="52" t="n">
        <f aca="false">Sales_Transactions!J17</f>
        <v>35324.8</v>
      </c>
      <c r="P17" s="52" t="n">
        <f aca="false">Sales_Transactions!K17</f>
        <v>25520.8</v>
      </c>
      <c r="Q17" s="42" t="n">
        <f aca="false">IF(ISNUMBER(MATCH(E17,Product_Master!$A$2:$A$9,0)),0,1)</f>
        <v>0</v>
      </c>
      <c r="R17" s="42" t="n">
        <f aca="false">IF(ISNUMBER(MATCH(D17,Customer_Master!$A$2:$A$49,0)),0,1)</f>
        <v>0</v>
      </c>
      <c r="S17" s="42" t="n">
        <f aca="false">IF(ISNUMBER(MATCH(B17,Calendar!$A$2:$A$25,0)),0,1)</f>
        <v>0</v>
      </c>
      <c r="T17" s="42" t="n">
        <f aca="false">IF(COUNTIF(Sales_Transactions!$A$2:$A$865,A17)&gt;1,1,0)</f>
        <v>0</v>
      </c>
      <c r="U17" s="42" t="n">
        <f aca="false">IF(OR(ABS(Sales_Transactions!F17*Sales_Transactions!G17-Sales_Transactions!I17)&gt;0.01,ABS(Sales_Transactions!F17*Sales_Transactions!H17-Sales_Transactions!J17)&gt;0.01,ABS(Sales_Transactions!I17-Sales_Transactions!J17-Sales_Transactions!K17)&gt;0.01),1,0)</f>
        <v>0</v>
      </c>
      <c r="V17" s="42" t="n">
        <f aca="false">IF(C17&lt;&gt;L17,1,0)</f>
        <v>0</v>
      </c>
      <c r="W17" s="42" t="n">
        <f aca="false">IF(SUM(Q17:V17)&gt;0,1,0)</f>
        <v>0</v>
      </c>
    </row>
    <row r="18" customFormat="false" ht="15" hidden="false" customHeight="false" outlineLevel="0" collapsed="false">
      <c r="A18" s="42" t="str">
        <f aca="false">Sales_Transactions!A18</f>
        <v>INV-01-017</v>
      </c>
      <c r="B18" s="42" t="str">
        <f aca="false">Sales_Transactions!B18</f>
        <v>2025-01</v>
      </c>
      <c r="C18" s="42" t="str">
        <f aca="false">Sales_Transactions!C18</f>
        <v>Actual</v>
      </c>
      <c r="D18" s="42" t="str">
        <f aca="false">Sales_Transactions!D18</f>
        <v>C017</v>
      </c>
      <c r="E18" s="42" t="str">
        <f aca="false">Sales_Transactions!E18</f>
        <v>P001</v>
      </c>
      <c r="F18" s="42" t="str">
        <f aca="false">IFERROR(INDEX(Customer_Master!$C$2:$C$49,MATCH(D18,Customer_Master!$A$2:$A$49,0)),"UNMATCHED")</f>
        <v>South</v>
      </c>
      <c r="G18" s="42" t="str">
        <f aca="false">IFERROR(INDEX(Customer_Master!$D$2:$D$49,MATCH(D18,Customer_Master!$A$2:$A$49,0)),"UNMATCHED")</f>
        <v>Modern Trade</v>
      </c>
      <c r="H18" s="42" t="str">
        <f aca="false">IFERROR(INDEX(Product_Master!$C$2:$C$9,MATCH(E18,Product_Master!$A$2:$A$9,0)),"UNMATCHED")</f>
        <v>Home Care</v>
      </c>
      <c r="I18" s="42" t="str">
        <f aca="false">IFERROR(INDEX(Product_Master!$B$2:$B$9,MATCH(E18,Product_Master!$A$2:$A$9,0)),"UNMATCHED")</f>
        <v>Detergent 1kg</v>
      </c>
      <c r="J18" s="42" t="n">
        <f aca="false">IFERROR(INDEX(Calendar!$B$2:$B$25,MATCH(B18,Calendar!$A$2:$A$25,0)),0)</f>
        <v>2025</v>
      </c>
      <c r="K18" s="42" t="n">
        <f aca="false">IFERROR(VALUE(RIGHT(B18,2)),0)</f>
        <v>1</v>
      </c>
      <c r="L18" s="42" t="str">
        <f aca="false">IFERROR(INDEX(Calendar!$E$2:$E$25,MATCH(B18,Calendar!$A$2:$A$25,0)),"UNMATCHED")</f>
        <v>Actual</v>
      </c>
      <c r="M18" s="42" t="n">
        <f aca="false">Sales_Transactions!F18</f>
        <v>423</v>
      </c>
      <c r="N18" s="52" t="n">
        <f aca="false">Sales_Transactions!I18</f>
        <v>81689.76</v>
      </c>
      <c r="O18" s="52" t="n">
        <f aca="false">Sales_Transactions!J18</f>
        <v>55539.9</v>
      </c>
      <c r="P18" s="52" t="n">
        <f aca="false">Sales_Transactions!K18</f>
        <v>26149.86</v>
      </c>
      <c r="Q18" s="42" t="n">
        <f aca="false">IF(ISNUMBER(MATCH(E18,Product_Master!$A$2:$A$9,0)),0,1)</f>
        <v>0</v>
      </c>
      <c r="R18" s="42" t="n">
        <f aca="false">IF(ISNUMBER(MATCH(D18,Customer_Master!$A$2:$A$49,0)),0,1)</f>
        <v>0</v>
      </c>
      <c r="S18" s="42" t="n">
        <f aca="false">IF(ISNUMBER(MATCH(B18,Calendar!$A$2:$A$25,0)),0,1)</f>
        <v>0</v>
      </c>
      <c r="T18" s="42" t="n">
        <f aca="false">IF(COUNTIF(Sales_Transactions!$A$2:$A$865,A18)&gt;1,1,0)</f>
        <v>0</v>
      </c>
      <c r="U18" s="42" t="n">
        <f aca="false">IF(OR(ABS(Sales_Transactions!F18*Sales_Transactions!G18-Sales_Transactions!I18)&gt;0.01,ABS(Sales_Transactions!F18*Sales_Transactions!H18-Sales_Transactions!J18)&gt;0.01,ABS(Sales_Transactions!I18-Sales_Transactions!J18-Sales_Transactions!K18)&gt;0.01),1,0)</f>
        <v>0</v>
      </c>
      <c r="V18" s="42" t="n">
        <f aca="false">IF(C18&lt;&gt;L18,1,0)</f>
        <v>0</v>
      </c>
      <c r="W18" s="42" t="n">
        <f aca="false">IF(SUM(Q18:V18)&gt;0,1,0)</f>
        <v>0</v>
      </c>
    </row>
    <row r="19" customFormat="false" ht="15" hidden="false" customHeight="false" outlineLevel="0" collapsed="false">
      <c r="A19" s="42" t="str">
        <f aca="false">Sales_Transactions!A19</f>
        <v>INV-01-018</v>
      </c>
      <c r="B19" s="42" t="str">
        <f aca="false">Sales_Transactions!B19</f>
        <v>2025-01</v>
      </c>
      <c r="C19" s="42" t="str">
        <f aca="false">Sales_Transactions!C19</f>
        <v>Actual</v>
      </c>
      <c r="D19" s="42" t="str">
        <f aca="false">Sales_Transactions!D19</f>
        <v>C024</v>
      </c>
      <c r="E19" s="42" t="str">
        <f aca="false">Sales_Transactions!E19</f>
        <v>P006</v>
      </c>
      <c r="F19" s="42" t="str">
        <f aca="false">IFERROR(INDEX(Customer_Master!$C$2:$C$49,MATCH(D19,Customer_Master!$A$2:$A$49,0)),"UNMATCHED")</f>
        <v>East</v>
      </c>
      <c r="G19" s="42" t="str">
        <f aca="false">IFERROR(INDEX(Customer_Master!$D$2:$D$49,MATCH(D19,Customer_Master!$A$2:$A$49,0)),"UNMATCHED")</f>
        <v>Retail</v>
      </c>
      <c r="H19" s="42" t="str">
        <f aca="false">IFERROR(INDEX(Product_Master!$C$2:$C$9,MATCH(E19,Product_Master!$A$2:$A$9,0)),"UNMATCHED")</f>
        <v>Foods</v>
      </c>
      <c r="I19" s="42" t="str">
        <f aca="false">IFERROR(INDEX(Product_Master!$B$2:$B$9,MATCH(E19,Product_Master!$A$2:$A$9,0)),"UNMATCHED")</f>
        <v>Breakfast Cereal</v>
      </c>
      <c r="J19" s="42" t="n">
        <f aca="false">IFERROR(INDEX(Calendar!$B$2:$B$25,MATCH(B19,Calendar!$A$2:$A$25,0)),0)</f>
        <v>2025</v>
      </c>
      <c r="K19" s="42" t="n">
        <f aca="false">IFERROR(VALUE(RIGHT(B19,2)),0)</f>
        <v>1</v>
      </c>
      <c r="L19" s="42" t="str">
        <f aca="false">IFERROR(INDEX(Calendar!$E$2:$E$25,MATCH(B19,Calendar!$A$2:$A$25,0)),"UNMATCHED")</f>
        <v>Actual</v>
      </c>
      <c r="M19" s="42" t="n">
        <f aca="false">Sales_Transactions!F19</f>
        <v>125</v>
      </c>
      <c r="N19" s="52" t="n">
        <f aca="false">Sales_Transactions!I19</f>
        <v>31912.5</v>
      </c>
      <c r="O19" s="52" t="n">
        <f aca="false">Sales_Transactions!J19</f>
        <v>20747.5</v>
      </c>
      <c r="P19" s="52" t="n">
        <f aca="false">Sales_Transactions!K19</f>
        <v>11165</v>
      </c>
      <c r="Q19" s="42" t="n">
        <f aca="false">IF(ISNUMBER(MATCH(E19,Product_Master!$A$2:$A$9,0)),0,1)</f>
        <v>0</v>
      </c>
      <c r="R19" s="42" t="n">
        <f aca="false">IF(ISNUMBER(MATCH(D19,Customer_Master!$A$2:$A$49,0)),0,1)</f>
        <v>0</v>
      </c>
      <c r="S19" s="42" t="n">
        <f aca="false">IF(ISNUMBER(MATCH(B19,Calendar!$A$2:$A$25,0)),0,1)</f>
        <v>0</v>
      </c>
      <c r="T19" s="42" t="n">
        <f aca="false">IF(COUNTIF(Sales_Transactions!$A$2:$A$865,A19)&gt;1,1,0)</f>
        <v>0</v>
      </c>
      <c r="U19" s="42" t="n">
        <f aca="false">IF(OR(ABS(Sales_Transactions!F19*Sales_Transactions!G19-Sales_Transactions!I19)&gt;0.01,ABS(Sales_Transactions!F19*Sales_Transactions!H19-Sales_Transactions!J19)&gt;0.01,ABS(Sales_Transactions!I19-Sales_Transactions!J19-Sales_Transactions!K19)&gt;0.01),1,0)</f>
        <v>0</v>
      </c>
      <c r="V19" s="42" t="n">
        <f aca="false">IF(C19&lt;&gt;L19,1,0)</f>
        <v>0</v>
      </c>
      <c r="W19" s="42" t="n">
        <f aca="false">IF(SUM(Q19:V19)&gt;0,1,0)</f>
        <v>0</v>
      </c>
    </row>
    <row r="20" customFormat="false" ht="15" hidden="false" customHeight="false" outlineLevel="0" collapsed="false">
      <c r="A20" s="42" t="str">
        <f aca="false">Sales_Transactions!A20</f>
        <v>INV-01-019</v>
      </c>
      <c r="B20" s="42" t="str">
        <f aca="false">Sales_Transactions!B20</f>
        <v>2025-01</v>
      </c>
      <c r="C20" s="42" t="str">
        <f aca="false">Sales_Transactions!C20</f>
        <v>Actual</v>
      </c>
      <c r="D20" s="42" t="str">
        <f aca="false">Sales_Transactions!D20</f>
        <v>C031</v>
      </c>
      <c r="E20" s="42" t="str">
        <f aca="false">Sales_Transactions!E20</f>
        <v>P003</v>
      </c>
      <c r="F20" s="42" t="str">
        <f aca="false">IFERROR(INDEX(Customer_Master!$C$2:$C$49,MATCH(D20,Customer_Master!$A$2:$A$49,0)),"UNMATCHED")</f>
        <v>West</v>
      </c>
      <c r="G20" s="42" t="str">
        <f aca="false">IFERROR(INDEX(Customer_Master!$D$2:$D$49,MATCH(D20,Customer_Master!$A$2:$A$49,0)),"UNMATCHED")</f>
        <v>Distributor</v>
      </c>
      <c r="H20" s="42" t="str">
        <f aca="false">IFERROR(INDEX(Product_Master!$C$2:$C$9,MATCH(E20,Product_Master!$A$2:$A$9,0)),"UNMATCHED")</f>
        <v>Personal Care</v>
      </c>
      <c r="I20" s="42" t="str">
        <f aca="false">IFERROR(INDEX(Product_Master!$B$2:$B$9,MATCH(E20,Product_Master!$A$2:$A$9,0)),"UNMATCHED")</f>
        <v>Shampoo 400ml</v>
      </c>
      <c r="J20" s="42" t="n">
        <f aca="false">IFERROR(INDEX(Calendar!$B$2:$B$25,MATCH(B20,Calendar!$A$2:$A$25,0)),0)</f>
        <v>2025</v>
      </c>
      <c r="K20" s="42" t="n">
        <f aca="false">IFERROR(VALUE(RIGHT(B20,2)),0)</f>
        <v>1</v>
      </c>
      <c r="L20" s="42" t="str">
        <f aca="false">IFERROR(INDEX(Calendar!$E$2:$E$25,MATCH(B20,Calendar!$A$2:$A$25,0)),"UNMATCHED")</f>
        <v>Actual</v>
      </c>
      <c r="M20" s="42" t="n">
        <f aca="false">Sales_Transactions!F20</f>
        <v>279</v>
      </c>
      <c r="N20" s="52" t="n">
        <f aca="false">Sales_Transactions!I20</f>
        <v>72350.28</v>
      </c>
      <c r="O20" s="52" t="n">
        <f aca="false">Sales_Transactions!J20</f>
        <v>49438.8</v>
      </c>
      <c r="P20" s="52" t="n">
        <f aca="false">Sales_Transactions!K20</f>
        <v>22911.48</v>
      </c>
      <c r="Q20" s="42" t="n">
        <f aca="false">IF(ISNUMBER(MATCH(E20,Product_Master!$A$2:$A$9,0)),0,1)</f>
        <v>0</v>
      </c>
      <c r="R20" s="42" t="n">
        <f aca="false">IF(ISNUMBER(MATCH(D20,Customer_Master!$A$2:$A$49,0)),0,1)</f>
        <v>0</v>
      </c>
      <c r="S20" s="42" t="n">
        <f aca="false">IF(ISNUMBER(MATCH(B20,Calendar!$A$2:$A$25,0)),0,1)</f>
        <v>0</v>
      </c>
      <c r="T20" s="42" t="n">
        <f aca="false">IF(COUNTIF(Sales_Transactions!$A$2:$A$865,A20)&gt;1,1,0)</f>
        <v>0</v>
      </c>
      <c r="U20" s="42" t="n">
        <f aca="false">IF(OR(ABS(Sales_Transactions!F20*Sales_Transactions!G20-Sales_Transactions!I20)&gt;0.01,ABS(Sales_Transactions!F20*Sales_Transactions!H20-Sales_Transactions!J20)&gt;0.01,ABS(Sales_Transactions!I20-Sales_Transactions!J20-Sales_Transactions!K20)&gt;0.01),1,0)</f>
        <v>0</v>
      </c>
      <c r="V20" s="42" t="n">
        <f aca="false">IF(C20&lt;&gt;L20,1,0)</f>
        <v>0</v>
      </c>
      <c r="W20" s="42" t="n">
        <f aca="false">IF(SUM(Q20:V20)&gt;0,1,0)</f>
        <v>0</v>
      </c>
    </row>
    <row r="21" customFormat="false" ht="15" hidden="false" customHeight="false" outlineLevel="0" collapsed="false">
      <c r="A21" s="42" t="str">
        <f aca="false">Sales_Transactions!A21</f>
        <v>INV-01-020</v>
      </c>
      <c r="B21" s="42" t="str">
        <f aca="false">Sales_Transactions!B21</f>
        <v>2025-01</v>
      </c>
      <c r="C21" s="42" t="str">
        <f aca="false">Sales_Transactions!C21</f>
        <v>Actual</v>
      </c>
      <c r="D21" s="42" t="str">
        <f aca="false">Sales_Transactions!D21</f>
        <v>C038</v>
      </c>
      <c r="E21" s="42" t="str">
        <f aca="false">Sales_Transactions!E21</f>
        <v>P008</v>
      </c>
      <c r="F21" s="42" t="str">
        <f aca="false">IFERROR(INDEX(Customer_Master!$C$2:$C$49,MATCH(D21,Customer_Master!$A$2:$A$49,0)),"UNMATCHED")</f>
        <v>North</v>
      </c>
      <c r="G21" s="42" t="str">
        <f aca="false">IFERROR(INDEX(Customer_Master!$D$2:$D$49,MATCH(D21,Customer_Master!$A$2:$A$49,0)),"UNMATCHED")</f>
        <v>Modern Trade</v>
      </c>
      <c r="H21" s="42" t="str">
        <f aca="false">IFERROR(INDEX(Product_Master!$C$2:$C$9,MATCH(E21,Product_Master!$A$2:$A$9,0)),"UNMATCHED")</f>
        <v>Personal Care</v>
      </c>
      <c r="I21" s="42" t="str">
        <f aca="false">IFERROR(INDEX(Product_Master!$B$2:$B$9,MATCH(E21,Product_Master!$A$2:$A$9,0)),"UNMATCHED")</f>
        <v>Body Lotion</v>
      </c>
      <c r="J21" s="42" t="n">
        <f aca="false">IFERROR(INDEX(Calendar!$B$2:$B$25,MATCH(B21,Calendar!$A$2:$A$25,0)),0)</f>
        <v>2025</v>
      </c>
      <c r="K21" s="42" t="n">
        <f aca="false">IFERROR(VALUE(RIGHT(B21,2)),0)</f>
        <v>1</v>
      </c>
      <c r="L21" s="42" t="str">
        <f aca="false">IFERROR(INDEX(Calendar!$E$2:$E$25,MATCH(B21,Calendar!$A$2:$A$25,0)),"UNMATCHED")</f>
        <v>Actual</v>
      </c>
      <c r="M21" s="42" t="n">
        <f aca="false">Sales_Transactions!F21</f>
        <v>271</v>
      </c>
      <c r="N21" s="52" t="n">
        <f aca="false">Sales_Transactions!I21</f>
        <v>80248.52</v>
      </c>
      <c r="O21" s="52" t="n">
        <f aca="false">Sales_Transactions!J21</f>
        <v>54885.63</v>
      </c>
      <c r="P21" s="52" t="n">
        <f aca="false">Sales_Transactions!K21</f>
        <v>25362.89</v>
      </c>
      <c r="Q21" s="42" t="n">
        <f aca="false">IF(ISNUMBER(MATCH(E21,Product_Master!$A$2:$A$9,0)),0,1)</f>
        <v>0</v>
      </c>
      <c r="R21" s="42" t="n">
        <f aca="false">IF(ISNUMBER(MATCH(D21,Customer_Master!$A$2:$A$49,0)),0,1)</f>
        <v>0</v>
      </c>
      <c r="S21" s="42" t="n">
        <f aca="false">IF(ISNUMBER(MATCH(B21,Calendar!$A$2:$A$25,0)),0,1)</f>
        <v>0</v>
      </c>
      <c r="T21" s="42" t="n">
        <f aca="false">IF(COUNTIF(Sales_Transactions!$A$2:$A$865,A21)&gt;1,1,0)</f>
        <v>0</v>
      </c>
      <c r="U21" s="42" t="n">
        <f aca="false">IF(OR(ABS(Sales_Transactions!F21*Sales_Transactions!G21-Sales_Transactions!I21)&gt;0.01,ABS(Sales_Transactions!F21*Sales_Transactions!H21-Sales_Transactions!J21)&gt;0.01,ABS(Sales_Transactions!I21-Sales_Transactions!J21-Sales_Transactions!K21)&gt;0.01),1,0)</f>
        <v>0</v>
      </c>
      <c r="V21" s="42" t="n">
        <f aca="false">IF(C21&lt;&gt;L21,1,0)</f>
        <v>0</v>
      </c>
      <c r="W21" s="42" t="n">
        <f aca="false">IF(SUM(Q21:V21)&gt;0,1,0)</f>
        <v>0</v>
      </c>
    </row>
    <row r="22" customFormat="false" ht="15" hidden="false" customHeight="false" outlineLevel="0" collapsed="false">
      <c r="A22" s="42" t="str">
        <f aca="false">Sales_Transactions!A22</f>
        <v>INV-01-021</v>
      </c>
      <c r="B22" s="42" t="str">
        <f aca="false">Sales_Transactions!B22</f>
        <v>2025-01</v>
      </c>
      <c r="C22" s="42" t="str">
        <f aca="false">Sales_Transactions!C22</f>
        <v>Actual</v>
      </c>
      <c r="D22" s="42" t="str">
        <f aca="false">Sales_Transactions!D22</f>
        <v>C045</v>
      </c>
      <c r="E22" s="42" t="str">
        <f aca="false">Sales_Transactions!E22</f>
        <v>P005</v>
      </c>
      <c r="F22" s="42" t="str">
        <f aca="false">IFERROR(INDEX(Customer_Master!$C$2:$C$49,MATCH(D22,Customer_Master!$A$2:$A$49,0)),"UNMATCHED")</f>
        <v>South</v>
      </c>
      <c r="G22" s="42" t="str">
        <f aca="false">IFERROR(INDEX(Customer_Master!$D$2:$D$49,MATCH(D22,Customer_Master!$A$2:$A$49,0)),"UNMATCHED")</f>
        <v>Retail</v>
      </c>
      <c r="H22" s="42" t="str">
        <f aca="false">IFERROR(INDEX(Product_Master!$C$2:$C$9,MATCH(E22,Product_Master!$A$2:$A$9,0)),"UNMATCHED")</f>
        <v>Foods</v>
      </c>
      <c r="I22" s="42" t="str">
        <f aca="false">IFERROR(INDEX(Product_Master!$B$2:$B$9,MATCH(E22,Product_Master!$A$2:$A$9,0)),"UNMATCHED")</f>
        <v>Biscuits 500g</v>
      </c>
      <c r="J22" s="42" t="n">
        <f aca="false">IFERROR(INDEX(Calendar!$B$2:$B$25,MATCH(B22,Calendar!$A$2:$A$25,0)),0)</f>
        <v>2025</v>
      </c>
      <c r="K22" s="42" t="n">
        <f aca="false">IFERROR(VALUE(RIGHT(B22,2)),0)</f>
        <v>1</v>
      </c>
      <c r="L22" s="42" t="str">
        <f aca="false">IFERROR(INDEX(Calendar!$E$2:$E$25,MATCH(B22,Calendar!$A$2:$A$25,0)),"UNMATCHED")</f>
        <v>Actual</v>
      </c>
      <c r="M22" s="42" t="n">
        <f aca="false">Sales_Transactions!F22</f>
        <v>428</v>
      </c>
      <c r="N22" s="52" t="n">
        <f aca="false">Sales_Transactions!I22</f>
        <v>43536.16</v>
      </c>
      <c r="O22" s="52" t="n">
        <f aca="false">Sales_Transactions!J22</f>
        <v>30751.8</v>
      </c>
      <c r="P22" s="52" t="n">
        <f aca="false">Sales_Transactions!K22</f>
        <v>12784.36</v>
      </c>
      <c r="Q22" s="42" t="n">
        <f aca="false">IF(ISNUMBER(MATCH(E22,Product_Master!$A$2:$A$9,0)),0,1)</f>
        <v>0</v>
      </c>
      <c r="R22" s="42" t="n">
        <f aca="false">IF(ISNUMBER(MATCH(D22,Customer_Master!$A$2:$A$49,0)),0,1)</f>
        <v>0</v>
      </c>
      <c r="S22" s="42" t="n">
        <f aca="false">IF(ISNUMBER(MATCH(B22,Calendar!$A$2:$A$25,0)),0,1)</f>
        <v>0</v>
      </c>
      <c r="T22" s="42" t="n">
        <f aca="false">IF(COUNTIF(Sales_Transactions!$A$2:$A$865,A22)&gt;1,1,0)</f>
        <v>0</v>
      </c>
      <c r="U22" s="42" t="n">
        <f aca="false">IF(OR(ABS(Sales_Transactions!F22*Sales_Transactions!G22-Sales_Transactions!I22)&gt;0.01,ABS(Sales_Transactions!F22*Sales_Transactions!H22-Sales_Transactions!J22)&gt;0.01,ABS(Sales_Transactions!I22-Sales_Transactions!J22-Sales_Transactions!K22)&gt;0.01),1,0)</f>
        <v>0</v>
      </c>
      <c r="V22" s="42" t="n">
        <f aca="false">IF(C22&lt;&gt;L22,1,0)</f>
        <v>0</v>
      </c>
      <c r="W22" s="42" t="n">
        <f aca="false">IF(SUM(Q22:V22)&gt;0,1,0)</f>
        <v>0</v>
      </c>
    </row>
    <row r="23" customFormat="false" ht="15" hidden="false" customHeight="false" outlineLevel="0" collapsed="false">
      <c r="A23" s="42" t="str">
        <f aca="false">Sales_Transactions!A23</f>
        <v>INV-01-022</v>
      </c>
      <c r="B23" s="42" t="str">
        <f aca="false">Sales_Transactions!B23</f>
        <v>2025-01</v>
      </c>
      <c r="C23" s="42" t="str">
        <f aca="false">Sales_Transactions!C23</f>
        <v>Actual</v>
      </c>
      <c r="D23" s="42" t="str">
        <f aca="false">Sales_Transactions!D23</f>
        <v>C004</v>
      </c>
      <c r="E23" s="42" t="str">
        <f aca="false">Sales_Transactions!E23</f>
        <v>P002</v>
      </c>
      <c r="F23" s="42" t="str">
        <f aca="false">IFERROR(INDEX(Customer_Master!$C$2:$C$49,MATCH(D23,Customer_Master!$A$2:$A$49,0)),"UNMATCHED")</f>
        <v>East</v>
      </c>
      <c r="G23" s="42" t="str">
        <f aca="false">IFERROR(INDEX(Customer_Master!$D$2:$D$49,MATCH(D23,Customer_Master!$A$2:$A$49,0)),"UNMATCHED")</f>
        <v>Distributor</v>
      </c>
      <c r="H23" s="42" t="str">
        <f aca="false">IFERROR(INDEX(Product_Master!$C$2:$C$9,MATCH(E23,Product_Master!$A$2:$A$9,0)),"UNMATCHED")</f>
        <v>Home Care</v>
      </c>
      <c r="I23" s="42" t="str">
        <f aca="false">IFERROR(INDEX(Product_Master!$B$2:$B$9,MATCH(E23,Product_Master!$A$2:$A$9,0)),"UNMATCHED")</f>
        <v>Dishwash Gel</v>
      </c>
      <c r="J23" s="42" t="n">
        <f aca="false">IFERROR(INDEX(Calendar!$B$2:$B$25,MATCH(B23,Calendar!$A$2:$A$25,0)),0)</f>
        <v>2025</v>
      </c>
      <c r="K23" s="42" t="n">
        <f aca="false">IFERROR(VALUE(RIGHT(B23,2)),0)</f>
        <v>1</v>
      </c>
      <c r="L23" s="42" t="str">
        <f aca="false">IFERROR(INDEX(Calendar!$E$2:$E$25,MATCH(B23,Calendar!$A$2:$A$25,0)),"UNMATCHED")</f>
        <v>Actual</v>
      </c>
      <c r="M23" s="42" t="n">
        <f aca="false">Sales_Transactions!F23</f>
        <v>416</v>
      </c>
      <c r="N23" s="52" t="n">
        <f aca="false">Sales_Transactions!I23</f>
        <v>54246.4</v>
      </c>
      <c r="O23" s="52" t="n">
        <f aca="false">Sales_Transactions!J23</f>
        <v>35347.52</v>
      </c>
      <c r="P23" s="52" t="n">
        <f aca="false">Sales_Transactions!K23</f>
        <v>18898.88</v>
      </c>
      <c r="Q23" s="42" t="n">
        <f aca="false">IF(ISNUMBER(MATCH(E23,Product_Master!$A$2:$A$9,0)),0,1)</f>
        <v>0</v>
      </c>
      <c r="R23" s="42" t="n">
        <f aca="false">IF(ISNUMBER(MATCH(D23,Customer_Master!$A$2:$A$49,0)),0,1)</f>
        <v>0</v>
      </c>
      <c r="S23" s="42" t="n">
        <f aca="false">IF(ISNUMBER(MATCH(B23,Calendar!$A$2:$A$25,0)),0,1)</f>
        <v>0</v>
      </c>
      <c r="T23" s="42" t="n">
        <f aca="false">IF(COUNTIF(Sales_Transactions!$A$2:$A$865,A23)&gt;1,1,0)</f>
        <v>0</v>
      </c>
      <c r="U23" s="42" t="n">
        <f aca="false">IF(OR(ABS(Sales_Transactions!F23*Sales_Transactions!G23-Sales_Transactions!I23)&gt;0.01,ABS(Sales_Transactions!F23*Sales_Transactions!H23-Sales_Transactions!J23)&gt;0.01,ABS(Sales_Transactions!I23-Sales_Transactions!J23-Sales_Transactions!K23)&gt;0.01),1,0)</f>
        <v>0</v>
      </c>
      <c r="V23" s="42" t="n">
        <f aca="false">IF(C23&lt;&gt;L23,1,0)</f>
        <v>0</v>
      </c>
      <c r="W23" s="42" t="n">
        <f aca="false">IF(SUM(Q23:V23)&gt;0,1,0)</f>
        <v>0</v>
      </c>
    </row>
    <row r="24" customFormat="false" ht="15" hidden="false" customHeight="false" outlineLevel="0" collapsed="false">
      <c r="A24" s="42" t="str">
        <f aca="false">Sales_Transactions!A24</f>
        <v>INV-01-023</v>
      </c>
      <c r="B24" s="42" t="str">
        <f aca="false">Sales_Transactions!B24</f>
        <v>2025-01</v>
      </c>
      <c r="C24" s="42" t="str">
        <f aca="false">Sales_Transactions!C24</f>
        <v>Actual</v>
      </c>
      <c r="D24" s="42" t="str">
        <f aca="false">Sales_Transactions!D24</f>
        <v>C011</v>
      </c>
      <c r="E24" s="42" t="str">
        <f aca="false">Sales_Transactions!E24</f>
        <v>P007</v>
      </c>
      <c r="F24" s="42" t="str">
        <f aca="false">IFERROR(INDEX(Customer_Master!$C$2:$C$49,MATCH(D24,Customer_Master!$A$2:$A$49,0)),"UNMATCHED")</f>
        <v>West</v>
      </c>
      <c r="G24" s="42" t="str">
        <f aca="false">IFERROR(INDEX(Customer_Master!$D$2:$D$49,MATCH(D24,Customer_Master!$A$2:$A$49,0)),"UNMATCHED")</f>
        <v>Modern Trade</v>
      </c>
      <c r="H24" s="42" t="str">
        <f aca="false">IFERROR(INDEX(Product_Master!$C$2:$C$9,MATCH(E24,Product_Master!$A$2:$A$9,0)),"UNMATCHED")</f>
        <v>Home Care</v>
      </c>
      <c r="I24" s="42" t="str">
        <f aca="false">IFERROR(INDEX(Product_Master!$B$2:$B$9,MATCH(E24,Product_Master!$A$2:$A$9,0)),"UNMATCHED")</f>
        <v>Floor Cleaner</v>
      </c>
      <c r="J24" s="42" t="n">
        <f aca="false">IFERROR(INDEX(Calendar!$B$2:$B$25,MATCH(B24,Calendar!$A$2:$A$25,0)),0)</f>
        <v>2025</v>
      </c>
      <c r="K24" s="42" t="n">
        <f aca="false">IFERROR(VALUE(RIGHT(B24,2)),0)</f>
        <v>1</v>
      </c>
      <c r="L24" s="42" t="str">
        <f aca="false">IFERROR(INDEX(Calendar!$E$2:$E$25,MATCH(B24,Calendar!$A$2:$A$25,0)),"UNMATCHED")</f>
        <v>Actual</v>
      </c>
      <c r="M24" s="42" t="n">
        <f aca="false">Sales_Transactions!F24</f>
        <v>358</v>
      </c>
      <c r="N24" s="52" t="n">
        <f aca="false">Sales_Transactions!I24</f>
        <v>66985.38</v>
      </c>
      <c r="O24" s="52" t="n">
        <f aca="false">Sales_Transactions!J24</f>
        <v>39279.76</v>
      </c>
      <c r="P24" s="52" t="n">
        <f aca="false">Sales_Transactions!K24</f>
        <v>27705.62</v>
      </c>
      <c r="Q24" s="42" t="n">
        <f aca="false">IF(ISNUMBER(MATCH(E24,Product_Master!$A$2:$A$9,0)),0,1)</f>
        <v>0</v>
      </c>
      <c r="R24" s="42" t="n">
        <f aca="false">IF(ISNUMBER(MATCH(D24,Customer_Master!$A$2:$A$49,0)),0,1)</f>
        <v>0</v>
      </c>
      <c r="S24" s="42" t="n">
        <f aca="false">IF(ISNUMBER(MATCH(B24,Calendar!$A$2:$A$25,0)),0,1)</f>
        <v>0</v>
      </c>
      <c r="T24" s="42" t="n">
        <f aca="false">IF(COUNTIF(Sales_Transactions!$A$2:$A$865,A24)&gt;1,1,0)</f>
        <v>0</v>
      </c>
      <c r="U24" s="42" t="n">
        <f aca="false">IF(OR(ABS(Sales_Transactions!F24*Sales_Transactions!G24-Sales_Transactions!I24)&gt;0.01,ABS(Sales_Transactions!F24*Sales_Transactions!H24-Sales_Transactions!J24)&gt;0.01,ABS(Sales_Transactions!I24-Sales_Transactions!J24-Sales_Transactions!K24)&gt;0.01),1,0)</f>
        <v>0</v>
      </c>
      <c r="V24" s="42" t="n">
        <f aca="false">IF(C24&lt;&gt;L24,1,0)</f>
        <v>0</v>
      </c>
      <c r="W24" s="42" t="n">
        <f aca="false">IF(SUM(Q24:V24)&gt;0,1,0)</f>
        <v>0</v>
      </c>
    </row>
    <row r="25" customFormat="false" ht="15" hidden="false" customHeight="false" outlineLevel="0" collapsed="false">
      <c r="A25" s="42" t="str">
        <f aca="false">Sales_Transactions!A25</f>
        <v>INV-01-024</v>
      </c>
      <c r="B25" s="42" t="str">
        <f aca="false">Sales_Transactions!B25</f>
        <v>2025-01</v>
      </c>
      <c r="C25" s="42" t="str">
        <f aca="false">Sales_Transactions!C25</f>
        <v>Actual</v>
      </c>
      <c r="D25" s="42" t="str">
        <f aca="false">Sales_Transactions!D25</f>
        <v>C018</v>
      </c>
      <c r="E25" s="42" t="str">
        <f aca="false">Sales_Transactions!E25</f>
        <v>P004</v>
      </c>
      <c r="F25" s="42" t="str">
        <f aca="false">IFERROR(INDEX(Customer_Master!$C$2:$C$49,MATCH(D25,Customer_Master!$A$2:$A$49,0)),"UNMATCHED")</f>
        <v>North</v>
      </c>
      <c r="G25" s="42" t="str">
        <f aca="false">IFERROR(INDEX(Customer_Master!$D$2:$D$49,MATCH(D25,Customer_Master!$A$2:$A$49,0)),"UNMATCHED")</f>
        <v>Retail</v>
      </c>
      <c r="H25" s="42" t="str">
        <f aca="false">IFERROR(INDEX(Product_Master!$C$2:$C$9,MATCH(E25,Product_Master!$A$2:$A$9,0)),"UNMATCHED")</f>
        <v>Personal Care</v>
      </c>
      <c r="I25" s="42" t="str">
        <f aca="false">IFERROR(INDEX(Product_Master!$B$2:$B$9,MATCH(E25,Product_Master!$A$2:$A$9,0)),"UNMATCHED")</f>
        <v>Soap 4-pack</v>
      </c>
      <c r="J25" s="42" t="n">
        <f aca="false">IFERROR(INDEX(Calendar!$B$2:$B$25,MATCH(B25,Calendar!$A$2:$A$25,0)),0)</f>
        <v>2025</v>
      </c>
      <c r="K25" s="42" t="n">
        <f aca="false">IFERROR(VALUE(RIGHT(B25,2)),0)</f>
        <v>1</v>
      </c>
      <c r="L25" s="42" t="str">
        <f aca="false">IFERROR(INDEX(Calendar!$E$2:$E$25,MATCH(B25,Calendar!$A$2:$A$25,0)),"UNMATCHED")</f>
        <v>Actual</v>
      </c>
      <c r="M25" s="42" t="n">
        <f aca="false">Sales_Transactions!F25</f>
        <v>279</v>
      </c>
      <c r="N25" s="52" t="n">
        <f aca="false">Sales_Transactions!I25</f>
        <v>45167.31</v>
      </c>
      <c r="O25" s="52" t="n">
        <f aca="false">Sales_Transactions!J25</f>
        <v>28686.78</v>
      </c>
      <c r="P25" s="52" t="n">
        <f aca="false">Sales_Transactions!K25</f>
        <v>16480.53</v>
      </c>
      <c r="Q25" s="42" t="n">
        <f aca="false">IF(ISNUMBER(MATCH(E25,Product_Master!$A$2:$A$9,0)),0,1)</f>
        <v>0</v>
      </c>
      <c r="R25" s="42" t="n">
        <f aca="false">IF(ISNUMBER(MATCH(D25,Customer_Master!$A$2:$A$49,0)),0,1)</f>
        <v>0</v>
      </c>
      <c r="S25" s="42" t="n">
        <f aca="false">IF(ISNUMBER(MATCH(B25,Calendar!$A$2:$A$25,0)),0,1)</f>
        <v>0</v>
      </c>
      <c r="T25" s="42" t="n">
        <f aca="false">IF(COUNTIF(Sales_Transactions!$A$2:$A$865,A25)&gt;1,1,0)</f>
        <v>0</v>
      </c>
      <c r="U25" s="42" t="n">
        <f aca="false">IF(OR(ABS(Sales_Transactions!F25*Sales_Transactions!G25-Sales_Transactions!I25)&gt;0.01,ABS(Sales_Transactions!F25*Sales_Transactions!H25-Sales_Transactions!J25)&gt;0.01,ABS(Sales_Transactions!I25-Sales_Transactions!J25-Sales_Transactions!K25)&gt;0.01),1,0)</f>
        <v>0</v>
      </c>
      <c r="V25" s="42" t="n">
        <f aca="false">IF(C25&lt;&gt;L25,1,0)</f>
        <v>0</v>
      </c>
      <c r="W25" s="42" t="n">
        <f aca="false">IF(SUM(Q25:V25)&gt;0,1,0)</f>
        <v>0</v>
      </c>
    </row>
    <row r="26" customFormat="false" ht="15" hidden="false" customHeight="false" outlineLevel="0" collapsed="false">
      <c r="A26" s="42" t="str">
        <f aca="false">Sales_Transactions!A26</f>
        <v>INV-01-025</v>
      </c>
      <c r="B26" s="42" t="str">
        <f aca="false">Sales_Transactions!B26</f>
        <v>2025-01</v>
      </c>
      <c r="C26" s="42" t="str">
        <f aca="false">Sales_Transactions!C26</f>
        <v>Actual</v>
      </c>
      <c r="D26" s="42" t="str">
        <f aca="false">Sales_Transactions!D26</f>
        <v>C025</v>
      </c>
      <c r="E26" s="42" t="str">
        <f aca="false">Sales_Transactions!E26</f>
        <v>P001</v>
      </c>
      <c r="F26" s="42" t="str">
        <f aca="false">IFERROR(INDEX(Customer_Master!$C$2:$C$49,MATCH(D26,Customer_Master!$A$2:$A$49,0)),"UNMATCHED")</f>
        <v>South</v>
      </c>
      <c r="G26" s="42" t="str">
        <f aca="false">IFERROR(INDEX(Customer_Master!$D$2:$D$49,MATCH(D26,Customer_Master!$A$2:$A$49,0)),"UNMATCHED")</f>
        <v>Distributor</v>
      </c>
      <c r="H26" s="42" t="str">
        <f aca="false">IFERROR(INDEX(Product_Master!$C$2:$C$9,MATCH(E26,Product_Master!$A$2:$A$9,0)),"UNMATCHED")</f>
        <v>Home Care</v>
      </c>
      <c r="I26" s="42" t="str">
        <f aca="false">IFERROR(INDEX(Product_Master!$B$2:$B$9,MATCH(E26,Product_Master!$A$2:$A$9,0)),"UNMATCHED")</f>
        <v>Detergent 1kg</v>
      </c>
      <c r="J26" s="42" t="n">
        <f aca="false">IFERROR(INDEX(Calendar!$B$2:$B$25,MATCH(B26,Calendar!$A$2:$A$25,0)),0)</f>
        <v>2025</v>
      </c>
      <c r="K26" s="42" t="n">
        <f aca="false">IFERROR(VALUE(RIGHT(B26,2)),0)</f>
        <v>1</v>
      </c>
      <c r="L26" s="42" t="str">
        <f aca="false">IFERROR(INDEX(Calendar!$E$2:$E$25,MATCH(B26,Calendar!$A$2:$A$25,0)),"UNMATCHED")</f>
        <v>Actual</v>
      </c>
      <c r="M26" s="42" t="n">
        <f aca="false">Sales_Transactions!F26</f>
        <v>437</v>
      </c>
      <c r="N26" s="52" t="n">
        <f aca="false">Sales_Transactions!I26</f>
        <v>88317.7</v>
      </c>
      <c r="O26" s="52" t="n">
        <f aca="false">Sales_Transactions!J26</f>
        <v>60113.72</v>
      </c>
      <c r="P26" s="52" t="n">
        <f aca="false">Sales_Transactions!K26</f>
        <v>28203.98</v>
      </c>
      <c r="Q26" s="42" t="n">
        <f aca="false">IF(ISNUMBER(MATCH(E26,Product_Master!$A$2:$A$9,0)),0,1)</f>
        <v>0</v>
      </c>
      <c r="R26" s="42" t="n">
        <f aca="false">IF(ISNUMBER(MATCH(D26,Customer_Master!$A$2:$A$49,0)),0,1)</f>
        <v>0</v>
      </c>
      <c r="S26" s="42" t="n">
        <f aca="false">IF(ISNUMBER(MATCH(B26,Calendar!$A$2:$A$25,0)),0,1)</f>
        <v>0</v>
      </c>
      <c r="T26" s="42" t="n">
        <f aca="false">IF(COUNTIF(Sales_Transactions!$A$2:$A$865,A26)&gt;1,1,0)</f>
        <v>0</v>
      </c>
      <c r="U26" s="42" t="n">
        <f aca="false">IF(OR(ABS(Sales_Transactions!F26*Sales_Transactions!G26-Sales_Transactions!I26)&gt;0.01,ABS(Sales_Transactions!F26*Sales_Transactions!H26-Sales_Transactions!J26)&gt;0.01,ABS(Sales_Transactions!I26-Sales_Transactions!J26-Sales_Transactions!K26)&gt;0.01),1,0)</f>
        <v>0</v>
      </c>
      <c r="V26" s="42" t="n">
        <f aca="false">IF(C26&lt;&gt;L26,1,0)</f>
        <v>0</v>
      </c>
      <c r="W26" s="42" t="n">
        <f aca="false">IF(SUM(Q26:V26)&gt;0,1,0)</f>
        <v>0</v>
      </c>
    </row>
    <row r="27" customFormat="false" ht="15" hidden="false" customHeight="false" outlineLevel="0" collapsed="false">
      <c r="A27" s="42" t="str">
        <f aca="false">Sales_Transactions!A27</f>
        <v>INV-01-026</v>
      </c>
      <c r="B27" s="42" t="str">
        <f aca="false">Sales_Transactions!B27</f>
        <v>2025-01</v>
      </c>
      <c r="C27" s="42" t="str">
        <f aca="false">Sales_Transactions!C27</f>
        <v>Actual</v>
      </c>
      <c r="D27" s="42" t="str">
        <f aca="false">Sales_Transactions!D27</f>
        <v>C032</v>
      </c>
      <c r="E27" s="42" t="str">
        <f aca="false">Sales_Transactions!E27</f>
        <v>P006</v>
      </c>
      <c r="F27" s="42" t="str">
        <f aca="false">IFERROR(INDEX(Customer_Master!$C$2:$C$49,MATCH(D27,Customer_Master!$A$2:$A$49,0)),"UNMATCHED")</f>
        <v>East</v>
      </c>
      <c r="G27" s="42" t="str">
        <f aca="false">IFERROR(INDEX(Customer_Master!$D$2:$D$49,MATCH(D27,Customer_Master!$A$2:$A$49,0)),"UNMATCHED")</f>
        <v>Modern Trade</v>
      </c>
      <c r="H27" s="42" t="str">
        <f aca="false">IFERROR(INDEX(Product_Master!$C$2:$C$9,MATCH(E27,Product_Master!$A$2:$A$9,0)),"UNMATCHED")</f>
        <v>Foods</v>
      </c>
      <c r="I27" s="42" t="str">
        <f aca="false">IFERROR(INDEX(Product_Master!$B$2:$B$9,MATCH(E27,Product_Master!$A$2:$A$9,0)),"UNMATCHED")</f>
        <v>Breakfast Cereal</v>
      </c>
      <c r="J27" s="42" t="n">
        <f aca="false">IFERROR(INDEX(Calendar!$B$2:$B$25,MATCH(B27,Calendar!$A$2:$A$25,0)),0)</f>
        <v>2025</v>
      </c>
      <c r="K27" s="42" t="n">
        <f aca="false">IFERROR(VALUE(RIGHT(B27,2)),0)</f>
        <v>1</v>
      </c>
      <c r="L27" s="42" t="str">
        <f aca="false">IFERROR(INDEX(Calendar!$E$2:$E$25,MATCH(B27,Calendar!$A$2:$A$25,0)),"UNMATCHED")</f>
        <v>Actual</v>
      </c>
      <c r="M27" s="42" t="n">
        <f aca="false">Sales_Transactions!F27</f>
        <v>113</v>
      </c>
      <c r="N27" s="52" t="n">
        <f aca="false">Sales_Transactions!I27</f>
        <v>26503.02</v>
      </c>
      <c r="O27" s="52" t="n">
        <f aca="false">Sales_Transactions!J27</f>
        <v>16990.68</v>
      </c>
      <c r="P27" s="52" t="n">
        <f aca="false">Sales_Transactions!K27</f>
        <v>9512.34</v>
      </c>
      <c r="Q27" s="42" t="n">
        <f aca="false">IF(ISNUMBER(MATCH(E27,Product_Master!$A$2:$A$9,0)),0,1)</f>
        <v>0</v>
      </c>
      <c r="R27" s="42" t="n">
        <f aca="false">IF(ISNUMBER(MATCH(D27,Customer_Master!$A$2:$A$49,0)),0,1)</f>
        <v>0</v>
      </c>
      <c r="S27" s="42" t="n">
        <f aca="false">IF(ISNUMBER(MATCH(B27,Calendar!$A$2:$A$25,0)),0,1)</f>
        <v>0</v>
      </c>
      <c r="T27" s="42" t="n">
        <f aca="false">IF(COUNTIF(Sales_Transactions!$A$2:$A$865,A27)&gt;1,1,0)</f>
        <v>0</v>
      </c>
      <c r="U27" s="42" t="n">
        <f aca="false">IF(OR(ABS(Sales_Transactions!F27*Sales_Transactions!G27-Sales_Transactions!I27)&gt;0.01,ABS(Sales_Transactions!F27*Sales_Transactions!H27-Sales_Transactions!J27)&gt;0.01,ABS(Sales_Transactions!I27-Sales_Transactions!J27-Sales_Transactions!K27)&gt;0.01),1,0)</f>
        <v>0</v>
      </c>
      <c r="V27" s="42" t="n">
        <f aca="false">IF(C27&lt;&gt;L27,1,0)</f>
        <v>0</v>
      </c>
      <c r="W27" s="42" t="n">
        <f aca="false">IF(SUM(Q27:V27)&gt;0,1,0)</f>
        <v>0</v>
      </c>
    </row>
    <row r="28" customFormat="false" ht="15" hidden="false" customHeight="false" outlineLevel="0" collapsed="false">
      <c r="A28" s="42" t="str">
        <f aca="false">Sales_Transactions!A28</f>
        <v>INV-01-027</v>
      </c>
      <c r="B28" s="42" t="str">
        <f aca="false">Sales_Transactions!B28</f>
        <v>2025-01</v>
      </c>
      <c r="C28" s="42" t="str">
        <f aca="false">Sales_Transactions!C28</f>
        <v>Actual</v>
      </c>
      <c r="D28" s="42" t="str">
        <f aca="false">Sales_Transactions!D28</f>
        <v>C039</v>
      </c>
      <c r="E28" s="42" t="str">
        <f aca="false">Sales_Transactions!E28</f>
        <v>P003</v>
      </c>
      <c r="F28" s="42" t="str">
        <f aca="false">IFERROR(INDEX(Customer_Master!$C$2:$C$49,MATCH(D28,Customer_Master!$A$2:$A$49,0)),"UNMATCHED")</f>
        <v>West</v>
      </c>
      <c r="G28" s="42" t="str">
        <f aca="false">IFERROR(INDEX(Customer_Master!$D$2:$D$49,MATCH(D28,Customer_Master!$A$2:$A$49,0)),"UNMATCHED")</f>
        <v>Retail</v>
      </c>
      <c r="H28" s="42" t="str">
        <f aca="false">IFERROR(INDEX(Product_Master!$C$2:$C$9,MATCH(E28,Product_Master!$A$2:$A$9,0)),"UNMATCHED")</f>
        <v>Personal Care</v>
      </c>
      <c r="I28" s="42" t="str">
        <f aca="false">IFERROR(INDEX(Product_Master!$B$2:$B$9,MATCH(E28,Product_Master!$A$2:$A$9,0)),"UNMATCHED")</f>
        <v>Shampoo 400ml</v>
      </c>
      <c r="J28" s="42" t="n">
        <f aca="false">IFERROR(INDEX(Calendar!$B$2:$B$25,MATCH(B28,Calendar!$A$2:$A$25,0)),0)</f>
        <v>2025</v>
      </c>
      <c r="K28" s="42" t="n">
        <f aca="false">IFERROR(VALUE(RIGHT(B28,2)),0)</f>
        <v>1</v>
      </c>
      <c r="L28" s="42" t="str">
        <f aca="false">IFERROR(INDEX(Calendar!$E$2:$E$25,MATCH(B28,Calendar!$A$2:$A$25,0)),"UNMATCHED")</f>
        <v>Actual</v>
      </c>
      <c r="M28" s="42" t="n">
        <f aca="false">Sales_Transactions!F28</f>
        <v>246</v>
      </c>
      <c r="N28" s="52" t="n">
        <f aca="false">Sales_Transactions!I28</f>
        <v>64894.8</v>
      </c>
      <c r="O28" s="52" t="n">
        <f aca="false">Sales_Transactions!J28</f>
        <v>40717.92</v>
      </c>
      <c r="P28" s="52" t="n">
        <f aca="false">Sales_Transactions!K28</f>
        <v>24176.88</v>
      </c>
      <c r="Q28" s="42" t="n">
        <f aca="false">IF(ISNUMBER(MATCH(E28,Product_Master!$A$2:$A$9,0)),0,1)</f>
        <v>0</v>
      </c>
      <c r="R28" s="42" t="n">
        <f aca="false">IF(ISNUMBER(MATCH(D28,Customer_Master!$A$2:$A$49,0)),0,1)</f>
        <v>0</v>
      </c>
      <c r="S28" s="42" t="n">
        <f aca="false">IF(ISNUMBER(MATCH(B28,Calendar!$A$2:$A$25,0)),0,1)</f>
        <v>0</v>
      </c>
      <c r="T28" s="42" t="n">
        <f aca="false">IF(COUNTIF(Sales_Transactions!$A$2:$A$865,A28)&gt;1,1,0)</f>
        <v>0</v>
      </c>
      <c r="U28" s="42" t="n">
        <f aca="false">IF(OR(ABS(Sales_Transactions!F28*Sales_Transactions!G28-Sales_Transactions!I28)&gt;0.01,ABS(Sales_Transactions!F28*Sales_Transactions!H28-Sales_Transactions!J28)&gt;0.01,ABS(Sales_Transactions!I28-Sales_Transactions!J28-Sales_Transactions!K28)&gt;0.01),1,0)</f>
        <v>0</v>
      </c>
      <c r="V28" s="42" t="n">
        <f aca="false">IF(C28&lt;&gt;L28,1,0)</f>
        <v>0</v>
      </c>
      <c r="W28" s="42" t="n">
        <f aca="false">IF(SUM(Q28:V28)&gt;0,1,0)</f>
        <v>0</v>
      </c>
    </row>
    <row r="29" customFormat="false" ht="15" hidden="false" customHeight="false" outlineLevel="0" collapsed="false">
      <c r="A29" s="42" t="str">
        <f aca="false">Sales_Transactions!A29</f>
        <v>INV-01-028</v>
      </c>
      <c r="B29" s="42" t="str">
        <f aca="false">Sales_Transactions!B29</f>
        <v>2025-01</v>
      </c>
      <c r="C29" s="42" t="str">
        <f aca="false">Sales_Transactions!C29</f>
        <v>Actual</v>
      </c>
      <c r="D29" s="42" t="str">
        <f aca="false">Sales_Transactions!D29</f>
        <v>C046</v>
      </c>
      <c r="E29" s="42" t="str">
        <f aca="false">Sales_Transactions!E29</f>
        <v>P008</v>
      </c>
      <c r="F29" s="42" t="str">
        <f aca="false">IFERROR(INDEX(Customer_Master!$C$2:$C$49,MATCH(D29,Customer_Master!$A$2:$A$49,0)),"UNMATCHED")</f>
        <v>North</v>
      </c>
      <c r="G29" s="42" t="str">
        <f aca="false">IFERROR(INDEX(Customer_Master!$D$2:$D$49,MATCH(D29,Customer_Master!$A$2:$A$49,0)),"UNMATCHED")</f>
        <v>Distributor</v>
      </c>
      <c r="H29" s="42" t="str">
        <f aca="false">IFERROR(INDEX(Product_Master!$C$2:$C$9,MATCH(E29,Product_Master!$A$2:$A$9,0)),"UNMATCHED")</f>
        <v>Personal Care</v>
      </c>
      <c r="I29" s="42" t="str">
        <f aca="false">IFERROR(INDEX(Product_Master!$B$2:$B$9,MATCH(E29,Product_Master!$A$2:$A$9,0)),"UNMATCHED")</f>
        <v>Body Lotion</v>
      </c>
      <c r="J29" s="42" t="n">
        <f aca="false">IFERROR(INDEX(Calendar!$B$2:$B$25,MATCH(B29,Calendar!$A$2:$A$25,0)),0)</f>
        <v>2025</v>
      </c>
      <c r="K29" s="42" t="n">
        <f aca="false">IFERROR(VALUE(RIGHT(B29,2)),0)</f>
        <v>1</v>
      </c>
      <c r="L29" s="42" t="str">
        <f aca="false">IFERROR(INDEX(Calendar!$E$2:$E$25,MATCH(B29,Calendar!$A$2:$A$25,0)),"UNMATCHED")</f>
        <v>Actual</v>
      </c>
      <c r="M29" s="42" t="n">
        <f aca="false">Sales_Transactions!F29</f>
        <v>375</v>
      </c>
      <c r="N29" s="52" t="n">
        <f aca="false">Sales_Transactions!I29</f>
        <v>122355</v>
      </c>
      <c r="O29" s="52" t="n">
        <f aca="false">Sales_Transactions!J29</f>
        <v>75581.25</v>
      </c>
      <c r="P29" s="52" t="n">
        <f aca="false">Sales_Transactions!K29</f>
        <v>46773.75</v>
      </c>
      <c r="Q29" s="42" t="n">
        <f aca="false">IF(ISNUMBER(MATCH(E29,Product_Master!$A$2:$A$9,0)),0,1)</f>
        <v>0</v>
      </c>
      <c r="R29" s="42" t="n">
        <f aca="false">IF(ISNUMBER(MATCH(D29,Customer_Master!$A$2:$A$49,0)),0,1)</f>
        <v>0</v>
      </c>
      <c r="S29" s="42" t="n">
        <f aca="false">IF(ISNUMBER(MATCH(B29,Calendar!$A$2:$A$25,0)),0,1)</f>
        <v>0</v>
      </c>
      <c r="T29" s="42" t="n">
        <f aca="false">IF(COUNTIF(Sales_Transactions!$A$2:$A$865,A29)&gt;1,1,0)</f>
        <v>0</v>
      </c>
      <c r="U29" s="42" t="n">
        <f aca="false">IF(OR(ABS(Sales_Transactions!F29*Sales_Transactions!G29-Sales_Transactions!I29)&gt;0.01,ABS(Sales_Transactions!F29*Sales_Transactions!H29-Sales_Transactions!J29)&gt;0.01,ABS(Sales_Transactions!I29-Sales_Transactions!J29-Sales_Transactions!K29)&gt;0.01),1,0)</f>
        <v>0</v>
      </c>
      <c r="V29" s="42" t="n">
        <f aca="false">IF(C29&lt;&gt;L29,1,0)</f>
        <v>0</v>
      </c>
      <c r="W29" s="42" t="n">
        <f aca="false">IF(SUM(Q29:V29)&gt;0,1,0)</f>
        <v>0</v>
      </c>
    </row>
    <row r="30" customFormat="false" ht="15" hidden="false" customHeight="false" outlineLevel="0" collapsed="false">
      <c r="A30" s="42" t="str">
        <f aca="false">Sales_Transactions!A30</f>
        <v>INV-01-029</v>
      </c>
      <c r="B30" s="42" t="str">
        <f aca="false">Sales_Transactions!B30</f>
        <v>2025-01</v>
      </c>
      <c r="C30" s="42" t="str">
        <f aca="false">Sales_Transactions!C30</f>
        <v>Actual</v>
      </c>
      <c r="D30" s="42" t="str">
        <f aca="false">Sales_Transactions!D30</f>
        <v>C005</v>
      </c>
      <c r="E30" s="42" t="str">
        <f aca="false">Sales_Transactions!E30</f>
        <v>P005</v>
      </c>
      <c r="F30" s="42" t="str">
        <f aca="false">IFERROR(INDEX(Customer_Master!$C$2:$C$49,MATCH(D30,Customer_Master!$A$2:$A$49,0)),"UNMATCHED")</f>
        <v>South</v>
      </c>
      <c r="G30" s="42" t="str">
        <f aca="false">IFERROR(INDEX(Customer_Master!$D$2:$D$49,MATCH(D30,Customer_Master!$A$2:$A$49,0)),"UNMATCHED")</f>
        <v>Modern Trade</v>
      </c>
      <c r="H30" s="42" t="str">
        <f aca="false">IFERROR(INDEX(Product_Master!$C$2:$C$9,MATCH(E30,Product_Master!$A$2:$A$9,0)),"UNMATCHED")</f>
        <v>Foods</v>
      </c>
      <c r="I30" s="42" t="str">
        <f aca="false">IFERROR(INDEX(Product_Master!$B$2:$B$9,MATCH(E30,Product_Master!$A$2:$A$9,0)),"UNMATCHED")</f>
        <v>Biscuits 500g</v>
      </c>
      <c r="J30" s="42" t="n">
        <f aca="false">IFERROR(INDEX(Calendar!$B$2:$B$25,MATCH(B30,Calendar!$A$2:$A$25,0)),0)</f>
        <v>2025</v>
      </c>
      <c r="K30" s="42" t="n">
        <f aca="false">IFERROR(VALUE(RIGHT(B30,2)),0)</f>
        <v>1</v>
      </c>
      <c r="L30" s="42" t="str">
        <f aca="false">IFERROR(INDEX(Calendar!$E$2:$E$25,MATCH(B30,Calendar!$A$2:$A$25,0)),"UNMATCHED")</f>
        <v>Actual</v>
      </c>
      <c r="M30" s="42" t="n">
        <f aca="false">Sales_Transactions!F30</f>
        <v>420</v>
      </c>
      <c r="N30" s="52" t="n">
        <f aca="false">Sales_Transactions!I30</f>
        <v>44116.8</v>
      </c>
      <c r="O30" s="52" t="n">
        <f aca="false">Sales_Transactions!J30</f>
        <v>30000.6</v>
      </c>
      <c r="P30" s="52" t="n">
        <f aca="false">Sales_Transactions!K30</f>
        <v>14116.2</v>
      </c>
      <c r="Q30" s="42" t="n">
        <f aca="false">IF(ISNUMBER(MATCH(E30,Product_Master!$A$2:$A$9,0)),0,1)</f>
        <v>0</v>
      </c>
      <c r="R30" s="42" t="n">
        <f aca="false">IF(ISNUMBER(MATCH(D30,Customer_Master!$A$2:$A$49,0)),0,1)</f>
        <v>0</v>
      </c>
      <c r="S30" s="42" t="n">
        <f aca="false">IF(ISNUMBER(MATCH(B30,Calendar!$A$2:$A$25,0)),0,1)</f>
        <v>0</v>
      </c>
      <c r="T30" s="42" t="n">
        <f aca="false">IF(COUNTIF(Sales_Transactions!$A$2:$A$865,A30)&gt;1,1,0)</f>
        <v>0</v>
      </c>
      <c r="U30" s="42" t="n">
        <f aca="false">IF(OR(ABS(Sales_Transactions!F30*Sales_Transactions!G30-Sales_Transactions!I30)&gt;0.01,ABS(Sales_Transactions!F30*Sales_Transactions!H30-Sales_Transactions!J30)&gt;0.01,ABS(Sales_Transactions!I30-Sales_Transactions!J30-Sales_Transactions!K30)&gt;0.01),1,0)</f>
        <v>0</v>
      </c>
      <c r="V30" s="42" t="n">
        <f aca="false">IF(C30&lt;&gt;L30,1,0)</f>
        <v>0</v>
      </c>
      <c r="W30" s="42" t="n">
        <f aca="false">IF(SUM(Q30:V30)&gt;0,1,0)</f>
        <v>0</v>
      </c>
    </row>
    <row r="31" customFormat="false" ht="15" hidden="false" customHeight="false" outlineLevel="0" collapsed="false">
      <c r="A31" s="42" t="str">
        <f aca="false">Sales_Transactions!A31</f>
        <v>INV-01-030</v>
      </c>
      <c r="B31" s="42" t="str">
        <f aca="false">Sales_Transactions!B31</f>
        <v>2025-01</v>
      </c>
      <c r="C31" s="42" t="str">
        <f aca="false">Sales_Transactions!C31</f>
        <v>Actual</v>
      </c>
      <c r="D31" s="42" t="str">
        <f aca="false">Sales_Transactions!D31</f>
        <v>C012</v>
      </c>
      <c r="E31" s="42" t="str">
        <f aca="false">Sales_Transactions!E31</f>
        <v>P002</v>
      </c>
      <c r="F31" s="42" t="str">
        <f aca="false">IFERROR(INDEX(Customer_Master!$C$2:$C$49,MATCH(D31,Customer_Master!$A$2:$A$49,0)),"UNMATCHED")</f>
        <v>East</v>
      </c>
      <c r="G31" s="42" t="str">
        <f aca="false">IFERROR(INDEX(Customer_Master!$D$2:$D$49,MATCH(D31,Customer_Master!$A$2:$A$49,0)),"UNMATCHED")</f>
        <v>Retail</v>
      </c>
      <c r="H31" s="42" t="str">
        <f aca="false">IFERROR(INDEX(Product_Master!$C$2:$C$9,MATCH(E31,Product_Master!$A$2:$A$9,0)),"UNMATCHED")</f>
        <v>Home Care</v>
      </c>
      <c r="I31" s="42" t="str">
        <f aca="false">IFERROR(INDEX(Product_Master!$B$2:$B$9,MATCH(E31,Product_Master!$A$2:$A$9,0)),"UNMATCHED")</f>
        <v>Dishwash Gel</v>
      </c>
      <c r="J31" s="42" t="n">
        <f aca="false">IFERROR(INDEX(Calendar!$B$2:$B$25,MATCH(B31,Calendar!$A$2:$A$25,0)),0)</f>
        <v>2025</v>
      </c>
      <c r="K31" s="42" t="n">
        <f aca="false">IFERROR(VALUE(RIGHT(B31,2)),0)</f>
        <v>1</v>
      </c>
      <c r="L31" s="42" t="str">
        <f aca="false">IFERROR(INDEX(Calendar!$E$2:$E$25,MATCH(B31,Calendar!$A$2:$A$25,0)),"UNMATCHED")</f>
        <v>Actual</v>
      </c>
      <c r="M31" s="42" t="n">
        <f aca="false">Sales_Transactions!F31</f>
        <v>414</v>
      </c>
      <c r="N31" s="52" t="n">
        <f aca="false">Sales_Transactions!I31</f>
        <v>57007.8</v>
      </c>
      <c r="O31" s="52" t="n">
        <f aca="false">Sales_Transactions!J31</f>
        <v>33670.62</v>
      </c>
      <c r="P31" s="52" t="n">
        <f aca="false">Sales_Transactions!K31</f>
        <v>23337.18</v>
      </c>
      <c r="Q31" s="42" t="n">
        <f aca="false">IF(ISNUMBER(MATCH(E31,Product_Master!$A$2:$A$9,0)),0,1)</f>
        <v>0</v>
      </c>
      <c r="R31" s="42" t="n">
        <f aca="false">IF(ISNUMBER(MATCH(D31,Customer_Master!$A$2:$A$49,0)),0,1)</f>
        <v>0</v>
      </c>
      <c r="S31" s="42" t="n">
        <f aca="false">IF(ISNUMBER(MATCH(B31,Calendar!$A$2:$A$25,0)),0,1)</f>
        <v>0</v>
      </c>
      <c r="T31" s="42" t="n">
        <f aca="false">IF(COUNTIF(Sales_Transactions!$A$2:$A$865,A31)&gt;1,1,0)</f>
        <v>0</v>
      </c>
      <c r="U31" s="42" t="n">
        <f aca="false">IF(OR(ABS(Sales_Transactions!F31*Sales_Transactions!G31-Sales_Transactions!I31)&gt;0.01,ABS(Sales_Transactions!F31*Sales_Transactions!H31-Sales_Transactions!J31)&gt;0.01,ABS(Sales_Transactions!I31-Sales_Transactions!J31-Sales_Transactions!K31)&gt;0.01),1,0)</f>
        <v>0</v>
      </c>
      <c r="V31" s="42" t="n">
        <f aca="false">IF(C31&lt;&gt;L31,1,0)</f>
        <v>0</v>
      </c>
      <c r="W31" s="42" t="n">
        <f aca="false">IF(SUM(Q31:V31)&gt;0,1,0)</f>
        <v>0</v>
      </c>
    </row>
    <row r="32" customFormat="false" ht="15" hidden="false" customHeight="false" outlineLevel="0" collapsed="false">
      <c r="A32" s="42" t="str">
        <f aca="false">Sales_Transactions!A32</f>
        <v>INV-01-031</v>
      </c>
      <c r="B32" s="42" t="str">
        <f aca="false">Sales_Transactions!B32</f>
        <v>2025-01</v>
      </c>
      <c r="C32" s="42" t="str">
        <f aca="false">Sales_Transactions!C32</f>
        <v>Actual</v>
      </c>
      <c r="D32" s="42" t="str">
        <f aca="false">Sales_Transactions!D32</f>
        <v>C019</v>
      </c>
      <c r="E32" s="42" t="str">
        <f aca="false">Sales_Transactions!E32</f>
        <v>P007</v>
      </c>
      <c r="F32" s="42" t="str">
        <f aca="false">IFERROR(INDEX(Customer_Master!$C$2:$C$49,MATCH(D32,Customer_Master!$A$2:$A$49,0)),"UNMATCHED")</f>
        <v>West</v>
      </c>
      <c r="G32" s="42" t="str">
        <f aca="false">IFERROR(INDEX(Customer_Master!$D$2:$D$49,MATCH(D32,Customer_Master!$A$2:$A$49,0)),"UNMATCHED")</f>
        <v>Distributor</v>
      </c>
      <c r="H32" s="42" t="str">
        <f aca="false">IFERROR(INDEX(Product_Master!$C$2:$C$9,MATCH(E32,Product_Master!$A$2:$A$9,0)),"UNMATCHED")</f>
        <v>Home Care</v>
      </c>
      <c r="I32" s="42" t="str">
        <f aca="false">IFERROR(INDEX(Product_Master!$B$2:$B$9,MATCH(E32,Product_Master!$A$2:$A$9,0)),"UNMATCHED")</f>
        <v>Floor Cleaner</v>
      </c>
      <c r="J32" s="42" t="n">
        <f aca="false">IFERROR(INDEX(Calendar!$B$2:$B$25,MATCH(B32,Calendar!$A$2:$A$25,0)),0)</f>
        <v>2025</v>
      </c>
      <c r="K32" s="42" t="n">
        <f aca="false">IFERROR(VALUE(RIGHT(B32,2)),0)</f>
        <v>1</v>
      </c>
      <c r="L32" s="42" t="str">
        <f aca="false">IFERROR(INDEX(Calendar!$E$2:$E$25,MATCH(B32,Calendar!$A$2:$A$25,0)),"UNMATCHED")</f>
        <v>Actual</v>
      </c>
      <c r="M32" s="42" t="n">
        <f aca="false">Sales_Transactions!F32</f>
        <v>211</v>
      </c>
      <c r="N32" s="52" t="n">
        <f aca="false">Sales_Transactions!I32</f>
        <v>39562.5</v>
      </c>
      <c r="O32" s="52" t="n">
        <f aca="false">Sales_Transactions!J32</f>
        <v>24214.36</v>
      </c>
      <c r="P32" s="52" t="n">
        <f aca="false">Sales_Transactions!K32</f>
        <v>15348.14</v>
      </c>
      <c r="Q32" s="42" t="n">
        <f aca="false">IF(ISNUMBER(MATCH(E32,Product_Master!$A$2:$A$9,0)),0,1)</f>
        <v>0</v>
      </c>
      <c r="R32" s="42" t="n">
        <f aca="false">IF(ISNUMBER(MATCH(D32,Customer_Master!$A$2:$A$49,0)),0,1)</f>
        <v>0</v>
      </c>
      <c r="S32" s="42" t="n">
        <f aca="false">IF(ISNUMBER(MATCH(B32,Calendar!$A$2:$A$25,0)),0,1)</f>
        <v>0</v>
      </c>
      <c r="T32" s="42" t="n">
        <f aca="false">IF(COUNTIF(Sales_Transactions!$A$2:$A$865,A32)&gt;1,1,0)</f>
        <v>0</v>
      </c>
      <c r="U32" s="42" t="n">
        <f aca="false">IF(OR(ABS(Sales_Transactions!F32*Sales_Transactions!G32-Sales_Transactions!I32)&gt;0.01,ABS(Sales_Transactions!F32*Sales_Transactions!H32-Sales_Transactions!J32)&gt;0.01,ABS(Sales_Transactions!I32-Sales_Transactions!J32-Sales_Transactions!K32)&gt;0.01),1,0)</f>
        <v>0</v>
      </c>
      <c r="V32" s="42" t="n">
        <f aca="false">IF(C32&lt;&gt;L32,1,0)</f>
        <v>0</v>
      </c>
      <c r="W32" s="42" t="n">
        <f aca="false">IF(SUM(Q32:V32)&gt;0,1,0)</f>
        <v>0</v>
      </c>
    </row>
    <row r="33" customFormat="false" ht="15" hidden="false" customHeight="false" outlineLevel="0" collapsed="false">
      <c r="A33" s="42" t="str">
        <f aca="false">Sales_Transactions!A33</f>
        <v>INV-01-032</v>
      </c>
      <c r="B33" s="42" t="str">
        <f aca="false">Sales_Transactions!B33</f>
        <v>2025-01</v>
      </c>
      <c r="C33" s="42" t="str">
        <f aca="false">Sales_Transactions!C33</f>
        <v>Actual</v>
      </c>
      <c r="D33" s="42" t="str">
        <f aca="false">Sales_Transactions!D33</f>
        <v>C026</v>
      </c>
      <c r="E33" s="42" t="str">
        <f aca="false">Sales_Transactions!E33</f>
        <v>P004</v>
      </c>
      <c r="F33" s="42" t="str">
        <f aca="false">IFERROR(INDEX(Customer_Master!$C$2:$C$49,MATCH(D33,Customer_Master!$A$2:$A$49,0)),"UNMATCHED")</f>
        <v>North</v>
      </c>
      <c r="G33" s="42" t="str">
        <f aca="false">IFERROR(INDEX(Customer_Master!$D$2:$D$49,MATCH(D33,Customer_Master!$A$2:$A$49,0)),"UNMATCHED")</f>
        <v>Modern Trade</v>
      </c>
      <c r="H33" s="42" t="str">
        <f aca="false">IFERROR(INDEX(Product_Master!$C$2:$C$9,MATCH(E33,Product_Master!$A$2:$A$9,0)),"UNMATCHED")</f>
        <v>Personal Care</v>
      </c>
      <c r="I33" s="42" t="str">
        <f aca="false">IFERROR(INDEX(Product_Master!$B$2:$B$9,MATCH(E33,Product_Master!$A$2:$A$9,0)),"UNMATCHED")</f>
        <v>Soap 4-pack</v>
      </c>
      <c r="J33" s="42" t="n">
        <f aca="false">IFERROR(INDEX(Calendar!$B$2:$B$25,MATCH(B33,Calendar!$A$2:$A$25,0)),0)</f>
        <v>2025</v>
      </c>
      <c r="K33" s="42" t="n">
        <f aca="false">IFERROR(VALUE(RIGHT(B33,2)),0)</f>
        <v>1</v>
      </c>
      <c r="L33" s="42" t="str">
        <f aca="false">IFERROR(INDEX(Calendar!$E$2:$E$25,MATCH(B33,Calendar!$A$2:$A$25,0)),"UNMATCHED")</f>
        <v>Actual</v>
      </c>
      <c r="M33" s="42" t="n">
        <f aca="false">Sales_Transactions!F33</f>
        <v>384</v>
      </c>
      <c r="N33" s="52" t="n">
        <f aca="false">Sales_Transactions!I33</f>
        <v>63552</v>
      </c>
      <c r="O33" s="52" t="n">
        <f aca="false">Sales_Transactions!J33</f>
        <v>37969.92</v>
      </c>
      <c r="P33" s="52" t="n">
        <f aca="false">Sales_Transactions!K33</f>
        <v>25582.08</v>
      </c>
      <c r="Q33" s="42" t="n">
        <f aca="false">IF(ISNUMBER(MATCH(E33,Product_Master!$A$2:$A$9,0)),0,1)</f>
        <v>0</v>
      </c>
      <c r="R33" s="42" t="n">
        <f aca="false">IF(ISNUMBER(MATCH(D33,Customer_Master!$A$2:$A$49,0)),0,1)</f>
        <v>0</v>
      </c>
      <c r="S33" s="42" t="n">
        <f aca="false">IF(ISNUMBER(MATCH(B33,Calendar!$A$2:$A$25,0)),0,1)</f>
        <v>0</v>
      </c>
      <c r="T33" s="42" t="n">
        <f aca="false">IF(COUNTIF(Sales_Transactions!$A$2:$A$865,A33)&gt;1,1,0)</f>
        <v>0</v>
      </c>
      <c r="U33" s="42" t="n">
        <f aca="false">IF(OR(ABS(Sales_Transactions!F33*Sales_Transactions!G33-Sales_Transactions!I33)&gt;0.01,ABS(Sales_Transactions!F33*Sales_Transactions!H33-Sales_Transactions!J33)&gt;0.01,ABS(Sales_Transactions!I33-Sales_Transactions!J33-Sales_Transactions!K33)&gt;0.01),1,0)</f>
        <v>0</v>
      </c>
      <c r="V33" s="42" t="n">
        <f aca="false">IF(C33&lt;&gt;L33,1,0)</f>
        <v>0</v>
      </c>
      <c r="W33" s="42" t="n">
        <f aca="false">IF(SUM(Q33:V33)&gt;0,1,0)</f>
        <v>0</v>
      </c>
    </row>
    <row r="34" customFormat="false" ht="15" hidden="false" customHeight="false" outlineLevel="0" collapsed="false">
      <c r="A34" s="42" t="str">
        <f aca="false">Sales_Transactions!A34</f>
        <v>INV-01-033</v>
      </c>
      <c r="B34" s="42" t="str">
        <f aca="false">Sales_Transactions!B34</f>
        <v>2025-01</v>
      </c>
      <c r="C34" s="42" t="str">
        <f aca="false">Sales_Transactions!C34</f>
        <v>Actual</v>
      </c>
      <c r="D34" s="42" t="str">
        <f aca="false">Sales_Transactions!D34</f>
        <v>C033</v>
      </c>
      <c r="E34" s="42" t="str">
        <f aca="false">Sales_Transactions!E34</f>
        <v>P001</v>
      </c>
      <c r="F34" s="42" t="str">
        <f aca="false">IFERROR(INDEX(Customer_Master!$C$2:$C$49,MATCH(D34,Customer_Master!$A$2:$A$49,0)),"UNMATCHED")</f>
        <v>South</v>
      </c>
      <c r="G34" s="42" t="str">
        <f aca="false">IFERROR(INDEX(Customer_Master!$D$2:$D$49,MATCH(D34,Customer_Master!$A$2:$A$49,0)),"UNMATCHED")</f>
        <v>Retail</v>
      </c>
      <c r="H34" s="42" t="str">
        <f aca="false">IFERROR(INDEX(Product_Master!$C$2:$C$9,MATCH(E34,Product_Master!$A$2:$A$9,0)),"UNMATCHED")</f>
        <v>Home Care</v>
      </c>
      <c r="I34" s="42" t="str">
        <f aca="false">IFERROR(INDEX(Product_Master!$B$2:$B$9,MATCH(E34,Product_Master!$A$2:$A$9,0)),"UNMATCHED")</f>
        <v>Detergent 1kg</v>
      </c>
      <c r="J34" s="42" t="n">
        <f aca="false">IFERROR(INDEX(Calendar!$B$2:$B$25,MATCH(B34,Calendar!$A$2:$A$25,0)),0)</f>
        <v>2025</v>
      </c>
      <c r="K34" s="42" t="n">
        <f aca="false">IFERROR(VALUE(RIGHT(B34,2)),0)</f>
        <v>1</v>
      </c>
      <c r="L34" s="42" t="str">
        <f aca="false">IFERROR(INDEX(Calendar!$E$2:$E$25,MATCH(B34,Calendar!$A$2:$A$25,0)),"UNMATCHED")</f>
        <v>Actual</v>
      </c>
      <c r="M34" s="42" t="n">
        <f aca="false">Sales_Transactions!F34</f>
        <v>270</v>
      </c>
      <c r="N34" s="52" t="n">
        <f aca="false">Sales_Transactions!I34</f>
        <v>52080.3</v>
      </c>
      <c r="O34" s="52" t="n">
        <f aca="false">Sales_Transactions!J34</f>
        <v>38480.4</v>
      </c>
      <c r="P34" s="52" t="n">
        <f aca="false">Sales_Transactions!K34</f>
        <v>13599.9</v>
      </c>
      <c r="Q34" s="42" t="n">
        <f aca="false">IF(ISNUMBER(MATCH(E34,Product_Master!$A$2:$A$9,0)),0,1)</f>
        <v>0</v>
      </c>
      <c r="R34" s="42" t="n">
        <f aca="false">IF(ISNUMBER(MATCH(D34,Customer_Master!$A$2:$A$49,0)),0,1)</f>
        <v>0</v>
      </c>
      <c r="S34" s="42" t="n">
        <f aca="false">IF(ISNUMBER(MATCH(B34,Calendar!$A$2:$A$25,0)),0,1)</f>
        <v>0</v>
      </c>
      <c r="T34" s="42" t="n">
        <f aca="false">IF(COUNTIF(Sales_Transactions!$A$2:$A$865,A34)&gt;1,1,0)</f>
        <v>0</v>
      </c>
      <c r="U34" s="42" t="n">
        <f aca="false">IF(OR(ABS(Sales_Transactions!F34*Sales_Transactions!G34-Sales_Transactions!I34)&gt;0.01,ABS(Sales_Transactions!F34*Sales_Transactions!H34-Sales_Transactions!J34)&gt;0.01,ABS(Sales_Transactions!I34-Sales_Transactions!J34-Sales_Transactions!K34)&gt;0.01),1,0)</f>
        <v>0</v>
      </c>
      <c r="V34" s="42" t="n">
        <f aca="false">IF(C34&lt;&gt;L34,1,0)</f>
        <v>0</v>
      </c>
      <c r="W34" s="42" t="n">
        <f aca="false">IF(SUM(Q34:V34)&gt;0,1,0)</f>
        <v>0</v>
      </c>
    </row>
    <row r="35" customFormat="false" ht="15" hidden="false" customHeight="false" outlineLevel="0" collapsed="false">
      <c r="A35" s="42" t="str">
        <f aca="false">Sales_Transactions!A35</f>
        <v>INV-01-034</v>
      </c>
      <c r="B35" s="42" t="str">
        <f aca="false">Sales_Transactions!B35</f>
        <v>2025-01</v>
      </c>
      <c r="C35" s="42" t="str">
        <f aca="false">Sales_Transactions!C35</f>
        <v>Actual</v>
      </c>
      <c r="D35" s="42" t="str">
        <f aca="false">Sales_Transactions!D35</f>
        <v>C040</v>
      </c>
      <c r="E35" s="42" t="str">
        <f aca="false">Sales_Transactions!E35</f>
        <v>P006</v>
      </c>
      <c r="F35" s="42" t="str">
        <f aca="false">IFERROR(INDEX(Customer_Master!$C$2:$C$49,MATCH(D35,Customer_Master!$A$2:$A$49,0)),"UNMATCHED")</f>
        <v>East</v>
      </c>
      <c r="G35" s="42" t="str">
        <f aca="false">IFERROR(INDEX(Customer_Master!$D$2:$D$49,MATCH(D35,Customer_Master!$A$2:$A$49,0)),"UNMATCHED")</f>
        <v>Distributor</v>
      </c>
      <c r="H35" s="42" t="str">
        <f aca="false">IFERROR(INDEX(Product_Master!$C$2:$C$9,MATCH(E35,Product_Master!$A$2:$A$9,0)),"UNMATCHED")</f>
        <v>Foods</v>
      </c>
      <c r="I35" s="42" t="str">
        <f aca="false">IFERROR(INDEX(Product_Master!$B$2:$B$9,MATCH(E35,Product_Master!$A$2:$A$9,0)),"UNMATCHED")</f>
        <v>Breakfast Cereal</v>
      </c>
      <c r="J35" s="42" t="n">
        <f aca="false">IFERROR(INDEX(Calendar!$B$2:$B$25,MATCH(B35,Calendar!$A$2:$A$25,0)),0)</f>
        <v>2025</v>
      </c>
      <c r="K35" s="42" t="n">
        <f aca="false">IFERROR(VALUE(RIGHT(B35,2)),0)</f>
        <v>1</v>
      </c>
      <c r="L35" s="42" t="str">
        <f aca="false">IFERROR(INDEX(Calendar!$E$2:$E$25,MATCH(B35,Calendar!$A$2:$A$25,0)),"UNMATCHED")</f>
        <v>Actual</v>
      </c>
      <c r="M35" s="42" t="n">
        <f aca="false">Sales_Transactions!F35</f>
        <v>345</v>
      </c>
      <c r="N35" s="52" t="n">
        <f aca="false">Sales_Transactions!I35</f>
        <v>83941.95</v>
      </c>
      <c r="O35" s="52" t="n">
        <f aca="false">Sales_Transactions!J35</f>
        <v>56548.95</v>
      </c>
      <c r="P35" s="52" t="n">
        <f aca="false">Sales_Transactions!K35</f>
        <v>27393</v>
      </c>
      <c r="Q35" s="42" t="n">
        <f aca="false">IF(ISNUMBER(MATCH(E35,Product_Master!$A$2:$A$9,0)),0,1)</f>
        <v>0</v>
      </c>
      <c r="R35" s="42" t="n">
        <f aca="false">IF(ISNUMBER(MATCH(D35,Customer_Master!$A$2:$A$49,0)),0,1)</f>
        <v>0</v>
      </c>
      <c r="S35" s="42" t="n">
        <f aca="false">IF(ISNUMBER(MATCH(B35,Calendar!$A$2:$A$25,0)),0,1)</f>
        <v>0</v>
      </c>
      <c r="T35" s="42" t="n">
        <f aca="false">IF(COUNTIF(Sales_Transactions!$A$2:$A$865,A35)&gt;1,1,0)</f>
        <v>0</v>
      </c>
      <c r="U35" s="42" t="n">
        <f aca="false">IF(OR(ABS(Sales_Transactions!F35*Sales_Transactions!G35-Sales_Transactions!I35)&gt;0.01,ABS(Sales_Transactions!F35*Sales_Transactions!H35-Sales_Transactions!J35)&gt;0.01,ABS(Sales_Transactions!I35-Sales_Transactions!J35-Sales_Transactions!K35)&gt;0.01),1,0)</f>
        <v>0</v>
      </c>
      <c r="V35" s="42" t="n">
        <f aca="false">IF(C35&lt;&gt;L35,1,0)</f>
        <v>0</v>
      </c>
      <c r="W35" s="42" t="n">
        <f aca="false">IF(SUM(Q35:V35)&gt;0,1,0)</f>
        <v>0</v>
      </c>
    </row>
    <row r="36" customFormat="false" ht="15" hidden="false" customHeight="false" outlineLevel="0" collapsed="false">
      <c r="A36" s="42" t="str">
        <f aca="false">Sales_Transactions!A36</f>
        <v>INV-01-035</v>
      </c>
      <c r="B36" s="42" t="str">
        <f aca="false">Sales_Transactions!B36</f>
        <v>2025-01</v>
      </c>
      <c r="C36" s="42" t="str">
        <f aca="false">Sales_Transactions!C36</f>
        <v>Actual</v>
      </c>
      <c r="D36" s="42" t="str">
        <f aca="false">Sales_Transactions!D36</f>
        <v>C047</v>
      </c>
      <c r="E36" s="42" t="str">
        <f aca="false">Sales_Transactions!E36</f>
        <v>P003</v>
      </c>
      <c r="F36" s="42" t="str">
        <f aca="false">IFERROR(INDEX(Customer_Master!$C$2:$C$49,MATCH(D36,Customer_Master!$A$2:$A$49,0)),"UNMATCHED")</f>
        <v>West</v>
      </c>
      <c r="G36" s="42" t="str">
        <f aca="false">IFERROR(INDEX(Customer_Master!$D$2:$D$49,MATCH(D36,Customer_Master!$A$2:$A$49,0)),"UNMATCHED")</f>
        <v>Modern Trade</v>
      </c>
      <c r="H36" s="42" t="str">
        <f aca="false">IFERROR(INDEX(Product_Master!$C$2:$C$9,MATCH(E36,Product_Master!$A$2:$A$9,0)),"UNMATCHED")</f>
        <v>Personal Care</v>
      </c>
      <c r="I36" s="42" t="str">
        <f aca="false">IFERROR(INDEX(Product_Master!$B$2:$B$9,MATCH(E36,Product_Master!$A$2:$A$9,0)),"UNMATCHED")</f>
        <v>Shampoo 400ml</v>
      </c>
      <c r="J36" s="42" t="n">
        <f aca="false">IFERROR(INDEX(Calendar!$B$2:$B$25,MATCH(B36,Calendar!$A$2:$A$25,0)),0)</f>
        <v>2025</v>
      </c>
      <c r="K36" s="42" t="n">
        <f aca="false">IFERROR(VALUE(RIGHT(B36,2)),0)</f>
        <v>1</v>
      </c>
      <c r="L36" s="42" t="str">
        <f aca="false">IFERROR(INDEX(Calendar!$E$2:$E$25,MATCH(B36,Calendar!$A$2:$A$25,0)),"UNMATCHED")</f>
        <v>Actual</v>
      </c>
      <c r="M36" s="42" t="n">
        <f aca="false">Sales_Transactions!F36</f>
        <v>141</v>
      </c>
      <c r="N36" s="52" t="n">
        <f aca="false">Sales_Transactions!I36</f>
        <v>35921.16</v>
      </c>
      <c r="O36" s="52" t="n">
        <f aca="false">Sales_Transactions!J36</f>
        <v>23609.04</v>
      </c>
      <c r="P36" s="52" t="n">
        <f aca="false">Sales_Transactions!K36</f>
        <v>12312.12</v>
      </c>
      <c r="Q36" s="42" t="n">
        <f aca="false">IF(ISNUMBER(MATCH(E36,Product_Master!$A$2:$A$9,0)),0,1)</f>
        <v>0</v>
      </c>
      <c r="R36" s="42" t="n">
        <f aca="false">IF(ISNUMBER(MATCH(D36,Customer_Master!$A$2:$A$49,0)),0,1)</f>
        <v>0</v>
      </c>
      <c r="S36" s="42" t="n">
        <f aca="false">IF(ISNUMBER(MATCH(B36,Calendar!$A$2:$A$25,0)),0,1)</f>
        <v>0</v>
      </c>
      <c r="T36" s="42" t="n">
        <f aca="false">IF(COUNTIF(Sales_Transactions!$A$2:$A$865,A36)&gt;1,1,0)</f>
        <v>0</v>
      </c>
      <c r="U36" s="42" t="n">
        <f aca="false">IF(OR(ABS(Sales_Transactions!F36*Sales_Transactions!G36-Sales_Transactions!I36)&gt;0.01,ABS(Sales_Transactions!F36*Sales_Transactions!H36-Sales_Transactions!J36)&gt;0.01,ABS(Sales_Transactions!I36-Sales_Transactions!J36-Sales_Transactions!K36)&gt;0.01),1,0)</f>
        <v>0</v>
      </c>
      <c r="V36" s="42" t="n">
        <f aca="false">IF(C36&lt;&gt;L36,1,0)</f>
        <v>0</v>
      </c>
      <c r="W36" s="42" t="n">
        <f aca="false">IF(SUM(Q36:V36)&gt;0,1,0)</f>
        <v>0</v>
      </c>
    </row>
    <row r="37" customFormat="false" ht="15" hidden="false" customHeight="false" outlineLevel="0" collapsed="false">
      <c r="A37" s="42" t="str">
        <f aca="false">Sales_Transactions!A37</f>
        <v>INV-01-036</v>
      </c>
      <c r="B37" s="42" t="str">
        <f aca="false">Sales_Transactions!B37</f>
        <v>2025-01</v>
      </c>
      <c r="C37" s="42" t="str">
        <f aca="false">Sales_Transactions!C37</f>
        <v>Actual</v>
      </c>
      <c r="D37" s="42" t="str">
        <f aca="false">Sales_Transactions!D37</f>
        <v>C006</v>
      </c>
      <c r="E37" s="42" t="str">
        <f aca="false">Sales_Transactions!E37</f>
        <v>P008</v>
      </c>
      <c r="F37" s="42" t="str">
        <f aca="false">IFERROR(INDEX(Customer_Master!$C$2:$C$49,MATCH(D37,Customer_Master!$A$2:$A$49,0)),"UNMATCHED")</f>
        <v>North</v>
      </c>
      <c r="G37" s="42" t="str">
        <f aca="false">IFERROR(INDEX(Customer_Master!$D$2:$D$49,MATCH(D37,Customer_Master!$A$2:$A$49,0)),"UNMATCHED")</f>
        <v>Retail</v>
      </c>
      <c r="H37" s="42" t="str">
        <f aca="false">IFERROR(INDEX(Product_Master!$C$2:$C$9,MATCH(E37,Product_Master!$A$2:$A$9,0)),"UNMATCHED")</f>
        <v>Personal Care</v>
      </c>
      <c r="I37" s="42" t="str">
        <f aca="false">IFERROR(INDEX(Product_Master!$B$2:$B$9,MATCH(E37,Product_Master!$A$2:$A$9,0)),"UNMATCHED")</f>
        <v>Body Lotion</v>
      </c>
      <c r="J37" s="42" t="n">
        <f aca="false">IFERROR(INDEX(Calendar!$B$2:$B$25,MATCH(B37,Calendar!$A$2:$A$25,0)),0)</f>
        <v>2025</v>
      </c>
      <c r="K37" s="42" t="n">
        <f aca="false">IFERROR(VALUE(RIGHT(B37,2)),0)</f>
        <v>1</v>
      </c>
      <c r="L37" s="42" t="str">
        <f aca="false">IFERROR(INDEX(Calendar!$E$2:$E$25,MATCH(B37,Calendar!$A$2:$A$25,0)),"UNMATCHED")</f>
        <v>Actual</v>
      </c>
      <c r="M37" s="42" t="n">
        <f aca="false">Sales_Transactions!F37</f>
        <v>433</v>
      </c>
      <c r="N37" s="52" t="n">
        <f aca="false">Sales_Transactions!I37</f>
        <v>132969.97</v>
      </c>
      <c r="O37" s="52" t="n">
        <f aca="false">Sales_Transactions!J37</f>
        <v>84634.18</v>
      </c>
      <c r="P37" s="52" t="n">
        <f aca="false">Sales_Transactions!K37</f>
        <v>48335.79</v>
      </c>
      <c r="Q37" s="42" t="n">
        <f aca="false">IF(ISNUMBER(MATCH(E37,Product_Master!$A$2:$A$9,0)),0,1)</f>
        <v>0</v>
      </c>
      <c r="R37" s="42" t="n">
        <f aca="false">IF(ISNUMBER(MATCH(D37,Customer_Master!$A$2:$A$49,0)),0,1)</f>
        <v>0</v>
      </c>
      <c r="S37" s="42" t="n">
        <f aca="false">IF(ISNUMBER(MATCH(B37,Calendar!$A$2:$A$25,0)),0,1)</f>
        <v>0</v>
      </c>
      <c r="T37" s="42" t="n">
        <f aca="false">IF(COUNTIF(Sales_Transactions!$A$2:$A$865,A37)&gt;1,1,0)</f>
        <v>0</v>
      </c>
      <c r="U37" s="42" t="n">
        <f aca="false">IF(OR(ABS(Sales_Transactions!F37*Sales_Transactions!G37-Sales_Transactions!I37)&gt;0.01,ABS(Sales_Transactions!F37*Sales_Transactions!H37-Sales_Transactions!J37)&gt;0.01,ABS(Sales_Transactions!I37-Sales_Transactions!J37-Sales_Transactions!K37)&gt;0.01),1,0)</f>
        <v>0</v>
      </c>
      <c r="V37" s="42" t="n">
        <f aca="false">IF(C37&lt;&gt;L37,1,0)</f>
        <v>0</v>
      </c>
      <c r="W37" s="42" t="n">
        <f aca="false">IF(SUM(Q37:V37)&gt;0,1,0)</f>
        <v>0</v>
      </c>
    </row>
    <row r="38" customFormat="false" ht="15" hidden="false" customHeight="false" outlineLevel="0" collapsed="false">
      <c r="A38" s="42" t="str">
        <f aca="false">Sales_Transactions!A38</f>
        <v>INV-02-001</v>
      </c>
      <c r="B38" s="42" t="str">
        <f aca="false">Sales_Transactions!B38</f>
        <v>2025-02</v>
      </c>
      <c r="C38" s="42" t="str">
        <f aca="false">Sales_Transactions!C38</f>
        <v>Actual</v>
      </c>
      <c r="D38" s="42" t="str">
        <f aca="false">Sales_Transactions!D38</f>
        <v>C004</v>
      </c>
      <c r="E38" s="42" t="str">
        <f aca="false">Sales_Transactions!E38</f>
        <v>P002</v>
      </c>
      <c r="F38" s="42" t="str">
        <f aca="false">IFERROR(INDEX(Customer_Master!$C$2:$C$49,MATCH(D38,Customer_Master!$A$2:$A$49,0)),"UNMATCHED")</f>
        <v>East</v>
      </c>
      <c r="G38" s="42" t="str">
        <f aca="false">IFERROR(INDEX(Customer_Master!$D$2:$D$49,MATCH(D38,Customer_Master!$A$2:$A$49,0)),"UNMATCHED")</f>
        <v>Distributor</v>
      </c>
      <c r="H38" s="42" t="str">
        <f aca="false">IFERROR(INDEX(Product_Master!$C$2:$C$9,MATCH(E38,Product_Master!$A$2:$A$9,0)),"UNMATCHED")</f>
        <v>Home Care</v>
      </c>
      <c r="I38" s="42" t="str">
        <f aca="false">IFERROR(INDEX(Product_Master!$B$2:$B$9,MATCH(E38,Product_Master!$A$2:$A$9,0)),"UNMATCHED")</f>
        <v>Dishwash Gel</v>
      </c>
      <c r="J38" s="42" t="n">
        <f aca="false">IFERROR(INDEX(Calendar!$B$2:$B$25,MATCH(B38,Calendar!$A$2:$A$25,0)),0)</f>
        <v>2025</v>
      </c>
      <c r="K38" s="42" t="n">
        <f aca="false">IFERROR(VALUE(RIGHT(B38,2)),0)</f>
        <v>2</v>
      </c>
      <c r="L38" s="42" t="str">
        <f aca="false">IFERROR(INDEX(Calendar!$E$2:$E$25,MATCH(B38,Calendar!$A$2:$A$25,0)),"UNMATCHED")</f>
        <v>Actual</v>
      </c>
      <c r="M38" s="42" t="n">
        <f aca="false">Sales_Transactions!F38</f>
        <v>280</v>
      </c>
      <c r="N38" s="52" t="n">
        <f aca="false">Sales_Transactions!I38</f>
        <v>39278.4</v>
      </c>
      <c r="O38" s="52" t="n">
        <f aca="false">Sales_Transactions!J38</f>
        <v>23332.4</v>
      </c>
      <c r="P38" s="52" t="n">
        <f aca="false">Sales_Transactions!K38</f>
        <v>15946</v>
      </c>
      <c r="Q38" s="42" t="n">
        <f aca="false">IF(ISNUMBER(MATCH(E38,Product_Master!$A$2:$A$9,0)),0,1)</f>
        <v>0</v>
      </c>
      <c r="R38" s="42" t="n">
        <f aca="false">IF(ISNUMBER(MATCH(D38,Customer_Master!$A$2:$A$49,0)),0,1)</f>
        <v>0</v>
      </c>
      <c r="S38" s="42" t="n">
        <f aca="false">IF(ISNUMBER(MATCH(B38,Calendar!$A$2:$A$25,0)),0,1)</f>
        <v>0</v>
      </c>
      <c r="T38" s="42" t="n">
        <f aca="false">IF(COUNTIF(Sales_Transactions!$A$2:$A$865,A38)&gt;1,1,0)</f>
        <v>0</v>
      </c>
      <c r="U38" s="42" t="n">
        <f aca="false">IF(OR(ABS(Sales_Transactions!F38*Sales_Transactions!G38-Sales_Transactions!I38)&gt;0.01,ABS(Sales_Transactions!F38*Sales_Transactions!H38-Sales_Transactions!J38)&gt;0.01,ABS(Sales_Transactions!I38-Sales_Transactions!J38-Sales_Transactions!K38)&gt;0.01),1,0)</f>
        <v>0</v>
      </c>
      <c r="V38" s="42" t="n">
        <f aca="false">IF(C38&lt;&gt;L38,1,0)</f>
        <v>0</v>
      </c>
      <c r="W38" s="42" t="n">
        <f aca="false">IF(SUM(Q38:V38)&gt;0,1,0)</f>
        <v>0</v>
      </c>
    </row>
    <row r="39" customFormat="false" ht="15" hidden="false" customHeight="false" outlineLevel="0" collapsed="false">
      <c r="A39" s="42" t="str">
        <f aca="false">Sales_Transactions!A39</f>
        <v>INV-02-002</v>
      </c>
      <c r="B39" s="42" t="str">
        <f aca="false">Sales_Transactions!B39</f>
        <v>2025-02</v>
      </c>
      <c r="C39" s="42" t="str">
        <f aca="false">Sales_Transactions!C39</f>
        <v>Actual</v>
      </c>
      <c r="D39" s="42" t="str">
        <f aca="false">Sales_Transactions!D39</f>
        <v>C011</v>
      </c>
      <c r="E39" s="42" t="str">
        <f aca="false">Sales_Transactions!E39</f>
        <v>P007</v>
      </c>
      <c r="F39" s="42" t="str">
        <f aca="false">IFERROR(INDEX(Customer_Master!$C$2:$C$49,MATCH(D39,Customer_Master!$A$2:$A$49,0)),"UNMATCHED")</f>
        <v>West</v>
      </c>
      <c r="G39" s="42" t="str">
        <f aca="false">IFERROR(INDEX(Customer_Master!$D$2:$D$49,MATCH(D39,Customer_Master!$A$2:$A$49,0)),"UNMATCHED")</f>
        <v>Modern Trade</v>
      </c>
      <c r="H39" s="42" t="str">
        <f aca="false">IFERROR(INDEX(Product_Master!$C$2:$C$9,MATCH(E39,Product_Master!$A$2:$A$9,0)),"UNMATCHED")</f>
        <v>Home Care</v>
      </c>
      <c r="I39" s="42" t="str">
        <f aca="false">IFERROR(INDEX(Product_Master!$B$2:$B$9,MATCH(E39,Product_Master!$A$2:$A$9,0)),"UNMATCHED")</f>
        <v>Floor Cleaner</v>
      </c>
      <c r="J39" s="42" t="n">
        <f aca="false">IFERROR(INDEX(Calendar!$B$2:$B$25,MATCH(B39,Calendar!$A$2:$A$25,0)),0)</f>
        <v>2025</v>
      </c>
      <c r="K39" s="42" t="n">
        <f aca="false">IFERROR(VALUE(RIGHT(B39,2)),0)</f>
        <v>2</v>
      </c>
      <c r="L39" s="42" t="str">
        <f aca="false">IFERROR(INDEX(Calendar!$E$2:$E$25,MATCH(B39,Calendar!$A$2:$A$25,0)),"UNMATCHED")</f>
        <v>Actual</v>
      </c>
      <c r="M39" s="42" t="n">
        <f aca="false">Sales_Transactions!F39</f>
        <v>213</v>
      </c>
      <c r="N39" s="52" t="n">
        <f aca="false">Sales_Transactions!I39</f>
        <v>41128.17</v>
      </c>
      <c r="O39" s="52" t="n">
        <f aca="false">Sales_Transactions!J39</f>
        <v>25366.17</v>
      </c>
      <c r="P39" s="52" t="n">
        <f aca="false">Sales_Transactions!K39</f>
        <v>15762</v>
      </c>
      <c r="Q39" s="42" t="n">
        <f aca="false">IF(ISNUMBER(MATCH(E39,Product_Master!$A$2:$A$9,0)),0,1)</f>
        <v>0</v>
      </c>
      <c r="R39" s="42" t="n">
        <f aca="false">IF(ISNUMBER(MATCH(D39,Customer_Master!$A$2:$A$49,0)),0,1)</f>
        <v>0</v>
      </c>
      <c r="S39" s="42" t="n">
        <f aca="false">IF(ISNUMBER(MATCH(B39,Calendar!$A$2:$A$25,0)),0,1)</f>
        <v>0</v>
      </c>
      <c r="T39" s="42" t="n">
        <f aca="false">IF(COUNTIF(Sales_Transactions!$A$2:$A$865,A39)&gt;1,1,0)</f>
        <v>0</v>
      </c>
      <c r="U39" s="42" t="n">
        <f aca="false">IF(OR(ABS(Sales_Transactions!F39*Sales_Transactions!G39-Sales_Transactions!I39)&gt;0.01,ABS(Sales_Transactions!F39*Sales_Transactions!H39-Sales_Transactions!J39)&gt;0.01,ABS(Sales_Transactions!I39-Sales_Transactions!J39-Sales_Transactions!K39)&gt;0.01),1,0)</f>
        <v>0</v>
      </c>
      <c r="V39" s="42" t="n">
        <f aca="false">IF(C39&lt;&gt;L39,1,0)</f>
        <v>0</v>
      </c>
      <c r="W39" s="42" t="n">
        <f aca="false">IF(SUM(Q39:V39)&gt;0,1,0)</f>
        <v>0</v>
      </c>
    </row>
    <row r="40" customFormat="false" ht="15" hidden="false" customHeight="false" outlineLevel="0" collapsed="false">
      <c r="A40" s="42" t="str">
        <f aca="false">Sales_Transactions!A40</f>
        <v>INV-02-003</v>
      </c>
      <c r="B40" s="42" t="str">
        <f aca="false">Sales_Transactions!B40</f>
        <v>2025-02</v>
      </c>
      <c r="C40" s="42" t="str">
        <f aca="false">Sales_Transactions!C40</f>
        <v>Actual</v>
      </c>
      <c r="D40" s="42" t="str">
        <f aca="false">Sales_Transactions!D40</f>
        <v>C018</v>
      </c>
      <c r="E40" s="42" t="str">
        <f aca="false">Sales_Transactions!E40</f>
        <v>P004</v>
      </c>
      <c r="F40" s="42" t="str">
        <f aca="false">IFERROR(INDEX(Customer_Master!$C$2:$C$49,MATCH(D40,Customer_Master!$A$2:$A$49,0)),"UNMATCHED")</f>
        <v>North</v>
      </c>
      <c r="G40" s="42" t="str">
        <f aca="false">IFERROR(INDEX(Customer_Master!$D$2:$D$49,MATCH(D40,Customer_Master!$A$2:$A$49,0)),"UNMATCHED")</f>
        <v>Retail</v>
      </c>
      <c r="H40" s="42" t="str">
        <f aca="false">IFERROR(INDEX(Product_Master!$C$2:$C$9,MATCH(E40,Product_Master!$A$2:$A$9,0)),"UNMATCHED")</f>
        <v>Personal Care</v>
      </c>
      <c r="I40" s="42" t="str">
        <f aca="false">IFERROR(INDEX(Product_Master!$B$2:$B$9,MATCH(E40,Product_Master!$A$2:$A$9,0)),"UNMATCHED")</f>
        <v>Soap 4-pack</v>
      </c>
      <c r="J40" s="42" t="n">
        <f aca="false">IFERROR(INDEX(Calendar!$B$2:$B$25,MATCH(B40,Calendar!$A$2:$A$25,0)),0)</f>
        <v>2025</v>
      </c>
      <c r="K40" s="42" t="n">
        <f aca="false">IFERROR(VALUE(RIGHT(B40,2)),0)</f>
        <v>2</v>
      </c>
      <c r="L40" s="42" t="str">
        <f aca="false">IFERROR(INDEX(Calendar!$E$2:$E$25,MATCH(B40,Calendar!$A$2:$A$25,0)),"UNMATCHED")</f>
        <v>Actual</v>
      </c>
      <c r="M40" s="42" t="n">
        <f aca="false">Sales_Transactions!F40</f>
        <v>90</v>
      </c>
      <c r="N40" s="52" t="n">
        <f aca="false">Sales_Transactions!I40</f>
        <v>15410.7</v>
      </c>
      <c r="O40" s="52" t="n">
        <f aca="false">Sales_Transactions!J40</f>
        <v>8413.2</v>
      </c>
      <c r="P40" s="52" t="n">
        <f aca="false">Sales_Transactions!K40</f>
        <v>6997.5</v>
      </c>
      <c r="Q40" s="42" t="n">
        <f aca="false">IF(ISNUMBER(MATCH(E40,Product_Master!$A$2:$A$9,0)),0,1)</f>
        <v>0</v>
      </c>
      <c r="R40" s="42" t="n">
        <f aca="false">IF(ISNUMBER(MATCH(D40,Customer_Master!$A$2:$A$49,0)),0,1)</f>
        <v>0</v>
      </c>
      <c r="S40" s="42" t="n">
        <f aca="false">IF(ISNUMBER(MATCH(B40,Calendar!$A$2:$A$25,0)),0,1)</f>
        <v>0</v>
      </c>
      <c r="T40" s="42" t="n">
        <f aca="false">IF(COUNTIF(Sales_Transactions!$A$2:$A$865,A40)&gt;1,1,0)</f>
        <v>0</v>
      </c>
      <c r="U40" s="42" t="n">
        <f aca="false">IF(OR(ABS(Sales_Transactions!F40*Sales_Transactions!G40-Sales_Transactions!I40)&gt;0.01,ABS(Sales_Transactions!F40*Sales_Transactions!H40-Sales_Transactions!J40)&gt;0.01,ABS(Sales_Transactions!I40-Sales_Transactions!J40-Sales_Transactions!K40)&gt;0.01),1,0)</f>
        <v>0</v>
      </c>
      <c r="V40" s="42" t="n">
        <f aca="false">IF(C40&lt;&gt;L40,1,0)</f>
        <v>0</v>
      </c>
      <c r="W40" s="42" t="n">
        <f aca="false">IF(SUM(Q40:V40)&gt;0,1,0)</f>
        <v>0</v>
      </c>
    </row>
    <row r="41" customFormat="false" ht="15" hidden="false" customHeight="false" outlineLevel="0" collapsed="false">
      <c r="A41" s="42" t="str">
        <f aca="false">Sales_Transactions!A41</f>
        <v>INV-02-004</v>
      </c>
      <c r="B41" s="42" t="str">
        <f aca="false">Sales_Transactions!B41</f>
        <v>2025-02</v>
      </c>
      <c r="C41" s="42" t="str">
        <f aca="false">Sales_Transactions!C41</f>
        <v>Actual</v>
      </c>
      <c r="D41" s="42" t="str">
        <f aca="false">Sales_Transactions!D41</f>
        <v>C025</v>
      </c>
      <c r="E41" s="42" t="str">
        <f aca="false">Sales_Transactions!E41</f>
        <v>P001</v>
      </c>
      <c r="F41" s="42" t="str">
        <f aca="false">IFERROR(INDEX(Customer_Master!$C$2:$C$49,MATCH(D41,Customer_Master!$A$2:$A$49,0)),"UNMATCHED")</f>
        <v>South</v>
      </c>
      <c r="G41" s="42" t="str">
        <f aca="false">IFERROR(INDEX(Customer_Master!$D$2:$D$49,MATCH(D41,Customer_Master!$A$2:$A$49,0)),"UNMATCHED")</f>
        <v>Distributor</v>
      </c>
      <c r="H41" s="42" t="str">
        <f aca="false">IFERROR(INDEX(Product_Master!$C$2:$C$9,MATCH(E41,Product_Master!$A$2:$A$9,0)),"UNMATCHED")</f>
        <v>Home Care</v>
      </c>
      <c r="I41" s="42" t="str">
        <f aca="false">IFERROR(INDEX(Product_Master!$B$2:$B$9,MATCH(E41,Product_Master!$A$2:$A$9,0)),"UNMATCHED")</f>
        <v>Detergent 1kg</v>
      </c>
      <c r="J41" s="42" t="n">
        <f aca="false">IFERROR(INDEX(Calendar!$B$2:$B$25,MATCH(B41,Calendar!$A$2:$A$25,0)),0)</f>
        <v>2025</v>
      </c>
      <c r="K41" s="42" t="n">
        <f aca="false">IFERROR(VALUE(RIGHT(B41,2)),0)</f>
        <v>2</v>
      </c>
      <c r="L41" s="42" t="str">
        <f aca="false">IFERROR(INDEX(Calendar!$E$2:$E$25,MATCH(B41,Calendar!$A$2:$A$25,0)),"UNMATCHED")</f>
        <v>Actual</v>
      </c>
      <c r="M41" s="42" t="n">
        <f aca="false">Sales_Transactions!F41</f>
        <v>359</v>
      </c>
      <c r="N41" s="52" t="n">
        <f aca="false">Sales_Transactions!I41</f>
        <v>74456.6</v>
      </c>
      <c r="O41" s="52" t="n">
        <f aca="false">Sales_Transactions!J41</f>
        <v>49861.51</v>
      </c>
      <c r="P41" s="52" t="n">
        <f aca="false">Sales_Transactions!K41</f>
        <v>24595.09</v>
      </c>
      <c r="Q41" s="42" t="n">
        <f aca="false">IF(ISNUMBER(MATCH(E41,Product_Master!$A$2:$A$9,0)),0,1)</f>
        <v>0</v>
      </c>
      <c r="R41" s="42" t="n">
        <f aca="false">IF(ISNUMBER(MATCH(D41,Customer_Master!$A$2:$A$49,0)),0,1)</f>
        <v>0</v>
      </c>
      <c r="S41" s="42" t="n">
        <f aca="false">IF(ISNUMBER(MATCH(B41,Calendar!$A$2:$A$25,0)),0,1)</f>
        <v>0</v>
      </c>
      <c r="T41" s="42" t="n">
        <f aca="false">IF(COUNTIF(Sales_Transactions!$A$2:$A$865,A41)&gt;1,1,0)</f>
        <v>0</v>
      </c>
      <c r="U41" s="42" t="n">
        <f aca="false">IF(OR(ABS(Sales_Transactions!F41*Sales_Transactions!G41-Sales_Transactions!I41)&gt;0.01,ABS(Sales_Transactions!F41*Sales_Transactions!H41-Sales_Transactions!J41)&gt;0.01,ABS(Sales_Transactions!I41-Sales_Transactions!J41-Sales_Transactions!K41)&gt;0.01),1,0)</f>
        <v>0</v>
      </c>
      <c r="V41" s="42" t="n">
        <f aca="false">IF(C41&lt;&gt;L41,1,0)</f>
        <v>0</v>
      </c>
      <c r="W41" s="42" t="n">
        <f aca="false">IF(SUM(Q41:V41)&gt;0,1,0)</f>
        <v>0</v>
      </c>
    </row>
    <row r="42" customFormat="false" ht="15" hidden="false" customHeight="false" outlineLevel="0" collapsed="false">
      <c r="A42" s="42" t="str">
        <f aca="false">Sales_Transactions!A42</f>
        <v>INV-02-005</v>
      </c>
      <c r="B42" s="42" t="str">
        <f aca="false">Sales_Transactions!B42</f>
        <v>2025-02</v>
      </c>
      <c r="C42" s="42" t="str">
        <f aca="false">Sales_Transactions!C42</f>
        <v>Actual</v>
      </c>
      <c r="D42" s="42" t="str">
        <f aca="false">Sales_Transactions!D42</f>
        <v>C032</v>
      </c>
      <c r="E42" s="42" t="str">
        <f aca="false">Sales_Transactions!E42</f>
        <v>P006</v>
      </c>
      <c r="F42" s="42" t="str">
        <f aca="false">IFERROR(INDEX(Customer_Master!$C$2:$C$49,MATCH(D42,Customer_Master!$A$2:$A$49,0)),"UNMATCHED")</f>
        <v>East</v>
      </c>
      <c r="G42" s="42" t="str">
        <f aca="false">IFERROR(INDEX(Customer_Master!$D$2:$D$49,MATCH(D42,Customer_Master!$A$2:$A$49,0)),"UNMATCHED")</f>
        <v>Modern Trade</v>
      </c>
      <c r="H42" s="42" t="str">
        <f aca="false">IFERROR(INDEX(Product_Master!$C$2:$C$9,MATCH(E42,Product_Master!$A$2:$A$9,0)),"UNMATCHED")</f>
        <v>Foods</v>
      </c>
      <c r="I42" s="42" t="str">
        <f aca="false">IFERROR(INDEX(Product_Master!$B$2:$B$9,MATCH(E42,Product_Master!$A$2:$A$9,0)),"UNMATCHED")</f>
        <v>Breakfast Cereal</v>
      </c>
      <c r="J42" s="42" t="n">
        <f aca="false">IFERROR(INDEX(Calendar!$B$2:$B$25,MATCH(B42,Calendar!$A$2:$A$25,0)),0)</f>
        <v>2025</v>
      </c>
      <c r="K42" s="42" t="n">
        <f aca="false">IFERROR(VALUE(RIGHT(B42,2)),0)</f>
        <v>2</v>
      </c>
      <c r="L42" s="42" t="str">
        <f aca="false">IFERROR(INDEX(Calendar!$E$2:$E$25,MATCH(B42,Calendar!$A$2:$A$25,0)),"UNMATCHED")</f>
        <v>Actual</v>
      </c>
      <c r="M42" s="42" t="n">
        <f aca="false">Sales_Transactions!F42</f>
        <v>259</v>
      </c>
      <c r="N42" s="52" t="n">
        <f aca="false">Sales_Transactions!I42</f>
        <v>59738.35</v>
      </c>
      <c r="O42" s="52" t="n">
        <f aca="false">Sales_Transactions!J42</f>
        <v>40896.1</v>
      </c>
      <c r="P42" s="52" t="n">
        <f aca="false">Sales_Transactions!K42</f>
        <v>18842.25</v>
      </c>
      <c r="Q42" s="42" t="n">
        <f aca="false">IF(ISNUMBER(MATCH(E42,Product_Master!$A$2:$A$9,0)),0,1)</f>
        <v>0</v>
      </c>
      <c r="R42" s="42" t="n">
        <f aca="false">IF(ISNUMBER(MATCH(D42,Customer_Master!$A$2:$A$49,0)),0,1)</f>
        <v>0</v>
      </c>
      <c r="S42" s="42" t="n">
        <f aca="false">IF(ISNUMBER(MATCH(B42,Calendar!$A$2:$A$25,0)),0,1)</f>
        <v>0</v>
      </c>
      <c r="T42" s="42" t="n">
        <f aca="false">IF(COUNTIF(Sales_Transactions!$A$2:$A$865,A42)&gt;1,1,0)</f>
        <v>0</v>
      </c>
      <c r="U42" s="42" t="n">
        <f aca="false">IF(OR(ABS(Sales_Transactions!F42*Sales_Transactions!G42-Sales_Transactions!I42)&gt;0.01,ABS(Sales_Transactions!F42*Sales_Transactions!H42-Sales_Transactions!J42)&gt;0.01,ABS(Sales_Transactions!I42-Sales_Transactions!J42-Sales_Transactions!K42)&gt;0.01),1,0)</f>
        <v>0</v>
      </c>
      <c r="V42" s="42" t="n">
        <f aca="false">IF(C42&lt;&gt;L42,1,0)</f>
        <v>0</v>
      </c>
      <c r="W42" s="42" t="n">
        <f aca="false">IF(SUM(Q42:V42)&gt;0,1,0)</f>
        <v>0</v>
      </c>
    </row>
    <row r="43" customFormat="false" ht="15" hidden="false" customHeight="false" outlineLevel="0" collapsed="false">
      <c r="A43" s="42" t="str">
        <f aca="false">Sales_Transactions!A43</f>
        <v>INV-02-006</v>
      </c>
      <c r="B43" s="42" t="str">
        <f aca="false">Sales_Transactions!B43</f>
        <v>2025-02</v>
      </c>
      <c r="C43" s="42" t="str">
        <f aca="false">Sales_Transactions!C43</f>
        <v>Actual</v>
      </c>
      <c r="D43" s="42" t="str">
        <f aca="false">Sales_Transactions!D43</f>
        <v>C039</v>
      </c>
      <c r="E43" s="42" t="str">
        <f aca="false">Sales_Transactions!E43</f>
        <v>P003</v>
      </c>
      <c r="F43" s="42" t="str">
        <f aca="false">IFERROR(INDEX(Customer_Master!$C$2:$C$49,MATCH(D43,Customer_Master!$A$2:$A$49,0)),"UNMATCHED")</f>
        <v>West</v>
      </c>
      <c r="G43" s="42" t="str">
        <f aca="false">IFERROR(INDEX(Customer_Master!$D$2:$D$49,MATCH(D43,Customer_Master!$A$2:$A$49,0)),"UNMATCHED")</f>
        <v>Retail</v>
      </c>
      <c r="H43" s="42" t="str">
        <f aca="false">IFERROR(INDEX(Product_Master!$C$2:$C$9,MATCH(E43,Product_Master!$A$2:$A$9,0)),"UNMATCHED")</f>
        <v>Personal Care</v>
      </c>
      <c r="I43" s="42" t="str">
        <f aca="false">IFERROR(INDEX(Product_Master!$B$2:$B$9,MATCH(E43,Product_Master!$A$2:$A$9,0)),"UNMATCHED")</f>
        <v>Shampoo 400ml</v>
      </c>
      <c r="J43" s="42" t="n">
        <f aca="false">IFERROR(INDEX(Calendar!$B$2:$B$25,MATCH(B43,Calendar!$A$2:$A$25,0)),0)</f>
        <v>2025</v>
      </c>
      <c r="K43" s="42" t="n">
        <f aca="false">IFERROR(VALUE(RIGHT(B43,2)),0)</f>
        <v>2</v>
      </c>
      <c r="L43" s="42" t="str">
        <f aca="false">IFERROR(INDEX(Calendar!$E$2:$E$25,MATCH(B43,Calendar!$A$2:$A$25,0)),"UNMATCHED")</f>
        <v>Actual</v>
      </c>
      <c r="M43" s="42" t="n">
        <f aca="false">Sales_Transactions!F43</f>
        <v>317</v>
      </c>
      <c r="N43" s="52" t="n">
        <f aca="false">Sales_Transactions!I43</f>
        <v>79034.44</v>
      </c>
      <c r="O43" s="52" t="n">
        <f aca="false">Sales_Transactions!J43</f>
        <v>56736.66</v>
      </c>
      <c r="P43" s="52" t="n">
        <f aca="false">Sales_Transactions!K43</f>
        <v>22297.78</v>
      </c>
      <c r="Q43" s="42" t="n">
        <f aca="false">IF(ISNUMBER(MATCH(E43,Product_Master!$A$2:$A$9,0)),0,1)</f>
        <v>0</v>
      </c>
      <c r="R43" s="42" t="n">
        <f aca="false">IF(ISNUMBER(MATCH(D43,Customer_Master!$A$2:$A$49,0)),0,1)</f>
        <v>0</v>
      </c>
      <c r="S43" s="42" t="n">
        <f aca="false">IF(ISNUMBER(MATCH(B43,Calendar!$A$2:$A$25,0)),0,1)</f>
        <v>0</v>
      </c>
      <c r="T43" s="42" t="n">
        <f aca="false">IF(COUNTIF(Sales_Transactions!$A$2:$A$865,A43)&gt;1,1,0)</f>
        <v>0</v>
      </c>
      <c r="U43" s="42" t="n">
        <f aca="false">IF(OR(ABS(Sales_Transactions!F43*Sales_Transactions!G43-Sales_Transactions!I43)&gt;0.01,ABS(Sales_Transactions!F43*Sales_Transactions!H43-Sales_Transactions!J43)&gt;0.01,ABS(Sales_Transactions!I43-Sales_Transactions!J43-Sales_Transactions!K43)&gt;0.01),1,0)</f>
        <v>0</v>
      </c>
      <c r="V43" s="42" t="n">
        <f aca="false">IF(C43&lt;&gt;L43,1,0)</f>
        <v>0</v>
      </c>
      <c r="W43" s="42" t="n">
        <f aca="false">IF(SUM(Q43:V43)&gt;0,1,0)</f>
        <v>0</v>
      </c>
    </row>
    <row r="44" customFormat="false" ht="15" hidden="false" customHeight="false" outlineLevel="0" collapsed="false">
      <c r="A44" s="42" t="str">
        <f aca="false">Sales_Transactions!A44</f>
        <v>INV-02-007</v>
      </c>
      <c r="B44" s="42" t="str">
        <f aca="false">Sales_Transactions!B44</f>
        <v>2025-02</v>
      </c>
      <c r="C44" s="42" t="str">
        <f aca="false">Sales_Transactions!C44</f>
        <v>Actual</v>
      </c>
      <c r="D44" s="42" t="str">
        <f aca="false">Sales_Transactions!D44</f>
        <v>C046</v>
      </c>
      <c r="E44" s="42" t="str">
        <f aca="false">Sales_Transactions!E44</f>
        <v>P008</v>
      </c>
      <c r="F44" s="42" t="str">
        <f aca="false">IFERROR(INDEX(Customer_Master!$C$2:$C$49,MATCH(D44,Customer_Master!$A$2:$A$49,0)),"UNMATCHED")</f>
        <v>North</v>
      </c>
      <c r="G44" s="42" t="str">
        <f aca="false">IFERROR(INDEX(Customer_Master!$D$2:$D$49,MATCH(D44,Customer_Master!$A$2:$A$49,0)),"UNMATCHED")</f>
        <v>Distributor</v>
      </c>
      <c r="H44" s="42" t="str">
        <f aca="false">IFERROR(INDEX(Product_Master!$C$2:$C$9,MATCH(E44,Product_Master!$A$2:$A$9,0)),"UNMATCHED")</f>
        <v>Personal Care</v>
      </c>
      <c r="I44" s="42" t="str">
        <f aca="false">IFERROR(INDEX(Product_Master!$B$2:$B$9,MATCH(E44,Product_Master!$A$2:$A$9,0)),"UNMATCHED")</f>
        <v>Body Lotion</v>
      </c>
      <c r="J44" s="42" t="n">
        <f aca="false">IFERROR(INDEX(Calendar!$B$2:$B$25,MATCH(B44,Calendar!$A$2:$A$25,0)),0)</f>
        <v>2025</v>
      </c>
      <c r="K44" s="42" t="n">
        <f aca="false">IFERROR(VALUE(RIGHT(B44,2)),0)</f>
        <v>2</v>
      </c>
      <c r="L44" s="42" t="str">
        <f aca="false">IFERROR(INDEX(Calendar!$E$2:$E$25,MATCH(B44,Calendar!$A$2:$A$25,0)),"UNMATCHED")</f>
        <v>Actual</v>
      </c>
      <c r="M44" s="42" t="n">
        <f aca="false">Sales_Transactions!F44</f>
        <v>453</v>
      </c>
      <c r="N44" s="52" t="n">
        <f aca="false">Sales_Transactions!I44</f>
        <v>136072.14</v>
      </c>
      <c r="O44" s="52" t="n">
        <f aca="false">Sales_Transactions!J44</f>
        <v>93340.65</v>
      </c>
      <c r="P44" s="52" t="n">
        <f aca="false">Sales_Transactions!K44</f>
        <v>42731.49</v>
      </c>
      <c r="Q44" s="42" t="n">
        <f aca="false">IF(ISNUMBER(MATCH(E44,Product_Master!$A$2:$A$9,0)),0,1)</f>
        <v>0</v>
      </c>
      <c r="R44" s="42" t="n">
        <f aca="false">IF(ISNUMBER(MATCH(D44,Customer_Master!$A$2:$A$49,0)),0,1)</f>
        <v>0</v>
      </c>
      <c r="S44" s="42" t="n">
        <f aca="false">IF(ISNUMBER(MATCH(B44,Calendar!$A$2:$A$25,0)),0,1)</f>
        <v>0</v>
      </c>
      <c r="T44" s="42" t="n">
        <f aca="false">IF(COUNTIF(Sales_Transactions!$A$2:$A$865,A44)&gt;1,1,0)</f>
        <v>0</v>
      </c>
      <c r="U44" s="42" t="n">
        <f aca="false">IF(OR(ABS(Sales_Transactions!F44*Sales_Transactions!G44-Sales_Transactions!I44)&gt;0.01,ABS(Sales_Transactions!F44*Sales_Transactions!H44-Sales_Transactions!J44)&gt;0.01,ABS(Sales_Transactions!I44-Sales_Transactions!J44-Sales_Transactions!K44)&gt;0.01),1,0)</f>
        <v>0</v>
      </c>
      <c r="V44" s="42" t="n">
        <f aca="false">IF(C44&lt;&gt;L44,1,0)</f>
        <v>0</v>
      </c>
      <c r="W44" s="42" t="n">
        <f aca="false">IF(SUM(Q44:V44)&gt;0,1,0)</f>
        <v>0</v>
      </c>
    </row>
    <row r="45" customFormat="false" ht="15" hidden="false" customHeight="false" outlineLevel="0" collapsed="false">
      <c r="A45" s="42" t="str">
        <f aca="false">Sales_Transactions!A45</f>
        <v>INV-02-008</v>
      </c>
      <c r="B45" s="42" t="str">
        <f aca="false">Sales_Transactions!B45</f>
        <v>2025-02</v>
      </c>
      <c r="C45" s="42" t="str">
        <f aca="false">Sales_Transactions!C45</f>
        <v>Actual</v>
      </c>
      <c r="D45" s="42" t="str">
        <f aca="false">Sales_Transactions!D45</f>
        <v>C005</v>
      </c>
      <c r="E45" s="42" t="str">
        <f aca="false">Sales_Transactions!E45</f>
        <v>P005</v>
      </c>
      <c r="F45" s="42" t="str">
        <f aca="false">IFERROR(INDEX(Customer_Master!$C$2:$C$49,MATCH(D45,Customer_Master!$A$2:$A$49,0)),"UNMATCHED")</f>
        <v>South</v>
      </c>
      <c r="G45" s="42" t="str">
        <f aca="false">IFERROR(INDEX(Customer_Master!$D$2:$D$49,MATCH(D45,Customer_Master!$A$2:$A$49,0)),"UNMATCHED")</f>
        <v>Modern Trade</v>
      </c>
      <c r="H45" s="42" t="str">
        <f aca="false">IFERROR(INDEX(Product_Master!$C$2:$C$9,MATCH(E45,Product_Master!$A$2:$A$9,0)),"UNMATCHED")</f>
        <v>Foods</v>
      </c>
      <c r="I45" s="42" t="str">
        <f aca="false">IFERROR(INDEX(Product_Master!$B$2:$B$9,MATCH(E45,Product_Master!$A$2:$A$9,0)),"UNMATCHED")</f>
        <v>Biscuits 500g</v>
      </c>
      <c r="J45" s="42" t="n">
        <f aca="false">IFERROR(INDEX(Calendar!$B$2:$B$25,MATCH(B45,Calendar!$A$2:$A$25,0)),0)</f>
        <v>2025</v>
      </c>
      <c r="K45" s="42" t="n">
        <f aca="false">IFERROR(VALUE(RIGHT(B45,2)),0)</f>
        <v>2</v>
      </c>
      <c r="L45" s="42" t="str">
        <f aca="false">IFERROR(INDEX(Calendar!$E$2:$E$25,MATCH(B45,Calendar!$A$2:$A$25,0)),"UNMATCHED")</f>
        <v>Actual</v>
      </c>
      <c r="M45" s="42" t="n">
        <f aca="false">Sales_Transactions!F45</f>
        <v>176</v>
      </c>
      <c r="N45" s="52" t="n">
        <f aca="false">Sales_Transactions!I45</f>
        <v>18508.16</v>
      </c>
      <c r="O45" s="52" t="n">
        <f aca="false">Sales_Transactions!J45</f>
        <v>11471.68</v>
      </c>
      <c r="P45" s="52" t="n">
        <f aca="false">Sales_Transactions!K45</f>
        <v>7036.48</v>
      </c>
      <c r="Q45" s="42" t="n">
        <f aca="false">IF(ISNUMBER(MATCH(E45,Product_Master!$A$2:$A$9,0)),0,1)</f>
        <v>0</v>
      </c>
      <c r="R45" s="42" t="n">
        <f aca="false">IF(ISNUMBER(MATCH(D45,Customer_Master!$A$2:$A$49,0)),0,1)</f>
        <v>0</v>
      </c>
      <c r="S45" s="42" t="n">
        <f aca="false">IF(ISNUMBER(MATCH(B45,Calendar!$A$2:$A$25,0)),0,1)</f>
        <v>0</v>
      </c>
      <c r="T45" s="42" t="n">
        <f aca="false">IF(COUNTIF(Sales_Transactions!$A$2:$A$865,A45)&gt;1,1,0)</f>
        <v>0</v>
      </c>
      <c r="U45" s="42" t="n">
        <f aca="false">IF(OR(ABS(Sales_Transactions!F45*Sales_Transactions!G45-Sales_Transactions!I45)&gt;0.01,ABS(Sales_Transactions!F45*Sales_Transactions!H45-Sales_Transactions!J45)&gt;0.01,ABS(Sales_Transactions!I45-Sales_Transactions!J45-Sales_Transactions!K45)&gt;0.01),1,0)</f>
        <v>0</v>
      </c>
      <c r="V45" s="42" t="n">
        <f aca="false">IF(C45&lt;&gt;L45,1,0)</f>
        <v>0</v>
      </c>
      <c r="W45" s="42" t="n">
        <f aca="false">IF(SUM(Q45:V45)&gt;0,1,0)</f>
        <v>0</v>
      </c>
    </row>
    <row r="46" customFormat="false" ht="15" hidden="false" customHeight="false" outlineLevel="0" collapsed="false">
      <c r="A46" s="42" t="str">
        <f aca="false">Sales_Transactions!A46</f>
        <v>INV-02-009</v>
      </c>
      <c r="B46" s="42" t="str">
        <f aca="false">Sales_Transactions!B46</f>
        <v>2025-02</v>
      </c>
      <c r="C46" s="42" t="str">
        <f aca="false">Sales_Transactions!C46</f>
        <v>Actual</v>
      </c>
      <c r="D46" s="42" t="str">
        <f aca="false">Sales_Transactions!D46</f>
        <v>C012</v>
      </c>
      <c r="E46" s="42" t="str">
        <f aca="false">Sales_Transactions!E46</f>
        <v>P002</v>
      </c>
      <c r="F46" s="42" t="str">
        <f aca="false">IFERROR(INDEX(Customer_Master!$C$2:$C$49,MATCH(D46,Customer_Master!$A$2:$A$49,0)),"UNMATCHED")</f>
        <v>East</v>
      </c>
      <c r="G46" s="42" t="str">
        <f aca="false">IFERROR(INDEX(Customer_Master!$D$2:$D$49,MATCH(D46,Customer_Master!$A$2:$A$49,0)),"UNMATCHED")</f>
        <v>Retail</v>
      </c>
      <c r="H46" s="42" t="str">
        <f aca="false">IFERROR(INDEX(Product_Master!$C$2:$C$9,MATCH(E46,Product_Master!$A$2:$A$9,0)),"UNMATCHED")</f>
        <v>Home Care</v>
      </c>
      <c r="I46" s="42" t="str">
        <f aca="false">IFERROR(INDEX(Product_Master!$B$2:$B$9,MATCH(E46,Product_Master!$A$2:$A$9,0)),"UNMATCHED")</f>
        <v>Dishwash Gel</v>
      </c>
      <c r="J46" s="42" t="n">
        <f aca="false">IFERROR(INDEX(Calendar!$B$2:$B$25,MATCH(B46,Calendar!$A$2:$A$25,0)),0)</f>
        <v>2025</v>
      </c>
      <c r="K46" s="42" t="n">
        <f aca="false">IFERROR(VALUE(RIGHT(B46,2)),0)</f>
        <v>2</v>
      </c>
      <c r="L46" s="42" t="str">
        <f aca="false">IFERROR(INDEX(Calendar!$E$2:$E$25,MATCH(B46,Calendar!$A$2:$A$25,0)),"UNMATCHED")</f>
        <v>Actual</v>
      </c>
      <c r="M46" s="42" t="n">
        <f aca="false">Sales_Transactions!F46</f>
        <v>405</v>
      </c>
      <c r="N46" s="52" t="n">
        <f aca="false">Sales_Transactions!I46</f>
        <v>54545.4</v>
      </c>
      <c r="O46" s="52" t="n">
        <f aca="false">Sales_Transactions!J46</f>
        <v>34429.05</v>
      </c>
      <c r="P46" s="52" t="n">
        <f aca="false">Sales_Transactions!K46</f>
        <v>20116.35</v>
      </c>
      <c r="Q46" s="42" t="n">
        <f aca="false">IF(ISNUMBER(MATCH(E46,Product_Master!$A$2:$A$9,0)),0,1)</f>
        <v>0</v>
      </c>
      <c r="R46" s="42" t="n">
        <f aca="false">IF(ISNUMBER(MATCH(D46,Customer_Master!$A$2:$A$49,0)),0,1)</f>
        <v>0</v>
      </c>
      <c r="S46" s="42" t="n">
        <f aca="false">IF(ISNUMBER(MATCH(B46,Calendar!$A$2:$A$25,0)),0,1)</f>
        <v>0</v>
      </c>
      <c r="T46" s="42" t="n">
        <f aca="false">IF(COUNTIF(Sales_Transactions!$A$2:$A$865,A46)&gt;1,1,0)</f>
        <v>0</v>
      </c>
      <c r="U46" s="42" t="n">
        <f aca="false">IF(OR(ABS(Sales_Transactions!F46*Sales_Transactions!G46-Sales_Transactions!I46)&gt;0.01,ABS(Sales_Transactions!F46*Sales_Transactions!H46-Sales_Transactions!J46)&gt;0.01,ABS(Sales_Transactions!I46-Sales_Transactions!J46-Sales_Transactions!K46)&gt;0.01),1,0)</f>
        <v>0</v>
      </c>
      <c r="V46" s="42" t="n">
        <f aca="false">IF(C46&lt;&gt;L46,1,0)</f>
        <v>0</v>
      </c>
      <c r="W46" s="42" t="n">
        <f aca="false">IF(SUM(Q46:V46)&gt;0,1,0)</f>
        <v>0</v>
      </c>
    </row>
    <row r="47" customFormat="false" ht="15" hidden="false" customHeight="false" outlineLevel="0" collapsed="false">
      <c r="A47" s="42" t="str">
        <f aca="false">Sales_Transactions!A47</f>
        <v>INV-02-010</v>
      </c>
      <c r="B47" s="42" t="str">
        <f aca="false">Sales_Transactions!B47</f>
        <v>2025-02</v>
      </c>
      <c r="C47" s="42" t="str">
        <f aca="false">Sales_Transactions!C47</f>
        <v>Actual</v>
      </c>
      <c r="D47" s="42" t="str">
        <f aca="false">Sales_Transactions!D47</f>
        <v>C019</v>
      </c>
      <c r="E47" s="42" t="str">
        <f aca="false">Sales_Transactions!E47</f>
        <v>P007</v>
      </c>
      <c r="F47" s="42" t="str">
        <f aca="false">IFERROR(INDEX(Customer_Master!$C$2:$C$49,MATCH(D47,Customer_Master!$A$2:$A$49,0)),"UNMATCHED")</f>
        <v>West</v>
      </c>
      <c r="G47" s="42" t="str">
        <f aca="false">IFERROR(INDEX(Customer_Master!$D$2:$D$49,MATCH(D47,Customer_Master!$A$2:$A$49,0)),"UNMATCHED")</f>
        <v>Distributor</v>
      </c>
      <c r="H47" s="42" t="str">
        <f aca="false">IFERROR(INDEX(Product_Master!$C$2:$C$9,MATCH(E47,Product_Master!$A$2:$A$9,0)),"UNMATCHED")</f>
        <v>Home Care</v>
      </c>
      <c r="I47" s="42" t="str">
        <f aca="false">IFERROR(INDEX(Product_Master!$B$2:$B$9,MATCH(E47,Product_Master!$A$2:$A$9,0)),"UNMATCHED")</f>
        <v>Floor Cleaner</v>
      </c>
      <c r="J47" s="42" t="n">
        <f aca="false">IFERROR(INDEX(Calendar!$B$2:$B$25,MATCH(B47,Calendar!$A$2:$A$25,0)),0)</f>
        <v>2025</v>
      </c>
      <c r="K47" s="42" t="n">
        <f aca="false">IFERROR(VALUE(RIGHT(B47,2)),0)</f>
        <v>2</v>
      </c>
      <c r="L47" s="42" t="str">
        <f aca="false">IFERROR(INDEX(Calendar!$E$2:$E$25,MATCH(B47,Calendar!$A$2:$A$25,0)),"UNMATCHED")</f>
        <v>Actual</v>
      </c>
      <c r="M47" s="42" t="n">
        <f aca="false">Sales_Transactions!F47</f>
        <v>396</v>
      </c>
      <c r="N47" s="52" t="n">
        <f aca="false">Sales_Transactions!I47</f>
        <v>68907.96</v>
      </c>
      <c r="O47" s="52" t="n">
        <f aca="false">Sales_Transactions!J47</f>
        <v>44569.8</v>
      </c>
      <c r="P47" s="52" t="n">
        <f aca="false">Sales_Transactions!K47</f>
        <v>24338.16</v>
      </c>
      <c r="Q47" s="42" t="n">
        <f aca="false">IF(ISNUMBER(MATCH(E47,Product_Master!$A$2:$A$9,0)),0,1)</f>
        <v>0</v>
      </c>
      <c r="R47" s="42" t="n">
        <f aca="false">IF(ISNUMBER(MATCH(D47,Customer_Master!$A$2:$A$49,0)),0,1)</f>
        <v>0</v>
      </c>
      <c r="S47" s="42" t="n">
        <f aca="false">IF(ISNUMBER(MATCH(B47,Calendar!$A$2:$A$25,0)),0,1)</f>
        <v>0</v>
      </c>
      <c r="T47" s="42" t="n">
        <f aca="false">IF(COUNTIF(Sales_Transactions!$A$2:$A$865,A47)&gt;1,1,0)</f>
        <v>0</v>
      </c>
      <c r="U47" s="42" t="n">
        <f aca="false">IF(OR(ABS(Sales_Transactions!F47*Sales_Transactions!G47-Sales_Transactions!I47)&gt;0.01,ABS(Sales_Transactions!F47*Sales_Transactions!H47-Sales_Transactions!J47)&gt;0.01,ABS(Sales_Transactions!I47-Sales_Transactions!J47-Sales_Transactions!K47)&gt;0.01),1,0)</f>
        <v>0</v>
      </c>
      <c r="V47" s="42" t="n">
        <f aca="false">IF(C47&lt;&gt;L47,1,0)</f>
        <v>0</v>
      </c>
      <c r="W47" s="42" t="n">
        <f aca="false">IF(SUM(Q47:V47)&gt;0,1,0)</f>
        <v>0</v>
      </c>
    </row>
    <row r="48" customFormat="false" ht="15" hidden="false" customHeight="false" outlineLevel="0" collapsed="false">
      <c r="A48" s="42" t="str">
        <f aca="false">Sales_Transactions!A48</f>
        <v>INV-02-011</v>
      </c>
      <c r="B48" s="42" t="str">
        <f aca="false">Sales_Transactions!B48</f>
        <v>2025-02</v>
      </c>
      <c r="C48" s="42" t="str">
        <f aca="false">Sales_Transactions!C48</f>
        <v>Actual</v>
      </c>
      <c r="D48" s="42" t="str">
        <f aca="false">Sales_Transactions!D48</f>
        <v>C026</v>
      </c>
      <c r="E48" s="42" t="str">
        <f aca="false">Sales_Transactions!E48</f>
        <v>P004</v>
      </c>
      <c r="F48" s="42" t="str">
        <f aca="false">IFERROR(INDEX(Customer_Master!$C$2:$C$49,MATCH(D48,Customer_Master!$A$2:$A$49,0)),"UNMATCHED")</f>
        <v>North</v>
      </c>
      <c r="G48" s="42" t="str">
        <f aca="false">IFERROR(INDEX(Customer_Master!$D$2:$D$49,MATCH(D48,Customer_Master!$A$2:$A$49,0)),"UNMATCHED")</f>
        <v>Modern Trade</v>
      </c>
      <c r="H48" s="42" t="str">
        <f aca="false">IFERROR(INDEX(Product_Master!$C$2:$C$9,MATCH(E48,Product_Master!$A$2:$A$9,0)),"UNMATCHED")</f>
        <v>Personal Care</v>
      </c>
      <c r="I48" s="42" t="str">
        <f aca="false">IFERROR(INDEX(Product_Master!$B$2:$B$9,MATCH(E48,Product_Master!$A$2:$A$9,0)),"UNMATCHED")</f>
        <v>Soap 4-pack</v>
      </c>
      <c r="J48" s="42" t="n">
        <f aca="false">IFERROR(INDEX(Calendar!$B$2:$B$25,MATCH(B48,Calendar!$A$2:$A$25,0)),0)</f>
        <v>2025</v>
      </c>
      <c r="K48" s="42" t="n">
        <f aca="false">IFERROR(VALUE(RIGHT(B48,2)),0)</f>
        <v>2</v>
      </c>
      <c r="L48" s="42" t="str">
        <f aca="false">IFERROR(INDEX(Calendar!$E$2:$E$25,MATCH(B48,Calendar!$A$2:$A$25,0)),"UNMATCHED")</f>
        <v>Actual</v>
      </c>
      <c r="M48" s="42" t="n">
        <f aca="false">Sales_Transactions!F48</f>
        <v>167</v>
      </c>
      <c r="N48" s="52" t="n">
        <f aca="false">Sales_Transactions!I48</f>
        <v>28059.34</v>
      </c>
      <c r="O48" s="52" t="n">
        <f aca="false">Sales_Transactions!J48</f>
        <v>16888.71</v>
      </c>
      <c r="P48" s="52" t="n">
        <f aca="false">Sales_Transactions!K48</f>
        <v>11170.63</v>
      </c>
      <c r="Q48" s="42" t="n">
        <f aca="false">IF(ISNUMBER(MATCH(E48,Product_Master!$A$2:$A$9,0)),0,1)</f>
        <v>0</v>
      </c>
      <c r="R48" s="42" t="n">
        <f aca="false">IF(ISNUMBER(MATCH(D48,Customer_Master!$A$2:$A$49,0)),0,1)</f>
        <v>0</v>
      </c>
      <c r="S48" s="42" t="n">
        <f aca="false">IF(ISNUMBER(MATCH(B48,Calendar!$A$2:$A$25,0)),0,1)</f>
        <v>0</v>
      </c>
      <c r="T48" s="42" t="n">
        <f aca="false">IF(COUNTIF(Sales_Transactions!$A$2:$A$865,A48)&gt;1,1,0)</f>
        <v>0</v>
      </c>
      <c r="U48" s="42" t="n">
        <f aca="false">IF(OR(ABS(Sales_Transactions!F48*Sales_Transactions!G48-Sales_Transactions!I48)&gt;0.01,ABS(Sales_Transactions!F48*Sales_Transactions!H48-Sales_Transactions!J48)&gt;0.01,ABS(Sales_Transactions!I48-Sales_Transactions!J48-Sales_Transactions!K48)&gt;0.01),1,0)</f>
        <v>0</v>
      </c>
      <c r="V48" s="42" t="n">
        <f aca="false">IF(C48&lt;&gt;L48,1,0)</f>
        <v>0</v>
      </c>
      <c r="W48" s="42" t="n">
        <f aca="false">IF(SUM(Q48:V48)&gt;0,1,0)</f>
        <v>0</v>
      </c>
    </row>
    <row r="49" customFormat="false" ht="15" hidden="false" customHeight="false" outlineLevel="0" collapsed="false">
      <c r="A49" s="42" t="str">
        <f aca="false">Sales_Transactions!A49</f>
        <v>INV-02-012</v>
      </c>
      <c r="B49" s="42" t="str">
        <f aca="false">Sales_Transactions!B49</f>
        <v>2025-02</v>
      </c>
      <c r="C49" s="42" t="str">
        <f aca="false">Sales_Transactions!C49</f>
        <v>Actual</v>
      </c>
      <c r="D49" s="42" t="str">
        <f aca="false">Sales_Transactions!D49</f>
        <v>C033</v>
      </c>
      <c r="E49" s="42" t="str">
        <f aca="false">Sales_Transactions!E49</f>
        <v>P001</v>
      </c>
      <c r="F49" s="42" t="str">
        <f aca="false">IFERROR(INDEX(Customer_Master!$C$2:$C$49,MATCH(D49,Customer_Master!$A$2:$A$49,0)),"UNMATCHED")</f>
        <v>South</v>
      </c>
      <c r="G49" s="42" t="str">
        <f aca="false">IFERROR(INDEX(Customer_Master!$D$2:$D$49,MATCH(D49,Customer_Master!$A$2:$A$49,0)),"UNMATCHED")</f>
        <v>Retail</v>
      </c>
      <c r="H49" s="42" t="str">
        <f aca="false">IFERROR(INDEX(Product_Master!$C$2:$C$9,MATCH(E49,Product_Master!$A$2:$A$9,0)),"UNMATCHED")</f>
        <v>Home Care</v>
      </c>
      <c r="I49" s="42" t="str">
        <f aca="false">IFERROR(INDEX(Product_Master!$B$2:$B$9,MATCH(E49,Product_Master!$A$2:$A$9,0)),"UNMATCHED")</f>
        <v>Detergent 1kg</v>
      </c>
      <c r="J49" s="42" t="n">
        <f aca="false">IFERROR(INDEX(Calendar!$B$2:$B$25,MATCH(B49,Calendar!$A$2:$A$25,0)),0)</f>
        <v>2025</v>
      </c>
      <c r="K49" s="42" t="n">
        <f aca="false">IFERROR(VALUE(RIGHT(B49,2)),0)</f>
        <v>2</v>
      </c>
      <c r="L49" s="42" t="str">
        <f aca="false">IFERROR(INDEX(Calendar!$E$2:$E$25,MATCH(B49,Calendar!$A$2:$A$25,0)),"UNMATCHED")</f>
        <v>Actual</v>
      </c>
      <c r="M49" s="42" t="n">
        <f aca="false">Sales_Transactions!F49</f>
        <v>356</v>
      </c>
      <c r="N49" s="52" t="n">
        <f aca="false">Sales_Transactions!I49</f>
        <v>75461.32</v>
      </c>
      <c r="O49" s="52" t="n">
        <f aca="false">Sales_Transactions!J49</f>
        <v>48490.76</v>
      </c>
      <c r="P49" s="52" t="n">
        <f aca="false">Sales_Transactions!K49</f>
        <v>26970.56</v>
      </c>
      <c r="Q49" s="42" t="n">
        <f aca="false">IF(ISNUMBER(MATCH(E49,Product_Master!$A$2:$A$9,0)),0,1)</f>
        <v>0</v>
      </c>
      <c r="R49" s="42" t="n">
        <f aca="false">IF(ISNUMBER(MATCH(D49,Customer_Master!$A$2:$A$49,0)),0,1)</f>
        <v>0</v>
      </c>
      <c r="S49" s="42" t="n">
        <f aca="false">IF(ISNUMBER(MATCH(B49,Calendar!$A$2:$A$25,0)),0,1)</f>
        <v>0</v>
      </c>
      <c r="T49" s="42" t="n">
        <f aca="false">IF(COUNTIF(Sales_Transactions!$A$2:$A$865,A49)&gt;1,1,0)</f>
        <v>0</v>
      </c>
      <c r="U49" s="42" t="n">
        <f aca="false">IF(OR(ABS(Sales_Transactions!F49*Sales_Transactions!G49-Sales_Transactions!I49)&gt;0.01,ABS(Sales_Transactions!F49*Sales_Transactions!H49-Sales_Transactions!J49)&gt;0.01,ABS(Sales_Transactions!I49-Sales_Transactions!J49-Sales_Transactions!K49)&gt;0.01),1,0)</f>
        <v>0</v>
      </c>
      <c r="V49" s="42" t="n">
        <f aca="false">IF(C49&lt;&gt;L49,1,0)</f>
        <v>0</v>
      </c>
      <c r="W49" s="42" t="n">
        <f aca="false">IF(SUM(Q49:V49)&gt;0,1,0)</f>
        <v>0</v>
      </c>
    </row>
    <row r="50" customFormat="false" ht="15" hidden="false" customHeight="false" outlineLevel="0" collapsed="false">
      <c r="A50" s="42" t="str">
        <f aca="false">Sales_Transactions!A50</f>
        <v>INV-02-013</v>
      </c>
      <c r="B50" s="42" t="str">
        <f aca="false">Sales_Transactions!B50</f>
        <v>2025-02</v>
      </c>
      <c r="C50" s="42" t="str">
        <f aca="false">Sales_Transactions!C50</f>
        <v>Actual</v>
      </c>
      <c r="D50" s="42" t="str">
        <f aca="false">Sales_Transactions!D50</f>
        <v>C040</v>
      </c>
      <c r="E50" s="42" t="str">
        <f aca="false">Sales_Transactions!E50</f>
        <v>P006</v>
      </c>
      <c r="F50" s="42" t="str">
        <f aca="false">IFERROR(INDEX(Customer_Master!$C$2:$C$49,MATCH(D50,Customer_Master!$A$2:$A$49,0)),"UNMATCHED")</f>
        <v>East</v>
      </c>
      <c r="G50" s="42" t="str">
        <f aca="false">IFERROR(INDEX(Customer_Master!$D$2:$D$49,MATCH(D50,Customer_Master!$A$2:$A$49,0)),"UNMATCHED")</f>
        <v>Distributor</v>
      </c>
      <c r="H50" s="42" t="str">
        <f aca="false">IFERROR(INDEX(Product_Master!$C$2:$C$9,MATCH(E50,Product_Master!$A$2:$A$9,0)),"UNMATCHED")</f>
        <v>Foods</v>
      </c>
      <c r="I50" s="42" t="str">
        <f aca="false">IFERROR(INDEX(Product_Master!$B$2:$B$9,MATCH(E50,Product_Master!$A$2:$A$9,0)),"UNMATCHED")</f>
        <v>Breakfast Cereal</v>
      </c>
      <c r="J50" s="42" t="n">
        <f aca="false">IFERROR(INDEX(Calendar!$B$2:$B$25,MATCH(B50,Calendar!$A$2:$A$25,0)),0)</f>
        <v>2025</v>
      </c>
      <c r="K50" s="42" t="n">
        <f aca="false">IFERROR(VALUE(RIGHT(B50,2)),0)</f>
        <v>2</v>
      </c>
      <c r="L50" s="42" t="str">
        <f aca="false">IFERROR(INDEX(Calendar!$E$2:$E$25,MATCH(B50,Calendar!$A$2:$A$25,0)),"UNMATCHED")</f>
        <v>Actual</v>
      </c>
      <c r="M50" s="42" t="n">
        <f aca="false">Sales_Transactions!F50</f>
        <v>335</v>
      </c>
      <c r="N50" s="52" t="n">
        <f aca="false">Sales_Transactions!I50</f>
        <v>76246</v>
      </c>
      <c r="O50" s="52" t="n">
        <f aca="false">Sales_Transactions!J50</f>
        <v>55995.25</v>
      </c>
      <c r="P50" s="52" t="n">
        <f aca="false">Sales_Transactions!K50</f>
        <v>20250.75</v>
      </c>
      <c r="Q50" s="42" t="n">
        <f aca="false">IF(ISNUMBER(MATCH(E50,Product_Master!$A$2:$A$9,0)),0,1)</f>
        <v>0</v>
      </c>
      <c r="R50" s="42" t="n">
        <f aca="false">IF(ISNUMBER(MATCH(D50,Customer_Master!$A$2:$A$49,0)),0,1)</f>
        <v>0</v>
      </c>
      <c r="S50" s="42" t="n">
        <f aca="false">IF(ISNUMBER(MATCH(B50,Calendar!$A$2:$A$25,0)),0,1)</f>
        <v>0</v>
      </c>
      <c r="T50" s="42" t="n">
        <f aca="false">IF(COUNTIF(Sales_Transactions!$A$2:$A$865,A50)&gt;1,1,0)</f>
        <v>0</v>
      </c>
      <c r="U50" s="42" t="n">
        <f aca="false">IF(OR(ABS(Sales_Transactions!F50*Sales_Transactions!G50-Sales_Transactions!I50)&gt;0.01,ABS(Sales_Transactions!F50*Sales_Transactions!H50-Sales_Transactions!J50)&gt;0.01,ABS(Sales_Transactions!I50-Sales_Transactions!J50-Sales_Transactions!K50)&gt;0.01),1,0)</f>
        <v>0</v>
      </c>
      <c r="V50" s="42" t="n">
        <f aca="false">IF(C50&lt;&gt;L50,1,0)</f>
        <v>0</v>
      </c>
      <c r="W50" s="42" t="n">
        <f aca="false">IF(SUM(Q50:V50)&gt;0,1,0)</f>
        <v>0</v>
      </c>
    </row>
    <row r="51" customFormat="false" ht="15" hidden="false" customHeight="false" outlineLevel="0" collapsed="false">
      <c r="A51" s="42" t="str">
        <f aca="false">Sales_Transactions!A51</f>
        <v>INV-02-014</v>
      </c>
      <c r="B51" s="42" t="str">
        <f aca="false">Sales_Transactions!B51</f>
        <v>2025-02</v>
      </c>
      <c r="C51" s="42" t="str">
        <f aca="false">Sales_Transactions!C51</f>
        <v>Actual</v>
      </c>
      <c r="D51" s="42" t="str">
        <f aca="false">Sales_Transactions!D51</f>
        <v>C047</v>
      </c>
      <c r="E51" s="42" t="str">
        <f aca="false">Sales_Transactions!E51</f>
        <v>P003</v>
      </c>
      <c r="F51" s="42" t="str">
        <f aca="false">IFERROR(INDEX(Customer_Master!$C$2:$C$49,MATCH(D51,Customer_Master!$A$2:$A$49,0)),"UNMATCHED")</f>
        <v>West</v>
      </c>
      <c r="G51" s="42" t="str">
        <f aca="false">IFERROR(INDEX(Customer_Master!$D$2:$D$49,MATCH(D51,Customer_Master!$A$2:$A$49,0)),"UNMATCHED")</f>
        <v>Modern Trade</v>
      </c>
      <c r="H51" s="42" t="str">
        <f aca="false">IFERROR(INDEX(Product_Master!$C$2:$C$9,MATCH(E51,Product_Master!$A$2:$A$9,0)),"UNMATCHED")</f>
        <v>Personal Care</v>
      </c>
      <c r="I51" s="42" t="str">
        <f aca="false">IFERROR(INDEX(Product_Master!$B$2:$B$9,MATCH(E51,Product_Master!$A$2:$A$9,0)),"UNMATCHED")</f>
        <v>Shampoo 400ml</v>
      </c>
      <c r="J51" s="42" t="n">
        <f aca="false">IFERROR(INDEX(Calendar!$B$2:$B$25,MATCH(B51,Calendar!$A$2:$A$25,0)),0)</f>
        <v>2025</v>
      </c>
      <c r="K51" s="42" t="n">
        <f aca="false">IFERROR(VALUE(RIGHT(B51,2)),0)</f>
        <v>2</v>
      </c>
      <c r="L51" s="42" t="str">
        <f aca="false">IFERROR(INDEX(Calendar!$E$2:$E$25,MATCH(B51,Calendar!$A$2:$A$25,0)),"UNMATCHED")</f>
        <v>Actual</v>
      </c>
      <c r="M51" s="42" t="n">
        <f aca="false">Sales_Transactions!F51</f>
        <v>242</v>
      </c>
      <c r="N51" s="52" t="n">
        <f aca="false">Sales_Transactions!I51</f>
        <v>62416.64</v>
      </c>
      <c r="O51" s="52" t="n">
        <f aca="false">Sales_Transactions!J51</f>
        <v>40922.2</v>
      </c>
      <c r="P51" s="52" t="n">
        <f aca="false">Sales_Transactions!K51</f>
        <v>21494.44</v>
      </c>
      <c r="Q51" s="42" t="n">
        <f aca="false">IF(ISNUMBER(MATCH(E51,Product_Master!$A$2:$A$9,0)),0,1)</f>
        <v>0</v>
      </c>
      <c r="R51" s="42" t="n">
        <f aca="false">IF(ISNUMBER(MATCH(D51,Customer_Master!$A$2:$A$49,0)),0,1)</f>
        <v>0</v>
      </c>
      <c r="S51" s="42" t="n">
        <f aca="false">IF(ISNUMBER(MATCH(B51,Calendar!$A$2:$A$25,0)),0,1)</f>
        <v>0</v>
      </c>
      <c r="T51" s="42" t="n">
        <f aca="false">IF(COUNTIF(Sales_Transactions!$A$2:$A$865,A51)&gt;1,1,0)</f>
        <v>0</v>
      </c>
      <c r="U51" s="42" t="n">
        <f aca="false">IF(OR(ABS(Sales_Transactions!F51*Sales_Transactions!G51-Sales_Transactions!I51)&gt;0.01,ABS(Sales_Transactions!F51*Sales_Transactions!H51-Sales_Transactions!J51)&gt;0.01,ABS(Sales_Transactions!I51-Sales_Transactions!J51-Sales_Transactions!K51)&gt;0.01),1,0)</f>
        <v>0</v>
      </c>
      <c r="V51" s="42" t="n">
        <f aca="false">IF(C51&lt;&gt;L51,1,0)</f>
        <v>0</v>
      </c>
      <c r="W51" s="42" t="n">
        <f aca="false">IF(SUM(Q51:V51)&gt;0,1,0)</f>
        <v>0</v>
      </c>
    </row>
    <row r="52" customFormat="false" ht="15" hidden="false" customHeight="false" outlineLevel="0" collapsed="false">
      <c r="A52" s="42" t="str">
        <f aca="false">Sales_Transactions!A52</f>
        <v>INV-02-015</v>
      </c>
      <c r="B52" s="42" t="str">
        <f aca="false">Sales_Transactions!B52</f>
        <v>2025-02</v>
      </c>
      <c r="C52" s="42" t="str">
        <f aca="false">Sales_Transactions!C52</f>
        <v>Actual</v>
      </c>
      <c r="D52" s="42" t="str">
        <f aca="false">Sales_Transactions!D52</f>
        <v>C006</v>
      </c>
      <c r="E52" s="42" t="str">
        <f aca="false">Sales_Transactions!E52</f>
        <v>P008</v>
      </c>
      <c r="F52" s="42" t="str">
        <f aca="false">IFERROR(INDEX(Customer_Master!$C$2:$C$49,MATCH(D52,Customer_Master!$A$2:$A$49,0)),"UNMATCHED")</f>
        <v>North</v>
      </c>
      <c r="G52" s="42" t="str">
        <f aca="false">IFERROR(INDEX(Customer_Master!$D$2:$D$49,MATCH(D52,Customer_Master!$A$2:$A$49,0)),"UNMATCHED")</f>
        <v>Retail</v>
      </c>
      <c r="H52" s="42" t="str">
        <f aca="false">IFERROR(INDEX(Product_Master!$C$2:$C$9,MATCH(E52,Product_Master!$A$2:$A$9,0)),"UNMATCHED")</f>
        <v>Personal Care</v>
      </c>
      <c r="I52" s="42" t="str">
        <f aca="false">IFERROR(INDEX(Product_Master!$B$2:$B$9,MATCH(E52,Product_Master!$A$2:$A$9,0)),"UNMATCHED")</f>
        <v>Body Lotion</v>
      </c>
      <c r="J52" s="42" t="n">
        <f aca="false">IFERROR(INDEX(Calendar!$B$2:$B$25,MATCH(B52,Calendar!$A$2:$A$25,0)),0)</f>
        <v>2025</v>
      </c>
      <c r="K52" s="42" t="n">
        <f aca="false">IFERROR(VALUE(RIGHT(B52,2)),0)</f>
        <v>2</v>
      </c>
      <c r="L52" s="42" t="str">
        <f aca="false">IFERROR(INDEX(Calendar!$E$2:$E$25,MATCH(B52,Calendar!$A$2:$A$25,0)),"UNMATCHED")</f>
        <v>Actual</v>
      </c>
      <c r="M52" s="42" t="n">
        <f aca="false">Sales_Transactions!F52</f>
        <v>375</v>
      </c>
      <c r="N52" s="52" t="n">
        <f aca="false">Sales_Transactions!I52</f>
        <v>123472.5</v>
      </c>
      <c r="O52" s="52" t="n">
        <f aca="false">Sales_Transactions!J52</f>
        <v>73500</v>
      </c>
      <c r="P52" s="52" t="n">
        <f aca="false">Sales_Transactions!K52</f>
        <v>49972.5</v>
      </c>
      <c r="Q52" s="42" t="n">
        <f aca="false">IF(ISNUMBER(MATCH(E52,Product_Master!$A$2:$A$9,0)),0,1)</f>
        <v>0</v>
      </c>
      <c r="R52" s="42" t="n">
        <f aca="false">IF(ISNUMBER(MATCH(D52,Customer_Master!$A$2:$A$49,0)),0,1)</f>
        <v>0</v>
      </c>
      <c r="S52" s="42" t="n">
        <f aca="false">IF(ISNUMBER(MATCH(B52,Calendar!$A$2:$A$25,0)),0,1)</f>
        <v>0</v>
      </c>
      <c r="T52" s="42" t="n">
        <f aca="false">IF(COUNTIF(Sales_Transactions!$A$2:$A$865,A52)&gt;1,1,0)</f>
        <v>0</v>
      </c>
      <c r="U52" s="42" t="n">
        <f aca="false">IF(OR(ABS(Sales_Transactions!F52*Sales_Transactions!G52-Sales_Transactions!I52)&gt;0.01,ABS(Sales_Transactions!F52*Sales_Transactions!H52-Sales_Transactions!J52)&gt;0.01,ABS(Sales_Transactions!I52-Sales_Transactions!J52-Sales_Transactions!K52)&gt;0.01),1,0)</f>
        <v>0</v>
      </c>
      <c r="V52" s="42" t="n">
        <f aca="false">IF(C52&lt;&gt;L52,1,0)</f>
        <v>0</v>
      </c>
      <c r="W52" s="42" t="n">
        <f aca="false">IF(SUM(Q52:V52)&gt;0,1,0)</f>
        <v>0</v>
      </c>
    </row>
    <row r="53" customFormat="false" ht="15" hidden="false" customHeight="false" outlineLevel="0" collapsed="false">
      <c r="A53" s="42" t="str">
        <f aca="false">Sales_Transactions!A53</f>
        <v>INV-02-016</v>
      </c>
      <c r="B53" s="42" t="str">
        <f aca="false">Sales_Transactions!B53</f>
        <v>2025-02</v>
      </c>
      <c r="C53" s="42" t="str">
        <f aca="false">Sales_Transactions!C53</f>
        <v>Actual</v>
      </c>
      <c r="D53" s="42" t="str">
        <f aca="false">Sales_Transactions!D53</f>
        <v>C013</v>
      </c>
      <c r="E53" s="42" t="str">
        <f aca="false">Sales_Transactions!E53</f>
        <v>P005</v>
      </c>
      <c r="F53" s="42" t="str">
        <f aca="false">IFERROR(INDEX(Customer_Master!$C$2:$C$49,MATCH(D53,Customer_Master!$A$2:$A$49,0)),"UNMATCHED")</f>
        <v>South</v>
      </c>
      <c r="G53" s="42" t="str">
        <f aca="false">IFERROR(INDEX(Customer_Master!$D$2:$D$49,MATCH(D53,Customer_Master!$A$2:$A$49,0)),"UNMATCHED")</f>
        <v>Distributor</v>
      </c>
      <c r="H53" s="42" t="str">
        <f aca="false">IFERROR(INDEX(Product_Master!$C$2:$C$9,MATCH(E53,Product_Master!$A$2:$A$9,0)),"UNMATCHED")</f>
        <v>Foods</v>
      </c>
      <c r="I53" s="42" t="str">
        <f aca="false">IFERROR(INDEX(Product_Master!$B$2:$B$9,MATCH(E53,Product_Master!$A$2:$A$9,0)),"UNMATCHED")</f>
        <v>Biscuits 500g</v>
      </c>
      <c r="J53" s="42" t="n">
        <f aca="false">IFERROR(INDEX(Calendar!$B$2:$B$25,MATCH(B53,Calendar!$A$2:$A$25,0)),0)</f>
        <v>2025</v>
      </c>
      <c r="K53" s="42" t="n">
        <f aca="false">IFERROR(VALUE(RIGHT(B53,2)),0)</f>
        <v>2</v>
      </c>
      <c r="L53" s="42" t="str">
        <f aca="false">IFERROR(INDEX(Calendar!$E$2:$E$25,MATCH(B53,Calendar!$A$2:$A$25,0)),"UNMATCHED")</f>
        <v>Actual</v>
      </c>
      <c r="M53" s="42" t="n">
        <f aca="false">Sales_Transactions!F53</f>
        <v>333</v>
      </c>
      <c r="N53" s="52" t="n">
        <f aca="false">Sales_Transactions!I53</f>
        <v>36486.81</v>
      </c>
      <c r="O53" s="52" t="n">
        <f aca="false">Sales_Transactions!J53</f>
        <v>24035.94</v>
      </c>
      <c r="P53" s="52" t="n">
        <f aca="false">Sales_Transactions!K53</f>
        <v>12450.87</v>
      </c>
      <c r="Q53" s="42" t="n">
        <f aca="false">IF(ISNUMBER(MATCH(E53,Product_Master!$A$2:$A$9,0)),0,1)</f>
        <v>0</v>
      </c>
      <c r="R53" s="42" t="n">
        <f aca="false">IF(ISNUMBER(MATCH(D53,Customer_Master!$A$2:$A$49,0)),0,1)</f>
        <v>0</v>
      </c>
      <c r="S53" s="42" t="n">
        <f aca="false">IF(ISNUMBER(MATCH(B53,Calendar!$A$2:$A$25,0)),0,1)</f>
        <v>0</v>
      </c>
      <c r="T53" s="42" t="n">
        <f aca="false">IF(COUNTIF(Sales_Transactions!$A$2:$A$865,A53)&gt;1,1,0)</f>
        <v>0</v>
      </c>
      <c r="U53" s="42" t="n">
        <f aca="false">IF(OR(ABS(Sales_Transactions!F53*Sales_Transactions!G53-Sales_Transactions!I53)&gt;0.01,ABS(Sales_Transactions!F53*Sales_Transactions!H53-Sales_Transactions!J53)&gt;0.01,ABS(Sales_Transactions!I53-Sales_Transactions!J53-Sales_Transactions!K53)&gt;0.01),1,0)</f>
        <v>0</v>
      </c>
      <c r="V53" s="42" t="n">
        <f aca="false">IF(C53&lt;&gt;L53,1,0)</f>
        <v>0</v>
      </c>
      <c r="W53" s="42" t="n">
        <f aca="false">IF(SUM(Q53:V53)&gt;0,1,0)</f>
        <v>0</v>
      </c>
    </row>
    <row r="54" customFormat="false" ht="15" hidden="false" customHeight="false" outlineLevel="0" collapsed="false">
      <c r="A54" s="42" t="str">
        <f aca="false">Sales_Transactions!A54</f>
        <v>INV-02-017</v>
      </c>
      <c r="B54" s="42" t="str">
        <f aca="false">Sales_Transactions!B54</f>
        <v>2025-02</v>
      </c>
      <c r="C54" s="42" t="str">
        <f aca="false">Sales_Transactions!C54</f>
        <v>Actual</v>
      </c>
      <c r="D54" s="42" t="str">
        <f aca="false">Sales_Transactions!D54</f>
        <v>C020</v>
      </c>
      <c r="E54" s="42" t="str">
        <f aca="false">Sales_Transactions!E54</f>
        <v>P002</v>
      </c>
      <c r="F54" s="42" t="str">
        <f aca="false">IFERROR(INDEX(Customer_Master!$C$2:$C$49,MATCH(D54,Customer_Master!$A$2:$A$49,0)),"UNMATCHED")</f>
        <v>East</v>
      </c>
      <c r="G54" s="42" t="str">
        <f aca="false">IFERROR(INDEX(Customer_Master!$D$2:$D$49,MATCH(D54,Customer_Master!$A$2:$A$49,0)),"UNMATCHED")</f>
        <v>Modern Trade</v>
      </c>
      <c r="H54" s="42" t="str">
        <f aca="false">IFERROR(INDEX(Product_Master!$C$2:$C$9,MATCH(E54,Product_Master!$A$2:$A$9,0)),"UNMATCHED")</f>
        <v>Home Care</v>
      </c>
      <c r="I54" s="42" t="str">
        <f aca="false">IFERROR(INDEX(Product_Master!$B$2:$B$9,MATCH(E54,Product_Master!$A$2:$A$9,0)),"UNMATCHED")</f>
        <v>Dishwash Gel</v>
      </c>
      <c r="J54" s="42" t="n">
        <f aca="false">IFERROR(INDEX(Calendar!$B$2:$B$25,MATCH(B54,Calendar!$A$2:$A$25,0)),0)</f>
        <v>2025</v>
      </c>
      <c r="K54" s="42" t="n">
        <f aca="false">IFERROR(VALUE(RIGHT(B54,2)),0)</f>
        <v>2</v>
      </c>
      <c r="L54" s="42" t="str">
        <f aca="false">IFERROR(INDEX(Calendar!$E$2:$E$25,MATCH(B54,Calendar!$A$2:$A$25,0)),"UNMATCHED")</f>
        <v>Actual</v>
      </c>
      <c r="M54" s="42" t="n">
        <f aca="false">Sales_Transactions!F54</f>
        <v>357</v>
      </c>
      <c r="N54" s="52" t="n">
        <f aca="false">Sales_Transactions!I54</f>
        <v>51225.93</v>
      </c>
      <c r="O54" s="52" t="n">
        <f aca="false">Sales_Transactions!J54</f>
        <v>28552.86</v>
      </c>
      <c r="P54" s="52" t="n">
        <f aca="false">Sales_Transactions!K54</f>
        <v>22673.07</v>
      </c>
      <c r="Q54" s="42" t="n">
        <f aca="false">IF(ISNUMBER(MATCH(E54,Product_Master!$A$2:$A$9,0)),0,1)</f>
        <v>0</v>
      </c>
      <c r="R54" s="42" t="n">
        <f aca="false">IF(ISNUMBER(MATCH(D54,Customer_Master!$A$2:$A$49,0)),0,1)</f>
        <v>0</v>
      </c>
      <c r="S54" s="42" t="n">
        <f aca="false">IF(ISNUMBER(MATCH(B54,Calendar!$A$2:$A$25,0)),0,1)</f>
        <v>0</v>
      </c>
      <c r="T54" s="42" t="n">
        <f aca="false">IF(COUNTIF(Sales_Transactions!$A$2:$A$865,A54)&gt;1,1,0)</f>
        <v>0</v>
      </c>
      <c r="U54" s="42" t="n">
        <f aca="false">IF(OR(ABS(Sales_Transactions!F54*Sales_Transactions!G54-Sales_Transactions!I54)&gt;0.01,ABS(Sales_Transactions!F54*Sales_Transactions!H54-Sales_Transactions!J54)&gt;0.01,ABS(Sales_Transactions!I54-Sales_Transactions!J54-Sales_Transactions!K54)&gt;0.01),1,0)</f>
        <v>0</v>
      </c>
      <c r="V54" s="42" t="n">
        <f aca="false">IF(C54&lt;&gt;L54,1,0)</f>
        <v>0</v>
      </c>
      <c r="W54" s="42" t="n">
        <f aca="false">IF(SUM(Q54:V54)&gt;0,1,0)</f>
        <v>0</v>
      </c>
    </row>
    <row r="55" customFormat="false" ht="15" hidden="false" customHeight="false" outlineLevel="0" collapsed="false">
      <c r="A55" s="42" t="str">
        <f aca="false">Sales_Transactions!A55</f>
        <v>INV-02-018</v>
      </c>
      <c r="B55" s="42" t="str">
        <f aca="false">Sales_Transactions!B55</f>
        <v>2025-02</v>
      </c>
      <c r="C55" s="42" t="str">
        <f aca="false">Sales_Transactions!C55</f>
        <v>Actual</v>
      </c>
      <c r="D55" s="42" t="str">
        <f aca="false">Sales_Transactions!D55</f>
        <v>C027</v>
      </c>
      <c r="E55" s="42" t="str">
        <f aca="false">Sales_Transactions!E55</f>
        <v>P007</v>
      </c>
      <c r="F55" s="42" t="str">
        <f aca="false">IFERROR(INDEX(Customer_Master!$C$2:$C$49,MATCH(D55,Customer_Master!$A$2:$A$49,0)),"UNMATCHED")</f>
        <v>West</v>
      </c>
      <c r="G55" s="42" t="str">
        <f aca="false">IFERROR(INDEX(Customer_Master!$D$2:$D$49,MATCH(D55,Customer_Master!$A$2:$A$49,0)),"UNMATCHED")</f>
        <v>Retail</v>
      </c>
      <c r="H55" s="42" t="str">
        <f aca="false">IFERROR(INDEX(Product_Master!$C$2:$C$9,MATCH(E55,Product_Master!$A$2:$A$9,0)),"UNMATCHED")</f>
        <v>Home Care</v>
      </c>
      <c r="I55" s="42" t="str">
        <f aca="false">IFERROR(INDEX(Product_Master!$B$2:$B$9,MATCH(E55,Product_Master!$A$2:$A$9,0)),"UNMATCHED")</f>
        <v>Floor Cleaner</v>
      </c>
      <c r="J55" s="42" t="n">
        <f aca="false">IFERROR(INDEX(Calendar!$B$2:$B$25,MATCH(B55,Calendar!$A$2:$A$25,0)),0)</f>
        <v>2025</v>
      </c>
      <c r="K55" s="42" t="n">
        <f aca="false">IFERROR(VALUE(RIGHT(B55,2)),0)</f>
        <v>2</v>
      </c>
      <c r="L55" s="42" t="str">
        <f aca="false">IFERROR(INDEX(Calendar!$E$2:$E$25,MATCH(B55,Calendar!$A$2:$A$25,0)),"UNMATCHED")</f>
        <v>Actual</v>
      </c>
      <c r="M55" s="42" t="n">
        <f aca="false">Sales_Transactions!F55</f>
        <v>328</v>
      </c>
      <c r="N55" s="52" t="n">
        <f aca="false">Sales_Transactions!I55</f>
        <v>63136.72</v>
      </c>
      <c r="O55" s="52" t="n">
        <f aca="false">Sales_Transactions!J55</f>
        <v>35994.72</v>
      </c>
      <c r="P55" s="52" t="n">
        <f aca="false">Sales_Transactions!K55</f>
        <v>27142</v>
      </c>
      <c r="Q55" s="42" t="n">
        <f aca="false">IF(ISNUMBER(MATCH(E55,Product_Master!$A$2:$A$9,0)),0,1)</f>
        <v>0</v>
      </c>
      <c r="R55" s="42" t="n">
        <f aca="false">IF(ISNUMBER(MATCH(D55,Customer_Master!$A$2:$A$49,0)),0,1)</f>
        <v>0</v>
      </c>
      <c r="S55" s="42" t="n">
        <f aca="false">IF(ISNUMBER(MATCH(B55,Calendar!$A$2:$A$25,0)),0,1)</f>
        <v>0</v>
      </c>
      <c r="T55" s="42" t="n">
        <f aca="false">IF(COUNTIF(Sales_Transactions!$A$2:$A$865,A55)&gt;1,1,0)</f>
        <v>0</v>
      </c>
      <c r="U55" s="42" t="n">
        <f aca="false">IF(OR(ABS(Sales_Transactions!F55*Sales_Transactions!G55-Sales_Transactions!I55)&gt;0.01,ABS(Sales_Transactions!F55*Sales_Transactions!H55-Sales_Transactions!J55)&gt;0.01,ABS(Sales_Transactions!I55-Sales_Transactions!J55-Sales_Transactions!K55)&gt;0.01),1,0)</f>
        <v>0</v>
      </c>
      <c r="V55" s="42" t="n">
        <f aca="false">IF(C55&lt;&gt;L55,1,0)</f>
        <v>0</v>
      </c>
      <c r="W55" s="42" t="n">
        <f aca="false">IF(SUM(Q55:V55)&gt;0,1,0)</f>
        <v>0</v>
      </c>
    </row>
    <row r="56" customFormat="false" ht="15" hidden="false" customHeight="false" outlineLevel="0" collapsed="false">
      <c r="A56" s="42" t="str">
        <f aca="false">Sales_Transactions!A56</f>
        <v>INV-02-019</v>
      </c>
      <c r="B56" s="42" t="str">
        <f aca="false">Sales_Transactions!B56</f>
        <v>2025-02</v>
      </c>
      <c r="C56" s="42" t="str">
        <f aca="false">Sales_Transactions!C56</f>
        <v>Actual</v>
      </c>
      <c r="D56" s="42" t="str">
        <f aca="false">Sales_Transactions!D56</f>
        <v>C034</v>
      </c>
      <c r="E56" s="42" t="str">
        <f aca="false">Sales_Transactions!E56</f>
        <v>P004</v>
      </c>
      <c r="F56" s="42" t="str">
        <f aca="false">IFERROR(INDEX(Customer_Master!$C$2:$C$49,MATCH(D56,Customer_Master!$A$2:$A$49,0)),"UNMATCHED")</f>
        <v>North</v>
      </c>
      <c r="G56" s="42" t="str">
        <f aca="false">IFERROR(INDEX(Customer_Master!$D$2:$D$49,MATCH(D56,Customer_Master!$A$2:$A$49,0)),"UNMATCHED")</f>
        <v>Distributor</v>
      </c>
      <c r="H56" s="42" t="str">
        <f aca="false">IFERROR(INDEX(Product_Master!$C$2:$C$9,MATCH(E56,Product_Master!$A$2:$A$9,0)),"UNMATCHED")</f>
        <v>Personal Care</v>
      </c>
      <c r="I56" s="42" t="str">
        <f aca="false">IFERROR(INDEX(Product_Master!$B$2:$B$9,MATCH(E56,Product_Master!$A$2:$A$9,0)),"UNMATCHED")</f>
        <v>Soap 4-pack</v>
      </c>
      <c r="J56" s="42" t="n">
        <f aca="false">IFERROR(INDEX(Calendar!$B$2:$B$25,MATCH(B56,Calendar!$A$2:$A$25,0)),0)</f>
        <v>2025</v>
      </c>
      <c r="K56" s="42" t="n">
        <f aca="false">IFERROR(VALUE(RIGHT(B56,2)),0)</f>
        <v>2</v>
      </c>
      <c r="L56" s="42" t="str">
        <f aca="false">IFERROR(INDEX(Calendar!$E$2:$E$25,MATCH(B56,Calendar!$A$2:$A$25,0)),"UNMATCHED")</f>
        <v>Actual</v>
      </c>
      <c r="M56" s="42" t="n">
        <f aca="false">Sales_Transactions!F56</f>
        <v>355</v>
      </c>
      <c r="N56" s="52" t="n">
        <f aca="false">Sales_Transactions!I56</f>
        <v>62338</v>
      </c>
      <c r="O56" s="52" t="n">
        <f aca="false">Sales_Transactions!J56</f>
        <v>34445.65</v>
      </c>
      <c r="P56" s="52" t="n">
        <f aca="false">Sales_Transactions!K56</f>
        <v>27892.35</v>
      </c>
      <c r="Q56" s="42" t="n">
        <f aca="false">IF(ISNUMBER(MATCH(E56,Product_Master!$A$2:$A$9,0)),0,1)</f>
        <v>0</v>
      </c>
      <c r="R56" s="42" t="n">
        <f aca="false">IF(ISNUMBER(MATCH(D56,Customer_Master!$A$2:$A$49,0)),0,1)</f>
        <v>0</v>
      </c>
      <c r="S56" s="42" t="n">
        <f aca="false">IF(ISNUMBER(MATCH(B56,Calendar!$A$2:$A$25,0)),0,1)</f>
        <v>0</v>
      </c>
      <c r="T56" s="42" t="n">
        <f aca="false">IF(COUNTIF(Sales_Transactions!$A$2:$A$865,A56)&gt;1,1,0)</f>
        <v>0</v>
      </c>
      <c r="U56" s="42" t="n">
        <f aca="false">IF(OR(ABS(Sales_Transactions!F56*Sales_Transactions!G56-Sales_Transactions!I56)&gt;0.01,ABS(Sales_Transactions!F56*Sales_Transactions!H56-Sales_Transactions!J56)&gt;0.01,ABS(Sales_Transactions!I56-Sales_Transactions!J56-Sales_Transactions!K56)&gt;0.01),1,0)</f>
        <v>0</v>
      </c>
      <c r="V56" s="42" t="n">
        <f aca="false">IF(C56&lt;&gt;L56,1,0)</f>
        <v>0</v>
      </c>
      <c r="W56" s="42" t="n">
        <f aca="false">IF(SUM(Q56:V56)&gt;0,1,0)</f>
        <v>0</v>
      </c>
    </row>
    <row r="57" customFormat="false" ht="15" hidden="false" customHeight="false" outlineLevel="0" collapsed="false">
      <c r="A57" s="42" t="str">
        <f aca="false">Sales_Transactions!A57</f>
        <v>INV-02-020</v>
      </c>
      <c r="B57" s="42" t="str">
        <f aca="false">Sales_Transactions!B57</f>
        <v>2025-02</v>
      </c>
      <c r="C57" s="42" t="str">
        <f aca="false">Sales_Transactions!C57</f>
        <v>Actual</v>
      </c>
      <c r="D57" s="42" t="str">
        <f aca="false">Sales_Transactions!D57</f>
        <v>C041</v>
      </c>
      <c r="E57" s="42" t="str">
        <f aca="false">Sales_Transactions!E57</f>
        <v>P001</v>
      </c>
      <c r="F57" s="42" t="str">
        <f aca="false">IFERROR(INDEX(Customer_Master!$C$2:$C$49,MATCH(D57,Customer_Master!$A$2:$A$49,0)),"UNMATCHED")</f>
        <v>South</v>
      </c>
      <c r="G57" s="42" t="str">
        <f aca="false">IFERROR(INDEX(Customer_Master!$D$2:$D$49,MATCH(D57,Customer_Master!$A$2:$A$49,0)),"UNMATCHED")</f>
        <v>Modern Trade</v>
      </c>
      <c r="H57" s="42" t="str">
        <f aca="false">IFERROR(INDEX(Product_Master!$C$2:$C$9,MATCH(E57,Product_Master!$A$2:$A$9,0)),"UNMATCHED")</f>
        <v>Home Care</v>
      </c>
      <c r="I57" s="42" t="str">
        <f aca="false">IFERROR(INDEX(Product_Master!$B$2:$B$9,MATCH(E57,Product_Master!$A$2:$A$9,0)),"UNMATCHED")</f>
        <v>Detergent 1kg</v>
      </c>
      <c r="J57" s="42" t="n">
        <f aca="false">IFERROR(INDEX(Calendar!$B$2:$B$25,MATCH(B57,Calendar!$A$2:$A$25,0)),0)</f>
        <v>2025</v>
      </c>
      <c r="K57" s="42" t="n">
        <f aca="false">IFERROR(VALUE(RIGHT(B57,2)),0)</f>
        <v>2</v>
      </c>
      <c r="L57" s="42" t="str">
        <f aca="false">IFERROR(INDEX(Calendar!$E$2:$E$25,MATCH(B57,Calendar!$A$2:$A$25,0)),"UNMATCHED")</f>
        <v>Actual</v>
      </c>
      <c r="M57" s="42" t="n">
        <f aca="false">Sales_Transactions!F57</f>
        <v>193</v>
      </c>
      <c r="N57" s="52" t="n">
        <f aca="false">Sales_Transactions!I57</f>
        <v>40966.18</v>
      </c>
      <c r="O57" s="52" t="n">
        <f aca="false">Sales_Transactions!J57</f>
        <v>26765.24</v>
      </c>
      <c r="P57" s="52" t="n">
        <f aca="false">Sales_Transactions!K57</f>
        <v>14200.94</v>
      </c>
      <c r="Q57" s="42" t="n">
        <f aca="false">IF(ISNUMBER(MATCH(E57,Product_Master!$A$2:$A$9,0)),0,1)</f>
        <v>0</v>
      </c>
      <c r="R57" s="42" t="n">
        <f aca="false">IF(ISNUMBER(MATCH(D57,Customer_Master!$A$2:$A$49,0)),0,1)</f>
        <v>0</v>
      </c>
      <c r="S57" s="42" t="n">
        <f aca="false">IF(ISNUMBER(MATCH(B57,Calendar!$A$2:$A$25,0)),0,1)</f>
        <v>0</v>
      </c>
      <c r="T57" s="42" t="n">
        <f aca="false">IF(COUNTIF(Sales_Transactions!$A$2:$A$865,A57)&gt;1,1,0)</f>
        <v>0</v>
      </c>
      <c r="U57" s="42" t="n">
        <f aca="false">IF(OR(ABS(Sales_Transactions!F57*Sales_Transactions!G57-Sales_Transactions!I57)&gt;0.01,ABS(Sales_Transactions!F57*Sales_Transactions!H57-Sales_Transactions!J57)&gt;0.01,ABS(Sales_Transactions!I57-Sales_Transactions!J57-Sales_Transactions!K57)&gt;0.01),1,0)</f>
        <v>0</v>
      </c>
      <c r="V57" s="42" t="n">
        <f aca="false">IF(C57&lt;&gt;L57,1,0)</f>
        <v>0</v>
      </c>
      <c r="W57" s="42" t="n">
        <f aca="false">IF(SUM(Q57:V57)&gt;0,1,0)</f>
        <v>0</v>
      </c>
    </row>
    <row r="58" customFormat="false" ht="15" hidden="false" customHeight="false" outlineLevel="0" collapsed="false">
      <c r="A58" s="42" t="str">
        <f aca="false">Sales_Transactions!A58</f>
        <v>INV-02-021</v>
      </c>
      <c r="B58" s="42" t="str">
        <f aca="false">Sales_Transactions!B58</f>
        <v>2025-02</v>
      </c>
      <c r="C58" s="42" t="str">
        <f aca="false">Sales_Transactions!C58</f>
        <v>Actual</v>
      </c>
      <c r="D58" s="42" t="str">
        <f aca="false">Sales_Transactions!D58</f>
        <v>C048</v>
      </c>
      <c r="E58" s="42" t="str">
        <f aca="false">Sales_Transactions!E58</f>
        <v>P006</v>
      </c>
      <c r="F58" s="42" t="str">
        <f aca="false">IFERROR(INDEX(Customer_Master!$C$2:$C$49,MATCH(D58,Customer_Master!$A$2:$A$49,0)),"UNMATCHED")</f>
        <v>East</v>
      </c>
      <c r="G58" s="42" t="str">
        <f aca="false">IFERROR(INDEX(Customer_Master!$D$2:$D$49,MATCH(D58,Customer_Master!$A$2:$A$49,0)),"UNMATCHED")</f>
        <v>Retail</v>
      </c>
      <c r="H58" s="42" t="str">
        <f aca="false">IFERROR(INDEX(Product_Master!$C$2:$C$9,MATCH(E58,Product_Master!$A$2:$A$9,0)),"UNMATCHED")</f>
        <v>Foods</v>
      </c>
      <c r="I58" s="42" t="str">
        <f aca="false">IFERROR(INDEX(Product_Master!$B$2:$B$9,MATCH(E58,Product_Master!$A$2:$A$9,0)),"UNMATCHED")</f>
        <v>Breakfast Cereal</v>
      </c>
      <c r="J58" s="42" t="n">
        <f aca="false">IFERROR(INDEX(Calendar!$B$2:$B$25,MATCH(B58,Calendar!$A$2:$A$25,0)),0)</f>
        <v>2025</v>
      </c>
      <c r="K58" s="42" t="n">
        <f aca="false">IFERROR(VALUE(RIGHT(B58,2)),0)</f>
        <v>2</v>
      </c>
      <c r="L58" s="42" t="str">
        <f aca="false">IFERROR(INDEX(Calendar!$E$2:$E$25,MATCH(B58,Calendar!$A$2:$A$25,0)),"UNMATCHED")</f>
        <v>Actual</v>
      </c>
      <c r="M58" s="42" t="n">
        <f aca="false">Sales_Transactions!F58</f>
        <v>438</v>
      </c>
      <c r="N58" s="52" t="n">
        <f aca="false">Sales_Transactions!I58</f>
        <v>102325.56</v>
      </c>
      <c r="O58" s="52" t="n">
        <f aca="false">Sales_Transactions!J58</f>
        <v>68152.8</v>
      </c>
      <c r="P58" s="52" t="n">
        <f aca="false">Sales_Transactions!K58</f>
        <v>34172.76</v>
      </c>
      <c r="Q58" s="42" t="n">
        <f aca="false">IF(ISNUMBER(MATCH(E58,Product_Master!$A$2:$A$9,0)),0,1)</f>
        <v>0</v>
      </c>
      <c r="R58" s="42" t="n">
        <f aca="false">IF(ISNUMBER(MATCH(D58,Customer_Master!$A$2:$A$49,0)),0,1)</f>
        <v>0</v>
      </c>
      <c r="S58" s="42" t="n">
        <f aca="false">IF(ISNUMBER(MATCH(B58,Calendar!$A$2:$A$25,0)),0,1)</f>
        <v>0</v>
      </c>
      <c r="T58" s="42" t="n">
        <f aca="false">IF(COUNTIF(Sales_Transactions!$A$2:$A$865,A58)&gt;1,1,0)</f>
        <v>0</v>
      </c>
      <c r="U58" s="42" t="n">
        <f aca="false">IF(OR(ABS(Sales_Transactions!F58*Sales_Transactions!G58-Sales_Transactions!I58)&gt;0.01,ABS(Sales_Transactions!F58*Sales_Transactions!H58-Sales_Transactions!J58)&gt;0.01,ABS(Sales_Transactions!I58-Sales_Transactions!J58-Sales_Transactions!K58)&gt;0.01),1,0)</f>
        <v>0</v>
      </c>
      <c r="V58" s="42" t="n">
        <f aca="false">IF(C58&lt;&gt;L58,1,0)</f>
        <v>0</v>
      </c>
      <c r="W58" s="42" t="n">
        <f aca="false">IF(SUM(Q58:V58)&gt;0,1,0)</f>
        <v>0</v>
      </c>
    </row>
    <row r="59" customFormat="false" ht="15" hidden="false" customHeight="false" outlineLevel="0" collapsed="false">
      <c r="A59" s="42" t="str">
        <f aca="false">Sales_Transactions!A59</f>
        <v>INV-02-022</v>
      </c>
      <c r="B59" s="42" t="str">
        <f aca="false">Sales_Transactions!B59</f>
        <v>2025-02</v>
      </c>
      <c r="C59" s="42" t="str">
        <f aca="false">Sales_Transactions!C59</f>
        <v>Actual</v>
      </c>
      <c r="D59" s="42" t="str">
        <f aca="false">Sales_Transactions!D59</f>
        <v>C007</v>
      </c>
      <c r="E59" s="42" t="str">
        <f aca="false">Sales_Transactions!E59</f>
        <v>P003</v>
      </c>
      <c r="F59" s="42" t="str">
        <f aca="false">IFERROR(INDEX(Customer_Master!$C$2:$C$49,MATCH(D59,Customer_Master!$A$2:$A$49,0)),"UNMATCHED")</f>
        <v>West</v>
      </c>
      <c r="G59" s="42" t="str">
        <f aca="false">IFERROR(INDEX(Customer_Master!$D$2:$D$49,MATCH(D59,Customer_Master!$A$2:$A$49,0)),"UNMATCHED")</f>
        <v>Distributor</v>
      </c>
      <c r="H59" s="42" t="str">
        <f aca="false">IFERROR(INDEX(Product_Master!$C$2:$C$9,MATCH(E59,Product_Master!$A$2:$A$9,0)),"UNMATCHED")</f>
        <v>Personal Care</v>
      </c>
      <c r="I59" s="42" t="str">
        <f aca="false">IFERROR(INDEX(Product_Master!$B$2:$B$9,MATCH(E59,Product_Master!$A$2:$A$9,0)),"UNMATCHED")</f>
        <v>Shampoo 400ml</v>
      </c>
      <c r="J59" s="42" t="n">
        <f aca="false">IFERROR(INDEX(Calendar!$B$2:$B$25,MATCH(B59,Calendar!$A$2:$A$25,0)),0)</f>
        <v>2025</v>
      </c>
      <c r="K59" s="42" t="n">
        <f aca="false">IFERROR(VALUE(RIGHT(B59,2)),0)</f>
        <v>2</v>
      </c>
      <c r="L59" s="42" t="str">
        <f aca="false">IFERROR(INDEX(Calendar!$E$2:$E$25,MATCH(B59,Calendar!$A$2:$A$25,0)),"UNMATCHED")</f>
        <v>Actual</v>
      </c>
      <c r="M59" s="42" t="n">
        <f aca="false">Sales_Transactions!F59</f>
        <v>428</v>
      </c>
      <c r="N59" s="52" t="n">
        <f aca="false">Sales_Transactions!I59</f>
        <v>116784.08</v>
      </c>
      <c r="O59" s="52" t="n">
        <f aca="false">Sales_Transactions!J59</f>
        <v>74108.2</v>
      </c>
      <c r="P59" s="52" t="n">
        <f aca="false">Sales_Transactions!K59</f>
        <v>42675.88</v>
      </c>
      <c r="Q59" s="42" t="n">
        <f aca="false">IF(ISNUMBER(MATCH(E59,Product_Master!$A$2:$A$9,0)),0,1)</f>
        <v>0</v>
      </c>
      <c r="R59" s="42" t="n">
        <f aca="false">IF(ISNUMBER(MATCH(D59,Customer_Master!$A$2:$A$49,0)),0,1)</f>
        <v>0</v>
      </c>
      <c r="S59" s="42" t="n">
        <f aca="false">IF(ISNUMBER(MATCH(B59,Calendar!$A$2:$A$25,0)),0,1)</f>
        <v>0</v>
      </c>
      <c r="T59" s="42" t="n">
        <f aca="false">IF(COUNTIF(Sales_Transactions!$A$2:$A$865,A59)&gt;1,1,0)</f>
        <v>0</v>
      </c>
      <c r="U59" s="42" t="n">
        <f aca="false">IF(OR(ABS(Sales_Transactions!F59*Sales_Transactions!G59-Sales_Transactions!I59)&gt;0.01,ABS(Sales_Transactions!F59*Sales_Transactions!H59-Sales_Transactions!J59)&gt;0.01,ABS(Sales_Transactions!I59-Sales_Transactions!J59-Sales_Transactions!K59)&gt;0.01),1,0)</f>
        <v>0</v>
      </c>
      <c r="V59" s="42" t="n">
        <f aca="false">IF(C59&lt;&gt;L59,1,0)</f>
        <v>0</v>
      </c>
      <c r="W59" s="42" t="n">
        <f aca="false">IF(SUM(Q59:V59)&gt;0,1,0)</f>
        <v>0</v>
      </c>
    </row>
    <row r="60" customFormat="false" ht="15" hidden="false" customHeight="false" outlineLevel="0" collapsed="false">
      <c r="A60" s="42" t="str">
        <f aca="false">Sales_Transactions!A60</f>
        <v>INV-02-023</v>
      </c>
      <c r="B60" s="42" t="str">
        <f aca="false">Sales_Transactions!B60</f>
        <v>2025-02</v>
      </c>
      <c r="C60" s="42" t="str">
        <f aca="false">Sales_Transactions!C60</f>
        <v>Actual</v>
      </c>
      <c r="D60" s="42" t="str">
        <f aca="false">Sales_Transactions!D60</f>
        <v>C014</v>
      </c>
      <c r="E60" s="42" t="str">
        <f aca="false">Sales_Transactions!E60</f>
        <v>P008</v>
      </c>
      <c r="F60" s="42" t="str">
        <f aca="false">IFERROR(INDEX(Customer_Master!$C$2:$C$49,MATCH(D60,Customer_Master!$A$2:$A$49,0)),"UNMATCHED")</f>
        <v>North</v>
      </c>
      <c r="G60" s="42" t="str">
        <f aca="false">IFERROR(INDEX(Customer_Master!$D$2:$D$49,MATCH(D60,Customer_Master!$A$2:$A$49,0)),"UNMATCHED")</f>
        <v>Modern Trade</v>
      </c>
      <c r="H60" s="42" t="str">
        <f aca="false">IFERROR(INDEX(Product_Master!$C$2:$C$9,MATCH(E60,Product_Master!$A$2:$A$9,0)),"UNMATCHED")</f>
        <v>Personal Care</v>
      </c>
      <c r="I60" s="42" t="str">
        <f aca="false">IFERROR(INDEX(Product_Master!$B$2:$B$9,MATCH(E60,Product_Master!$A$2:$A$9,0)),"UNMATCHED")</f>
        <v>Body Lotion</v>
      </c>
      <c r="J60" s="42" t="n">
        <f aca="false">IFERROR(INDEX(Calendar!$B$2:$B$25,MATCH(B60,Calendar!$A$2:$A$25,0)),0)</f>
        <v>2025</v>
      </c>
      <c r="K60" s="42" t="n">
        <f aca="false">IFERROR(VALUE(RIGHT(B60,2)),0)</f>
        <v>2</v>
      </c>
      <c r="L60" s="42" t="str">
        <f aca="false">IFERROR(INDEX(Calendar!$E$2:$E$25,MATCH(B60,Calendar!$A$2:$A$25,0)),"UNMATCHED")</f>
        <v>Actual</v>
      </c>
      <c r="M60" s="42" t="n">
        <f aca="false">Sales_Transactions!F60</f>
        <v>349</v>
      </c>
      <c r="N60" s="52" t="n">
        <f aca="false">Sales_Transactions!I60</f>
        <v>107607.17</v>
      </c>
      <c r="O60" s="52" t="n">
        <f aca="false">Sales_Transactions!J60</f>
        <v>69775.57</v>
      </c>
      <c r="P60" s="52" t="n">
        <f aca="false">Sales_Transactions!K60</f>
        <v>37831.6</v>
      </c>
      <c r="Q60" s="42" t="n">
        <f aca="false">IF(ISNUMBER(MATCH(E60,Product_Master!$A$2:$A$9,0)),0,1)</f>
        <v>0</v>
      </c>
      <c r="R60" s="42" t="n">
        <f aca="false">IF(ISNUMBER(MATCH(D60,Customer_Master!$A$2:$A$49,0)),0,1)</f>
        <v>0</v>
      </c>
      <c r="S60" s="42" t="n">
        <f aca="false">IF(ISNUMBER(MATCH(B60,Calendar!$A$2:$A$25,0)),0,1)</f>
        <v>0</v>
      </c>
      <c r="T60" s="42" t="n">
        <f aca="false">IF(COUNTIF(Sales_Transactions!$A$2:$A$865,A60)&gt;1,1,0)</f>
        <v>0</v>
      </c>
      <c r="U60" s="42" t="n">
        <f aca="false">IF(OR(ABS(Sales_Transactions!F60*Sales_Transactions!G60-Sales_Transactions!I60)&gt;0.01,ABS(Sales_Transactions!F60*Sales_Transactions!H60-Sales_Transactions!J60)&gt;0.01,ABS(Sales_Transactions!I60-Sales_Transactions!J60-Sales_Transactions!K60)&gt;0.01),1,0)</f>
        <v>0</v>
      </c>
      <c r="V60" s="42" t="n">
        <f aca="false">IF(C60&lt;&gt;L60,1,0)</f>
        <v>0</v>
      </c>
      <c r="W60" s="42" t="n">
        <f aca="false">IF(SUM(Q60:V60)&gt;0,1,0)</f>
        <v>0</v>
      </c>
    </row>
    <row r="61" customFormat="false" ht="15" hidden="false" customHeight="false" outlineLevel="0" collapsed="false">
      <c r="A61" s="42" t="str">
        <f aca="false">Sales_Transactions!A61</f>
        <v>INV-02-024</v>
      </c>
      <c r="B61" s="42" t="str">
        <f aca="false">Sales_Transactions!B61</f>
        <v>2025-02</v>
      </c>
      <c r="C61" s="42" t="str">
        <f aca="false">Sales_Transactions!C61</f>
        <v>Actual</v>
      </c>
      <c r="D61" s="42" t="str">
        <f aca="false">Sales_Transactions!D61</f>
        <v>C021</v>
      </c>
      <c r="E61" s="42" t="str">
        <f aca="false">Sales_Transactions!E61</f>
        <v>P005</v>
      </c>
      <c r="F61" s="42" t="str">
        <f aca="false">IFERROR(INDEX(Customer_Master!$C$2:$C$49,MATCH(D61,Customer_Master!$A$2:$A$49,0)),"UNMATCHED")</f>
        <v>South</v>
      </c>
      <c r="G61" s="42" t="str">
        <f aca="false">IFERROR(INDEX(Customer_Master!$D$2:$D$49,MATCH(D61,Customer_Master!$A$2:$A$49,0)),"UNMATCHED")</f>
        <v>Retail</v>
      </c>
      <c r="H61" s="42" t="str">
        <f aca="false">IFERROR(INDEX(Product_Master!$C$2:$C$9,MATCH(E61,Product_Master!$A$2:$A$9,0)),"UNMATCHED")</f>
        <v>Foods</v>
      </c>
      <c r="I61" s="42" t="str">
        <f aca="false">IFERROR(INDEX(Product_Master!$B$2:$B$9,MATCH(E61,Product_Master!$A$2:$A$9,0)),"UNMATCHED")</f>
        <v>Biscuits 500g</v>
      </c>
      <c r="J61" s="42" t="n">
        <f aca="false">IFERROR(INDEX(Calendar!$B$2:$B$25,MATCH(B61,Calendar!$A$2:$A$25,0)),0)</f>
        <v>2025</v>
      </c>
      <c r="K61" s="42" t="n">
        <f aca="false">IFERROR(VALUE(RIGHT(B61,2)),0)</f>
        <v>2</v>
      </c>
      <c r="L61" s="42" t="str">
        <f aca="false">IFERROR(INDEX(Calendar!$E$2:$E$25,MATCH(B61,Calendar!$A$2:$A$25,0)),"UNMATCHED")</f>
        <v>Actual</v>
      </c>
      <c r="M61" s="42" t="n">
        <f aca="false">Sales_Transactions!F61</f>
        <v>117</v>
      </c>
      <c r="N61" s="52" t="n">
        <f aca="false">Sales_Transactions!I61</f>
        <v>12019.41</v>
      </c>
      <c r="O61" s="52" t="n">
        <f aca="false">Sales_Transactions!J61</f>
        <v>8078.85</v>
      </c>
      <c r="P61" s="52" t="n">
        <f aca="false">Sales_Transactions!K61</f>
        <v>3940.56</v>
      </c>
      <c r="Q61" s="42" t="n">
        <f aca="false">IF(ISNUMBER(MATCH(E61,Product_Master!$A$2:$A$9,0)),0,1)</f>
        <v>0</v>
      </c>
      <c r="R61" s="42" t="n">
        <f aca="false">IF(ISNUMBER(MATCH(D61,Customer_Master!$A$2:$A$49,0)),0,1)</f>
        <v>0</v>
      </c>
      <c r="S61" s="42" t="n">
        <f aca="false">IF(ISNUMBER(MATCH(B61,Calendar!$A$2:$A$25,0)),0,1)</f>
        <v>0</v>
      </c>
      <c r="T61" s="42" t="n">
        <f aca="false">IF(COUNTIF(Sales_Transactions!$A$2:$A$865,A61)&gt;1,1,0)</f>
        <v>0</v>
      </c>
      <c r="U61" s="42" t="n">
        <f aca="false">IF(OR(ABS(Sales_Transactions!F61*Sales_Transactions!G61-Sales_Transactions!I61)&gt;0.01,ABS(Sales_Transactions!F61*Sales_Transactions!H61-Sales_Transactions!J61)&gt;0.01,ABS(Sales_Transactions!I61-Sales_Transactions!J61-Sales_Transactions!K61)&gt;0.01),1,0)</f>
        <v>0</v>
      </c>
      <c r="V61" s="42" t="n">
        <f aca="false">IF(C61&lt;&gt;L61,1,0)</f>
        <v>0</v>
      </c>
      <c r="W61" s="42" t="n">
        <f aca="false">IF(SUM(Q61:V61)&gt;0,1,0)</f>
        <v>0</v>
      </c>
    </row>
    <row r="62" customFormat="false" ht="15" hidden="false" customHeight="false" outlineLevel="0" collapsed="false">
      <c r="A62" s="42" t="str">
        <f aca="false">Sales_Transactions!A62</f>
        <v>INV-02-025</v>
      </c>
      <c r="B62" s="42" t="str">
        <f aca="false">Sales_Transactions!B62</f>
        <v>2025-02</v>
      </c>
      <c r="C62" s="42" t="str">
        <f aca="false">Sales_Transactions!C62</f>
        <v>Actual</v>
      </c>
      <c r="D62" s="42" t="str">
        <f aca="false">Sales_Transactions!D62</f>
        <v>C028</v>
      </c>
      <c r="E62" s="42" t="str">
        <f aca="false">Sales_Transactions!E62</f>
        <v>P002</v>
      </c>
      <c r="F62" s="42" t="str">
        <f aca="false">IFERROR(INDEX(Customer_Master!$C$2:$C$49,MATCH(D62,Customer_Master!$A$2:$A$49,0)),"UNMATCHED")</f>
        <v>East</v>
      </c>
      <c r="G62" s="42" t="str">
        <f aca="false">IFERROR(INDEX(Customer_Master!$D$2:$D$49,MATCH(D62,Customer_Master!$A$2:$A$49,0)),"UNMATCHED")</f>
        <v>Distributor</v>
      </c>
      <c r="H62" s="42" t="str">
        <f aca="false">IFERROR(INDEX(Product_Master!$C$2:$C$9,MATCH(E62,Product_Master!$A$2:$A$9,0)),"UNMATCHED")</f>
        <v>Home Care</v>
      </c>
      <c r="I62" s="42" t="str">
        <f aca="false">IFERROR(INDEX(Product_Master!$B$2:$B$9,MATCH(E62,Product_Master!$A$2:$A$9,0)),"UNMATCHED")</f>
        <v>Dishwash Gel</v>
      </c>
      <c r="J62" s="42" t="n">
        <f aca="false">IFERROR(INDEX(Calendar!$B$2:$B$25,MATCH(B62,Calendar!$A$2:$A$25,0)),0)</f>
        <v>2025</v>
      </c>
      <c r="K62" s="42" t="n">
        <f aca="false">IFERROR(VALUE(RIGHT(B62,2)),0)</f>
        <v>2</v>
      </c>
      <c r="L62" s="42" t="str">
        <f aca="false">IFERROR(INDEX(Calendar!$E$2:$E$25,MATCH(B62,Calendar!$A$2:$A$25,0)),"UNMATCHED")</f>
        <v>Actual</v>
      </c>
      <c r="M62" s="42" t="n">
        <f aca="false">Sales_Transactions!F62</f>
        <v>202</v>
      </c>
      <c r="N62" s="52" t="n">
        <f aca="false">Sales_Transactions!I62</f>
        <v>28308.28</v>
      </c>
      <c r="O62" s="52" t="n">
        <f aca="false">Sales_Transactions!J62</f>
        <v>15915.58</v>
      </c>
      <c r="P62" s="52" t="n">
        <f aca="false">Sales_Transactions!K62</f>
        <v>12392.7</v>
      </c>
      <c r="Q62" s="42" t="n">
        <f aca="false">IF(ISNUMBER(MATCH(E62,Product_Master!$A$2:$A$9,0)),0,1)</f>
        <v>0</v>
      </c>
      <c r="R62" s="42" t="n">
        <f aca="false">IF(ISNUMBER(MATCH(D62,Customer_Master!$A$2:$A$49,0)),0,1)</f>
        <v>0</v>
      </c>
      <c r="S62" s="42" t="n">
        <f aca="false">IF(ISNUMBER(MATCH(B62,Calendar!$A$2:$A$25,0)),0,1)</f>
        <v>0</v>
      </c>
      <c r="T62" s="42" t="n">
        <f aca="false">IF(COUNTIF(Sales_Transactions!$A$2:$A$865,A62)&gt;1,1,0)</f>
        <v>0</v>
      </c>
      <c r="U62" s="42" t="n">
        <f aca="false">IF(OR(ABS(Sales_Transactions!F62*Sales_Transactions!G62-Sales_Transactions!I62)&gt;0.01,ABS(Sales_Transactions!F62*Sales_Transactions!H62-Sales_Transactions!J62)&gt;0.01,ABS(Sales_Transactions!I62-Sales_Transactions!J62-Sales_Transactions!K62)&gt;0.01),1,0)</f>
        <v>0</v>
      </c>
      <c r="V62" s="42" t="n">
        <f aca="false">IF(C62&lt;&gt;L62,1,0)</f>
        <v>0</v>
      </c>
      <c r="W62" s="42" t="n">
        <f aca="false">IF(SUM(Q62:V62)&gt;0,1,0)</f>
        <v>0</v>
      </c>
    </row>
    <row r="63" customFormat="false" ht="15" hidden="false" customHeight="false" outlineLevel="0" collapsed="false">
      <c r="A63" s="42" t="str">
        <f aca="false">Sales_Transactions!A63</f>
        <v>INV-02-026</v>
      </c>
      <c r="B63" s="42" t="str">
        <f aca="false">Sales_Transactions!B63</f>
        <v>2025-02</v>
      </c>
      <c r="C63" s="42" t="str">
        <f aca="false">Sales_Transactions!C63</f>
        <v>Actual</v>
      </c>
      <c r="D63" s="42" t="str">
        <f aca="false">Sales_Transactions!D63</f>
        <v>C035</v>
      </c>
      <c r="E63" s="42" t="str">
        <f aca="false">Sales_Transactions!E63</f>
        <v>P007</v>
      </c>
      <c r="F63" s="42" t="str">
        <f aca="false">IFERROR(INDEX(Customer_Master!$C$2:$C$49,MATCH(D63,Customer_Master!$A$2:$A$49,0)),"UNMATCHED")</f>
        <v>West</v>
      </c>
      <c r="G63" s="42" t="str">
        <f aca="false">IFERROR(INDEX(Customer_Master!$D$2:$D$49,MATCH(D63,Customer_Master!$A$2:$A$49,0)),"UNMATCHED")</f>
        <v>Modern Trade</v>
      </c>
      <c r="H63" s="42" t="str">
        <f aca="false">IFERROR(INDEX(Product_Master!$C$2:$C$9,MATCH(E63,Product_Master!$A$2:$A$9,0)),"UNMATCHED")</f>
        <v>Home Care</v>
      </c>
      <c r="I63" s="42" t="str">
        <f aca="false">IFERROR(INDEX(Product_Master!$B$2:$B$9,MATCH(E63,Product_Master!$A$2:$A$9,0)),"UNMATCHED")</f>
        <v>Floor Cleaner</v>
      </c>
      <c r="J63" s="42" t="n">
        <f aca="false">IFERROR(INDEX(Calendar!$B$2:$B$25,MATCH(B63,Calendar!$A$2:$A$25,0)),0)</f>
        <v>2025</v>
      </c>
      <c r="K63" s="42" t="n">
        <f aca="false">IFERROR(VALUE(RIGHT(B63,2)),0)</f>
        <v>2</v>
      </c>
      <c r="L63" s="42" t="str">
        <f aca="false">IFERROR(INDEX(Calendar!$E$2:$E$25,MATCH(B63,Calendar!$A$2:$A$25,0)),"UNMATCHED")</f>
        <v>Actual</v>
      </c>
      <c r="M63" s="42" t="n">
        <f aca="false">Sales_Transactions!F63</f>
        <v>447</v>
      </c>
      <c r="N63" s="52" t="n">
        <f aca="false">Sales_Transactions!I63</f>
        <v>82556.43</v>
      </c>
      <c r="O63" s="52" t="n">
        <f aca="false">Sales_Transactions!J63</f>
        <v>49438.2</v>
      </c>
      <c r="P63" s="52" t="n">
        <f aca="false">Sales_Transactions!K63</f>
        <v>33118.23</v>
      </c>
      <c r="Q63" s="42" t="n">
        <f aca="false">IF(ISNUMBER(MATCH(E63,Product_Master!$A$2:$A$9,0)),0,1)</f>
        <v>0</v>
      </c>
      <c r="R63" s="42" t="n">
        <f aca="false">IF(ISNUMBER(MATCH(D63,Customer_Master!$A$2:$A$49,0)),0,1)</f>
        <v>0</v>
      </c>
      <c r="S63" s="42" t="n">
        <f aca="false">IF(ISNUMBER(MATCH(B63,Calendar!$A$2:$A$25,0)),0,1)</f>
        <v>0</v>
      </c>
      <c r="T63" s="42" t="n">
        <f aca="false">IF(COUNTIF(Sales_Transactions!$A$2:$A$865,A63)&gt;1,1,0)</f>
        <v>0</v>
      </c>
      <c r="U63" s="42" t="n">
        <f aca="false">IF(OR(ABS(Sales_Transactions!F63*Sales_Transactions!G63-Sales_Transactions!I63)&gt;0.01,ABS(Sales_Transactions!F63*Sales_Transactions!H63-Sales_Transactions!J63)&gt;0.01,ABS(Sales_Transactions!I63-Sales_Transactions!J63-Sales_Transactions!K63)&gt;0.01),1,0)</f>
        <v>0</v>
      </c>
      <c r="V63" s="42" t="n">
        <f aca="false">IF(C63&lt;&gt;L63,1,0)</f>
        <v>0</v>
      </c>
      <c r="W63" s="42" t="n">
        <f aca="false">IF(SUM(Q63:V63)&gt;0,1,0)</f>
        <v>0</v>
      </c>
    </row>
    <row r="64" customFormat="false" ht="15" hidden="false" customHeight="false" outlineLevel="0" collapsed="false">
      <c r="A64" s="42" t="str">
        <f aca="false">Sales_Transactions!A64</f>
        <v>INV-02-027</v>
      </c>
      <c r="B64" s="42" t="str">
        <f aca="false">Sales_Transactions!B64</f>
        <v>2025-02</v>
      </c>
      <c r="C64" s="42" t="str">
        <f aca="false">Sales_Transactions!C64</f>
        <v>Actual</v>
      </c>
      <c r="D64" s="42" t="str">
        <f aca="false">Sales_Transactions!D64</f>
        <v>C042</v>
      </c>
      <c r="E64" s="42" t="str">
        <f aca="false">Sales_Transactions!E64</f>
        <v>P004</v>
      </c>
      <c r="F64" s="42" t="str">
        <f aca="false">IFERROR(INDEX(Customer_Master!$C$2:$C$49,MATCH(D64,Customer_Master!$A$2:$A$49,0)),"UNMATCHED")</f>
        <v>North</v>
      </c>
      <c r="G64" s="42" t="str">
        <f aca="false">IFERROR(INDEX(Customer_Master!$D$2:$D$49,MATCH(D64,Customer_Master!$A$2:$A$49,0)),"UNMATCHED")</f>
        <v>Retail</v>
      </c>
      <c r="H64" s="42" t="str">
        <f aca="false">IFERROR(INDEX(Product_Master!$C$2:$C$9,MATCH(E64,Product_Master!$A$2:$A$9,0)),"UNMATCHED")</f>
        <v>Personal Care</v>
      </c>
      <c r="I64" s="42" t="str">
        <f aca="false">IFERROR(INDEX(Product_Master!$B$2:$B$9,MATCH(E64,Product_Master!$A$2:$A$9,0)),"UNMATCHED")</f>
        <v>Soap 4-pack</v>
      </c>
      <c r="J64" s="42" t="n">
        <f aca="false">IFERROR(INDEX(Calendar!$B$2:$B$25,MATCH(B64,Calendar!$A$2:$A$25,0)),0)</f>
        <v>2025</v>
      </c>
      <c r="K64" s="42" t="n">
        <f aca="false">IFERROR(VALUE(RIGHT(B64,2)),0)</f>
        <v>2</v>
      </c>
      <c r="L64" s="42" t="str">
        <f aca="false">IFERROR(INDEX(Calendar!$E$2:$E$25,MATCH(B64,Calendar!$A$2:$A$25,0)),"UNMATCHED")</f>
        <v>Actual</v>
      </c>
      <c r="M64" s="42" t="n">
        <f aca="false">Sales_Transactions!F64</f>
        <v>101</v>
      </c>
      <c r="N64" s="52" t="n">
        <f aca="false">Sales_Transactions!I64</f>
        <v>17706.31</v>
      </c>
      <c r="O64" s="52" t="n">
        <f aca="false">Sales_Transactions!J64</f>
        <v>9390.98</v>
      </c>
      <c r="P64" s="52" t="n">
        <f aca="false">Sales_Transactions!K64</f>
        <v>8315.33</v>
      </c>
      <c r="Q64" s="42" t="n">
        <f aca="false">IF(ISNUMBER(MATCH(E64,Product_Master!$A$2:$A$9,0)),0,1)</f>
        <v>0</v>
      </c>
      <c r="R64" s="42" t="n">
        <f aca="false">IF(ISNUMBER(MATCH(D64,Customer_Master!$A$2:$A$49,0)),0,1)</f>
        <v>0</v>
      </c>
      <c r="S64" s="42" t="n">
        <f aca="false">IF(ISNUMBER(MATCH(B64,Calendar!$A$2:$A$25,0)),0,1)</f>
        <v>0</v>
      </c>
      <c r="T64" s="42" t="n">
        <f aca="false">IF(COUNTIF(Sales_Transactions!$A$2:$A$865,A64)&gt;1,1,0)</f>
        <v>0</v>
      </c>
      <c r="U64" s="42" t="n">
        <f aca="false">IF(OR(ABS(Sales_Transactions!F64*Sales_Transactions!G64-Sales_Transactions!I64)&gt;0.01,ABS(Sales_Transactions!F64*Sales_Transactions!H64-Sales_Transactions!J64)&gt;0.01,ABS(Sales_Transactions!I64-Sales_Transactions!J64-Sales_Transactions!K64)&gt;0.01),1,0)</f>
        <v>0</v>
      </c>
      <c r="V64" s="42" t="n">
        <f aca="false">IF(C64&lt;&gt;L64,1,0)</f>
        <v>0</v>
      </c>
      <c r="W64" s="42" t="n">
        <f aca="false">IF(SUM(Q64:V64)&gt;0,1,0)</f>
        <v>0</v>
      </c>
    </row>
    <row r="65" customFormat="false" ht="15" hidden="false" customHeight="false" outlineLevel="0" collapsed="false">
      <c r="A65" s="42" t="str">
        <f aca="false">Sales_Transactions!A65</f>
        <v>INV-02-028</v>
      </c>
      <c r="B65" s="42" t="str">
        <f aca="false">Sales_Transactions!B65</f>
        <v>2025-02</v>
      </c>
      <c r="C65" s="42" t="str">
        <f aca="false">Sales_Transactions!C65</f>
        <v>Actual</v>
      </c>
      <c r="D65" s="42" t="str">
        <f aca="false">Sales_Transactions!D65</f>
        <v>C001</v>
      </c>
      <c r="E65" s="42" t="str">
        <f aca="false">Sales_Transactions!E65</f>
        <v>P001</v>
      </c>
      <c r="F65" s="42" t="str">
        <f aca="false">IFERROR(INDEX(Customer_Master!$C$2:$C$49,MATCH(D65,Customer_Master!$A$2:$A$49,0)),"UNMATCHED")</f>
        <v>South</v>
      </c>
      <c r="G65" s="42" t="str">
        <f aca="false">IFERROR(INDEX(Customer_Master!$D$2:$D$49,MATCH(D65,Customer_Master!$A$2:$A$49,0)),"UNMATCHED")</f>
        <v>Distributor</v>
      </c>
      <c r="H65" s="42" t="str">
        <f aca="false">IFERROR(INDEX(Product_Master!$C$2:$C$9,MATCH(E65,Product_Master!$A$2:$A$9,0)),"UNMATCHED")</f>
        <v>Home Care</v>
      </c>
      <c r="I65" s="42" t="str">
        <f aca="false">IFERROR(INDEX(Product_Master!$B$2:$B$9,MATCH(E65,Product_Master!$A$2:$A$9,0)),"UNMATCHED")</f>
        <v>Detergent 1kg</v>
      </c>
      <c r="J65" s="42" t="n">
        <f aca="false">IFERROR(INDEX(Calendar!$B$2:$B$25,MATCH(B65,Calendar!$A$2:$A$25,0)),0)</f>
        <v>2025</v>
      </c>
      <c r="K65" s="42" t="n">
        <f aca="false">IFERROR(VALUE(RIGHT(B65,2)),0)</f>
        <v>2</v>
      </c>
      <c r="L65" s="42" t="str">
        <f aca="false">IFERROR(INDEX(Calendar!$E$2:$E$25,MATCH(B65,Calendar!$A$2:$A$25,0)),"UNMATCHED")</f>
        <v>Actual</v>
      </c>
      <c r="M65" s="42" t="n">
        <f aca="false">Sales_Transactions!F65</f>
        <v>206</v>
      </c>
      <c r="N65" s="52" t="n">
        <f aca="false">Sales_Transactions!I65</f>
        <v>40067</v>
      </c>
      <c r="O65" s="52" t="n">
        <f aca="false">Sales_Transactions!J65</f>
        <v>27688.46</v>
      </c>
      <c r="P65" s="52" t="n">
        <f aca="false">Sales_Transactions!K65</f>
        <v>12378.54</v>
      </c>
      <c r="Q65" s="42" t="n">
        <f aca="false">IF(ISNUMBER(MATCH(E65,Product_Master!$A$2:$A$9,0)),0,1)</f>
        <v>0</v>
      </c>
      <c r="R65" s="42" t="n">
        <f aca="false">IF(ISNUMBER(MATCH(D65,Customer_Master!$A$2:$A$49,0)),0,1)</f>
        <v>0</v>
      </c>
      <c r="S65" s="42" t="n">
        <f aca="false">IF(ISNUMBER(MATCH(B65,Calendar!$A$2:$A$25,0)),0,1)</f>
        <v>0</v>
      </c>
      <c r="T65" s="42" t="n">
        <f aca="false">IF(COUNTIF(Sales_Transactions!$A$2:$A$865,A65)&gt;1,1,0)</f>
        <v>0</v>
      </c>
      <c r="U65" s="42" t="n">
        <f aca="false">IF(OR(ABS(Sales_Transactions!F65*Sales_Transactions!G65-Sales_Transactions!I65)&gt;0.01,ABS(Sales_Transactions!F65*Sales_Transactions!H65-Sales_Transactions!J65)&gt;0.01,ABS(Sales_Transactions!I65-Sales_Transactions!J65-Sales_Transactions!K65)&gt;0.01),1,0)</f>
        <v>0</v>
      </c>
      <c r="V65" s="42" t="n">
        <f aca="false">IF(C65&lt;&gt;L65,1,0)</f>
        <v>0</v>
      </c>
      <c r="W65" s="42" t="n">
        <f aca="false">IF(SUM(Q65:V65)&gt;0,1,0)</f>
        <v>0</v>
      </c>
    </row>
    <row r="66" customFormat="false" ht="15" hidden="false" customHeight="false" outlineLevel="0" collapsed="false">
      <c r="A66" s="42" t="str">
        <f aca="false">Sales_Transactions!A66</f>
        <v>INV-02-029</v>
      </c>
      <c r="B66" s="42" t="str">
        <f aca="false">Sales_Transactions!B66</f>
        <v>2025-02</v>
      </c>
      <c r="C66" s="42" t="str">
        <f aca="false">Sales_Transactions!C66</f>
        <v>Actual</v>
      </c>
      <c r="D66" s="42" t="str">
        <f aca="false">Sales_Transactions!D66</f>
        <v>C008</v>
      </c>
      <c r="E66" s="42" t="str">
        <f aca="false">Sales_Transactions!E66</f>
        <v>P006</v>
      </c>
      <c r="F66" s="42" t="str">
        <f aca="false">IFERROR(INDEX(Customer_Master!$C$2:$C$49,MATCH(D66,Customer_Master!$A$2:$A$49,0)),"UNMATCHED")</f>
        <v>East</v>
      </c>
      <c r="G66" s="42" t="str">
        <f aca="false">IFERROR(INDEX(Customer_Master!$D$2:$D$49,MATCH(D66,Customer_Master!$A$2:$A$49,0)),"UNMATCHED")</f>
        <v>Modern Trade</v>
      </c>
      <c r="H66" s="42" t="str">
        <f aca="false">IFERROR(INDEX(Product_Master!$C$2:$C$9,MATCH(E66,Product_Master!$A$2:$A$9,0)),"UNMATCHED")</f>
        <v>Foods</v>
      </c>
      <c r="I66" s="42" t="str">
        <f aca="false">IFERROR(INDEX(Product_Master!$B$2:$B$9,MATCH(E66,Product_Master!$A$2:$A$9,0)),"UNMATCHED")</f>
        <v>Breakfast Cereal</v>
      </c>
      <c r="J66" s="42" t="n">
        <f aca="false">IFERROR(INDEX(Calendar!$B$2:$B$25,MATCH(B66,Calendar!$A$2:$A$25,0)),0)</f>
        <v>2025</v>
      </c>
      <c r="K66" s="42" t="n">
        <f aca="false">IFERROR(VALUE(RIGHT(B66,2)),0)</f>
        <v>2</v>
      </c>
      <c r="L66" s="42" t="str">
        <f aca="false">IFERROR(INDEX(Calendar!$E$2:$E$25,MATCH(B66,Calendar!$A$2:$A$25,0)),"UNMATCHED")</f>
        <v>Actual</v>
      </c>
      <c r="M66" s="42" t="n">
        <f aca="false">Sales_Transactions!F66</f>
        <v>361</v>
      </c>
      <c r="N66" s="52" t="n">
        <f aca="false">Sales_Transactions!I66</f>
        <v>83513.74</v>
      </c>
      <c r="O66" s="52" t="n">
        <f aca="false">Sales_Transactions!J66</f>
        <v>60384.47</v>
      </c>
      <c r="P66" s="52" t="n">
        <f aca="false">Sales_Transactions!K66</f>
        <v>23129.27</v>
      </c>
      <c r="Q66" s="42" t="n">
        <f aca="false">IF(ISNUMBER(MATCH(E66,Product_Master!$A$2:$A$9,0)),0,1)</f>
        <v>0</v>
      </c>
      <c r="R66" s="42" t="n">
        <f aca="false">IF(ISNUMBER(MATCH(D66,Customer_Master!$A$2:$A$49,0)),0,1)</f>
        <v>0</v>
      </c>
      <c r="S66" s="42" t="n">
        <f aca="false">IF(ISNUMBER(MATCH(B66,Calendar!$A$2:$A$25,0)),0,1)</f>
        <v>0</v>
      </c>
      <c r="T66" s="42" t="n">
        <f aca="false">IF(COUNTIF(Sales_Transactions!$A$2:$A$865,A66)&gt;1,1,0)</f>
        <v>0</v>
      </c>
      <c r="U66" s="42" t="n">
        <f aca="false">IF(OR(ABS(Sales_Transactions!F66*Sales_Transactions!G66-Sales_Transactions!I66)&gt;0.01,ABS(Sales_Transactions!F66*Sales_Transactions!H66-Sales_Transactions!J66)&gt;0.01,ABS(Sales_Transactions!I66-Sales_Transactions!J66-Sales_Transactions!K66)&gt;0.01),1,0)</f>
        <v>0</v>
      </c>
      <c r="V66" s="42" t="n">
        <f aca="false">IF(C66&lt;&gt;L66,1,0)</f>
        <v>0</v>
      </c>
      <c r="W66" s="42" t="n">
        <f aca="false">IF(SUM(Q66:V66)&gt;0,1,0)</f>
        <v>0</v>
      </c>
    </row>
    <row r="67" customFormat="false" ht="15" hidden="false" customHeight="false" outlineLevel="0" collapsed="false">
      <c r="A67" s="42" t="str">
        <f aca="false">Sales_Transactions!A67</f>
        <v>INV-02-030</v>
      </c>
      <c r="B67" s="42" t="str">
        <f aca="false">Sales_Transactions!B67</f>
        <v>2025-02</v>
      </c>
      <c r="C67" s="42" t="str">
        <f aca="false">Sales_Transactions!C67</f>
        <v>Actual</v>
      </c>
      <c r="D67" s="42" t="str">
        <f aca="false">Sales_Transactions!D67</f>
        <v>C015</v>
      </c>
      <c r="E67" s="42" t="str">
        <f aca="false">Sales_Transactions!E67</f>
        <v>P003</v>
      </c>
      <c r="F67" s="42" t="str">
        <f aca="false">IFERROR(INDEX(Customer_Master!$C$2:$C$49,MATCH(D67,Customer_Master!$A$2:$A$49,0)),"UNMATCHED")</f>
        <v>West</v>
      </c>
      <c r="G67" s="42" t="str">
        <f aca="false">IFERROR(INDEX(Customer_Master!$D$2:$D$49,MATCH(D67,Customer_Master!$A$2:$A$49,0)),"UNMATCHED")</f>
        <v>Retail</v>
      </c>
      <c r="H67" s="42" t="str">
        <f aca="false">IFERROR(INDEX(Product_Master!$C$2:$C$9,MATCH(E67,Product_Master!$A$2:$A$9,0)),"UNMATCHED")</f>
        <v>Personal Care</v>
      </c>
      <c r="I67" s="42" t="str">
        <f aca="false">IFERROR(INDEX(Product_Master!$B$2:$B$9,MATCH(E67,Product_Master!$A$2:$A$9,0)),"UNMATCHED")</f>
        <v>Shampoo 400ml</v>
      </c>
      <c r="J67" s="42" t="n">
        <f aca="false">IFERROR(INDEX(Calendar!$B$2:$B$25,MATCH(B67,Calendar!$A$2:$A$25,0)),0)</f>
        <v>2025</v>
      </c>
      <c r="K67" s="42" t="n">
        <f aca="false">IFERROR(VALUE(RIGHT(B67,2)),0)</f>
        <v>2</v>
      </c>
      <c r="L67" s="42" t="str">
        <f aca="false">IFERROR(INDEX(Calendar!$E$2:$E$25,MATCH(B67,Calendar!$A$2:$A$25,0)),"UNMATCHED")</f>
        <v>Actual</v>
      </c>
      <c r="M67" s="42" t="n">
        <f aca="false">Sales_Transactions!F67</f>
        <v>377</v>
      </c>
      <c r="N67" s="52" t="n">
        <f aca="false">Sales_Transactions!I67</f>
        <v>101854.09</v>
      </c>
      <c r="O67" s="52" t="n">
        <f aca="false">Sales_Transactions!J67</f>
        <v>63769.55</v>
      </c>
      <c r="P67" s="52" t="n">
        <f aca="false">Sales_Transactions!K67</f>
        <v>38084.54</v>
      </c>
      <c r="Q67" s="42" t="n">
        <f aca="false">IF(ISNUMBER(MATCH(E67,Product_Master!$A$2:$A$9,0)),0,1)</f>
        <v>0</v>
      </c>
      <c r="R67" s="42" t="n">
        <f aca="false">IF(ISNUMBER(MATCH(D67,Customer_Master!$A$2:$A$49,0)),0,1)</f>
        <v>0</v>
      </c>
      <c r="S67" s="42" t="n">
        <f aca="false">IF(ISNUMBER(MATCH(B67,Calendar!$A$2:$A$25,0)),0,1)</f>
        <v>0</v>
      </c>
      <c r="T67" s="42" t="n">
        <f aca="false">IF(COUNTIF(Sales_Transactions!$A$2:$A$865,A67)&gt;1,1,0)</f>
        <v>0</v>
      </c>
      <c r="U67" s="42" t="n">
        <f aca="false">IF(OR(ABS(Sales_Transactions!F67*Sales_Transactions!G67-Sales_Transactions!I67)&gt;0.01,ABS(Sales_Transactions!F67*Sales_Transactions!H67-Sales_Transactions!J67)&gt;0.01,ABS(Sales_Transactions!I67-Sales_Transactions!J67-Sales_Transactions!K67)&gt;0.01),1,0)</f>
        <v>0</v>
      </c>
      <c r="V67" s="42" t="n">
        <f aca="false">IF(C67&lt;&gt;L67,1,0)</f>
        <v>0</v>
      </c>
      <c r="W67" s="42" t="n">
        <f aca="false">IF(SUM(Q67:V67)&gt;0,1,0)</f>
        <v>0</v>
      </c>
    </row>
    <row r="68" customFormat="false" ht="15" hidden="false" customHeight="false" outlineLevel="0" collapsed="false">
      <c r="A68" s="42" t="str">
        <f aca="false">Sales_Transactions!A68</f>
        <v>INV-02-031</v>
      </c>
      <c r="B68" s="42" t="str">
        <f aca="false">Sales_Transactions!B68</f>
        <v>2025-02</v>
      </c>
      <c r="C68" s="42" t="str">
        <f aca="false">Sales_Transactions!C68</f>
        <v>Actual</v>
      </c>
      <c r="D68" s="42" t="str">
        <f aca="false">Sales_Transactions!D68</f>
        <v>C022</v>
      </c>
      <c r="E68" s="42" t="str">
        <f aca="false">Sales_Transactions!E68</f>
        <v>P008</v>
      </c>
      <c r="F68" s="42" t="str">
        <f aca="false">IFERROR(INDEX(Customer_Master!$C$2:$C$49,MATCH(D68,Customer_Master!$A$2:$A$49,0)),"UNMATCHED")</f>
        <v>North</v>
      </c>
      <c r="G68" s="42" t="str">
        <f aca="false">IFERROR(INDEX(Customer_Master!$D$2:$D$49,MATCH(D68,Customer_Master!$A$2:$A$49,0)),"UNMATCHED")</f>
        <v>Distributor</v>
      </c>
      <c r="H68" s="42" t="str">
        <f aca="false">IFERROR(INDEX(Product_Master!$C$2:$C$9,MATCH(E68,Product_Master!$A$2:$A$9,0)),"UNMATCHED")</f>
        <v>Personal Care</v>
      </c>
      <c r="I68" s="42" t="str">
        <f aca="false">IFERROR(INDEX(Product_Master!$B$2:$B$9,MATCH(E68,Product_Master!$A$2:$A$9,0)),"UNMATCHED")</f>
        <v>Body Lotion</v>
      </c>
      <c r="J68" s="42" t="n">
        <f aca="false">IFERROR(INDEX(Calendar!$B$2:$B$25,MATCH(B68,Calendar!$A$2:$A$25,0)),0)</f>
        <v>2025</v>
      </c>
      <c r="K68" s="42" t="n">
        <f aca="false">IFERROR(VALUE(RIGHT(B68,2)),0)</f>
        <v>2</v>
      </c>
      <c r="L68" s="42" t="str">
        <f aca="false">IFERROR(INDEX(Calendar!$E$2:$E$25,MATCH(B68,Calendar!$A$2:$A$25,0)),"UNMATCHED")</f>
        <v>Actual</v>
      </c>
      <c r="M68" s="42" t="n">
        <f aca="false">Sales_Transactions!F68</f>
        <v>327</v>
      </c>
      <c r="N68" s="52" t="n">
        <f aca="false">Sales_Transactions!I68</f>
        <v>105741.99</v>
      </c>
      <c r="O68" s="52" t="n">
        <f aca="false">Sales_Transactions!J68</f>
        <v>64922.58</v>
      </c>
      <c r="P68" s="52" t="n">
        <f aca="false">Sales_Transactions!K68</f>
        <v>40819.41</v>
      </c>
      <c r="Q68" s="42" t="n">
        <f aca="false">IF(ISNUMBER(MATCH(E68,Product_Master!$A$2:$A$9,0)),0,1)</f>
        <v>0</v>
      </c>
      <c r="R68" s="42" t="n">
        <f aca="false">IF(ISNUMBER(MATCH(D68,Customer_Master!$A$2:$A$49,0)),0,1)</f>
        <v>0</v>
      </c>
      <c r="S68" s="42" t="n">
        <f aca="false">IF(ISNUMBER(MATCH(B68,Calendar!$A$2:$A$25,0)),0,1)</f>
        <v>0</v>
      </c>
      <c r="T68" s="42" t="n">
        <f aca="false">IF(COUNTIF(Sales_Transactions!$A$2:$A$865,A68)&gt;1,1,0)</f>
        <v>0</v>
      </c>
      <c r="U68" s="42" t="n">
        <f aca="false">IF(OR(ABS(Sales_Transactions!F68*Sales_Transactions!G68-Sales_Transactions!I68)&gt;0.01,ABS(Sales_Transactions!F68*Sales_Transactions!H68-Sales_Transactions!J68)&gt;0.01,ABS(Sales_Transactions!I68-Sales_Transactions!J68-Sales_Transactions!K68)&gt;0.01),1,0)</f>
        <v>0</v>
      </c>
      <c r="V68" s="42" t="n">
        <f aca="false">IF(C68&lt;&gt;L68,1,0)</f>
        <v>0</v>
      </c>
      <c r="W68" s="42" t="n">
        <f aca="false">IF(SUM(Q68:V68)&gt;0,1,0)</f>
        <v>0</v>
      </c>
    </row>
    <row r="69" customFormat="false" ht="15" hidden="false" customHeight="false" outlineLevel="0" collapsed="false">
      <c r="A69" s="42" t="str">
        <f aca="false">Sales_Transactions!A69</f>
        <v>INV-02-032</v>
      </c>
      <c r="B69" s="42" t="str">
        <f aca="false">Sales_Transactions!B69</f>
        <v>2025-02</v>
      </c>
      <c r="C69" s="42" t="str">
        <f aca="false">Sales_Transactions!C69</f>
        <v>Actual</v>
      </c>
      <c r="D69" s="42" t="str">
        <f aca="false">Sales_Transactions!D69</f>
        <v>C029</v>
      </c>
      <c r="E69" s="42" t="str">
        <f aca="false">Sales_Transactions!E69</f>
        <v>P005</v>
      </c>
      <c r="F69" s="42" t="str">
        <f aca="false">IFERROR(INDEX(Customer_Master!$C$2:$C$49,MATCH(D69,Customer_Master!$A$2:$A$49,0)),"UNMATCHED")</f>
        <v>South</v>
      </c>
      <c r="G69" s="42" t="str">
        <f aca="false">IFERROR(INDEX(Customer_Master!$D$2:$D$49,MATCH(D69,Customer_Master!$A$2:$A$49,0)),"UNMATCHED")</f>
        <v>Modern Trade</v>
      </c>
      <c r="H69" s="42" t="str">
        <f aca="false">IFERROR(INDEX(Product_Master!$C$2:$C$9,MATCH(E69,Product_Master!$A$2:$A$9,0)),"UNMATCHED")</f>
        <v>Foods</v>
      </c>
      <c r="I69" s="42" t="str">
        <f aca="false">IFERROR(INDEX(Product_Master!$B$2:$B$9,MATCH(E69,Product_Master!$A$2:$A$9,0)),"UNMATCHED")</f>
        <v>Biscuits 500g</v>
      </c>
      <c r="J69" s="42" t="n">
        <f aca="false">IFERROR(INDEX(Calendar!$B$2:$B$25,MATCH(B69,Calendar!$A$2:$A$25,0)),0)</f>
        <v>2025</v>
      </c>
      <c r="K69" s="42" t="n">
        <f aca="false">IFERROR(VALUE(RIGHT(B69,2)),0)</f>
        <v>2</v>
      </c>
      <c r="L69" s="42" t="str">
        <f aca="false">IFERROR(INDEX(Calendar!$E$2:$E$25,MATCH(B69,Calendar!$A$2:$A$25,0)),"UNMATCHED")</f>
        <v>Actual</v>
      </c>
      <c r="M69" s="42" t="n">
        <f aca="false">Sales_Transactions!F69</f>
        <v>134</v>
      </c>
      <c r="N69" s="52" t="n">
        <f aca="false">Sales_Transactions!I69</f>
        <v>14380.88</v>
      </c>
      <c r="O69" s="52" t="n">
        <f aca="false">Sales_Transactions!J69</f>
        <v>9000.78</v>
      </c>
      <c r="P69" s="52" t="n">
        <f aca="false">Sales_Transactions!K69</f>
        <v>5380.1</v>
      </c>
      <c r="Q69" s="42" t="n">
        <f aca="false">IF(ISNUMBER(MATCH(E69,Product_Master!$A$2:$A$9,0)),0,1)</f>
        <v>0</v>
      </c>
      <c r="R69" s="42" t="n">
        <f aca="false">IF(ISNUMBER(MATCH(D69,Customer_Master!$A$2:$A$49,0)),0,1)</f>
        <v>0</v>
      </c>
      <c r="S69" s="42" t="n">
        <f aca="false">IF(ISNUMBER(MATCH(B69,Calendar!$A$2:$A$25,0)),0,1)</f>
        <v>0</v>
      </c>
      <c r="T69" s="42" t="n">
        <f aca="false">IF(COUNTIF(Sales_Transactions!$A$2:$A$865,A69)&gt;1,1,0)</f>
        <v>0</v>
      </c>
      <c r="U69" s="42" t="n">
        <f aca="false">IF(OR(ABS(Sales_Transactions!F69*Sales_Transactions!G69-Sales_Transactions!I69)&gt;0.01,ABS(Sales_Transactions!F69*Sales_Transactions!H69-Sales_Transactions!J69)&gt;0.01,ABS(Sales_Transactions!I69-Sales_Transactions!J69-Sales_Transactions!K69)&gt;0.01),1,0)</f>
        <v>0</v>
      </c>
      <c r="V69" s="42" t="n">
        <f aca="false">IF(C69&lt;&gt;L69,1,0)</f>
        <v>0</v>
      </c>
      <c r="W69" s="42" t="n">
        <f aca="false">IF(SUM(Q69:V69)&gt;0,1,0)</f>
        <v>0</v>
      </c>
    </row>
    <row r="70" customFormat="false" ht="15" hidden="false" customHeight="false" outlineLevel="0" collapsed="false">
      <c r="A70" s="42" t="str">
        <f aca="false">Sales_Transactions!A70</f>
        <v>INV-02-033</v>
      </c>
      <c r="B70" s="42" t="str">
        <f aca="false">Sales_Transactions!B70</f>
        <v>2025-02</v>
      </c>
      <c r="C70" s="42" t="str">
        <f aca="false">Sales_Transactions!C70</f>
        <v>Actual</v>
      </c>
      <c r="D70" s="42" t="str">
        <f aca="false">Sales_Transactions!D70</f>
        <v>C036</v>
      </c>
      <c r="E70" s="42" t="str">
        <f aca="false">Sales_Transactions!E70</f>
        <v>P002</v>
      </c>
      <c r="F70" s="42" t="str">
        <f aca="false">IFERROR(INDEX(Customer_Master!$C$2:$C$49,MATCH(D70,Customer_Master!$A$2:$A$49,0)),"UNMATCHED")</f>
        <v>East</v>
      </c>
      <c r="G70" s="42" t="str">
        <f aca="false">IFERROR(INDEX(Customer_Master!$D$2:$D$49,MATCH(D70,Customer_Master!$A$2:$A$49,0)),"UNMATCHED")</f>
        <v>Retail</v>
      </c>
      <c r="H70" s="42" t="str">
        <f aca="false">IFERROR(INDEX(Product_Master!$C$2:$C$9,MATCH(E70,Product_Master!$A$2:$A$9,0)),"UNMATCHED")</f>
        <v>Home Care</v>
      </c>
      <c r="I70" s="42" t="str">
        <f aca="false">IFERROR(INDEX(Product_Master!$B$2:$B$9,MATCH(E70,Product_Master!$A$2:$A$9,0)),"UNMATCHED")</f>
        <v>Dishwash Gel</v>
      </c>
      <c r="J70" s="42" t="n">
        <f aca="false">IFERROR(INDEX(Calendar!$B$2:$B$25,MATCH(B70,Calendar!$A$2:$A$25,0)),0)</f>
        <v>2025</v>
      </c>
      <c r="K70" s="42" t="n">
        <f aca="false">IFERROR(VALUE(RIGHT(B70,2)),0)</f>
        <v>2</v>
      </c>
      <c r="L70" s="42" t="str">
        <f aca="false">IFERROR(INDEX(Calendar!$E$2:$E$25,MATCH(B70,Calendar!$A$2:$A$25,0)),"UNMATCHED")</f>
        <v>Actual</v>
      </c>
      <c r="M70" s="42" t="n">
        <f aca="false">Sales_Transactions!F70</f>
        <v>295</v>
      </c>
      <c r="N70" s="52" t="n">
        <f aca="false">Sales_Transactions!I70</f>
        <v>40665.75</v>
      </c>
      <c r="O70" s="52" t="n">
        <f aca="false">Sales_Transactions!J70</f>
        <v>25337.55</v>
      </c>
      <c r="P70" s="52" t="n">
        <f aca="false">Sales_Transactions!K70</f>
        <v>15328.2</v>
      </c>
      <c r="Q70" s="42" t="n">
        <f aca="false">IF(ISNUMBER(MATCH(E70,Product_Master!$A$2:$A$9,0)),0,1)</f>
        <v>0</v>
      </c>
      <c r="R70" s="42" t="n">
        <f aca="false">IF(ISNUMBER(MATCH(D70,Customer_Master!$A$2:$A$49,0)),0,1)</f>
        <v>0</v>
      </c>
      <c r="S70" s="42" t="n">
        <f aca="false">IF(ISNUMBER(MATCH(B70,Calendar!$A$2:$A$25,0)),0,1)</f>
        <v>0</v>
      </c>
      <c r="T70" s="42" t="n">
        <f aca="false">IF(COUNTIF(Sales_Transactions!$A$2:$A$865,A70)&gt;1,1,0)</f>
        <v>0</v>
      </c>
      <c r="U70" s="42" t="n">
        <f aca="false">IF(OR(ABS(Sales_Transactions!F70*Sales_Transactions!G70-Sales_Transactions!I70)&gt;0.01,ABS(Sales_Transactions!F70*Sales_Transactions!H70-Sales_Transactions!J70)&gt;0.01,ABS(Sales_Transactions!I70-Sales_Transactions!J70-Sales_Transactions!K70)&gt;0.01),1,0)</f>
        <v>0</v>
      </c>
      <c r="V70" s="42" t="n">
        <f aca="false">IF(C70&lt;&gt;L70,1,0)</f>
        <v>0</v>
      </c>
      <c r="W70" s="42" t="n">
        <f aca="false">IF(SUM(Q70:V70)&gt;0,1,0)</f>
        <v>0</v>
      </c>
    </row>
    <row r="71" customFormat="false" ht="15" hidden="false" customHeight="false" outlineLevel="0" collapsed="false">
      <c r="A71" s="42" t="str">
        <f aca="false">Sales_Transactions!A71</f>
        <v>INV-02-034</v>
      </c>
      <c r="B71" s="42" t="str">
        <f aca="false">Sales_Transactions!B71</f>
        <v>2025-02</v>
      </c>
      <c r="C71" s="42" t="str">
        <f aca="false">Sales_Transactions!C71</f>
        <v>Actual</v>
      </c>
      <c r="D71" s="42" t="str">
        <f aca="false">Sales_Transactions!D71</f>
        <v>C043</v>
      </c>
      <c r="E71" s="42" t="str">
        <f aca="false">Sales_Transactions!E71</f>
        <v>P007</v>
      </c>
      <c r="F71" s="42" t="str">
        <f aca="false">IFERROR(INDEX(Customer_Master!$C$2:$C$49,MATCH(D71,Customer_Master!$A$2:$A$49,0)),"UNMATCHED")</f>
        <v>West</v>
      </c>
      <c r="G71" s="42" t="str">
        <f aca="false">IFERROR(INDEX(Customer_Master!$D$2:$D$49,MATCH(D71,Customer_Master!$A$2:$A$49,0)),"UNMATCHED")</f>
        <v>Distributor</v>
      </c>
      <c r="H71" s="42" t="str">
        <f aca="false">IFERROR(INDEX(Product_Master!$C$2:$C$9,MATCH(E71,Product_Master!$A$2:$A$9,0)),"UNMATCHED")</f>
        <v>Home Care</v>
      </c>
      <c r="I71" s="42" t="str">
        <f aca="false">IFERROR(INDEX(Product_Master!$B$2:$B$9,MATCH(E71,Product_Master!$A$2:$A$9,0)),"UNMATCHED")</f>
        <v>Floor Cleaner</v>
      </c>
      <c r="J71" s="42" t="n">
        <f aca="false">IFERROR(INDEX(Calendar!$B$2:$B$25,MATCH(B71,Calendar!$A$2:$A$25,0)),0)</f>
        <v>2025</v>
      </c>
      <c r="K71" s="42" t="n">
        <f aca="false">IFERROR(VALUE(RIGHT(B71,2)),0)</f>
        <v>2</v>
      </c>
      <c r="L71" s="42" t="str">
        <f aca="false">IFERROR(INDEX(Calendar!$E$2:$E$25,MATCH(B71,Calendar!$A$2:$A$25,0)),"UNMATCHED")</f>
        <v>Actual</v>
      </c>
      <c r="M71" s="42" t="n">
        <f aca="false">Sales_Transactions!F71</f>
        <v>429</v>
      </c>
      <c r="N71" s="52" t="n">
        <f aca="false">Sales_Transactions!I71</f>
        <v>79467.96</v>
      </c>
      <c r="O71" s="52" t="n">
        <f aca="false">Sales_Transactions!J71</f>
        <v>49849.8</v>
      </c>
      <c r="P71" s="52" t="n">
        <f aca="false">Sales_Transactions!K71</f>
        <v>29618.16</v>
      </c>
      <c r="Q71" s="42" t="n">
        <f aca="false">IF(ISNUMBER(MATCH(E71,Product_Master!$A$2:$A$9,0)),0,1)</f>
        <v>0</v>
      </c>
      <c r="R71" s="42" t="n">
        <f aca="false">IF(ISNUMBER(MATCH(D71,Customer_Master!$A$2:$A$49,0)),0,1)</f>
        <v>0</v>
      </c>
      <c r="S71" s="42" t="n">
        <f aca="false">IF(ISNUMBER(MATCH(B71,Calendar!$A$2:$A$25,0)),0,1)</f>
        <v>0</v>
      </c>
      <c r="T71" s="42" t="n">
        <f aca="false">IF(COUNTIF(Sales_Transactions!$A$2:$A$865,A71)&gt;1,1,0)</f>
        <v>0</v>
      </c>
      <c r="U71" s="42" t="n">
        <f aca="false">IF(OR(ABS(Sales_Transactions!F71*Sales_Transactions!G71-Sales_Transactions!I71)&gt;0.01,ABS(Sales_Transactions!F71*Sales_Transactions!H71-Sales_Transactions!J71)&gt;0.01,ABS(Sales_Transactions!I71-Sales_Transactions!J71-Sales_Transactions!K71)&gt;0.01),1,0)</f>
        <v>0</v>
      </c>
      <c r="V71" s="42" t="n">
        <f aca="false">IF(C71&lt;&gt;L71,1,0)</f>
        <v>0</v>
      </c>
      <c r="W71" s="42" t="n">
        <f aca="false">IF(SUM(Q71:V71)&gt;0,1,0)</f>
        <v>0</v>
      </c>
    </row>
    <row r="72" customFormat="false" ht="15" hidden="false" customHeight="false" outlineLevel="0" collapsed="false">
      <c r="A72" s="42" t="str">
        <f aca="false">Sales_Transactions!A72</f>
        <v>INV-02-035</v>
      </c>
      <c r="B72" s="42" t="str">
        <f aca="false">Sales_Transactions!B72</f>
        <v>2025-02</v>
      </c>
      <c r="C72" s="42" t="str">
        <f aca="false">Sales_Transactions!C72</f>
        <v>Actual</v>
      </c>
      <c r="D72" s="42" t="str">
        <f aca="false">Sales_Transactions!D72</f>
        <v>C002</v>
      </c>
      <c r="E72" s="42" t="str">
        <f aca="false">Sales_Transactions!E72</f>
        <v>P004</v>
      </c>
      <c r="F72" s="42" t="str">
        <f aca="false">IFERROR(INDEX(Customer_Master!$C$2:$C$49,MATCH(D72,Customer_Master!$A$2:$A$49,0)),"UNMATCHED")</f>
        <v>North</v>
      </c>
      <c r="G72" s="42" t="str">
        <f aca="false">IFERROR(INDEX(Customer_Master!$D$2:$D$49,MATCH(D72,Customer_Master!$A$2:$A$49,0)),"UNMATCHED")</f>
        <v>Modern Trade</v>
      </c>
      <c r="H72" s="42" t="str">
        <f aca="false">IFERROR(INDEX(Product_Master!$C$2:$C$9,MATCH(E72,Product_Master!$A$2:$A$9,0)),"UNMATCHED")</f>
        <v>Personal Care</v>
      </c>
      <c r="I72" s="42" t="str">
        <f aca="false">IFERROR(INDEX(Product_Master!$B$2:$B$9,MATCH(E72,Product_Master!$A$2:$A$9,0)),"UNMATCHED")</f>
        <v>Soap 4-pack</v>
      </c>
      <c r="J72" s="42" t="n">
        <f aca="false">IFERROR(INDEX(Calendar!$B$2:$B$25,MATCH(B72,Calendar!$A$2:$A$25,0)),0)</f>
        <v>2025</v>
      </c>
      <c r="K72" s="42" t="n">
        <f aca="false">IFERROR(VALUE(RIGHT(B72,2)),0)</f>
        <v>2</v>
      </c>
      <c r="L72" s="42" t="str">
        <f aca="false">IFERROR(INDEX(Calendar!$E$2:$E$25,MATCH(B72,Calendar!$A$2:$A$25,0)),"UNMATCHED")</f>
        <v>Actual</v>
      </c>
      <c r="M72" s="42" t="n">
        <f aca="false">Sales_Transactions!F72</f>
        <v>116</v>
      </c>
      <c r="N72" s="52" t="n">
        <f aca="false">Sales_Transactions!I72</f>
        <v>19129.56</v>
      </c>
      <c r="O72" s="52" t="n">
        <f aca="false">Sales_Transactions!J72</f>
        <v>11144.12</v>
      </c>
      <c r="P72" s="52" t="n">
        <f aca="false">Sales_Transactions!K72</f>
        <v>7985.44</v>
      </c>
      <c r="Q72" s="42" t="n">
        <f aca="false">IF(ISNUMBER(MATCH(E72,Product_Master!$A$2:$A$9,0)),0,1)</f>
        <v>0</v>
      </c>
      <c r="R72" s="42" t="n">
        <f aca="false">IF(ISNUMBER(MATCH(D72,Customer_Master!$A$2:$A$49,0)),0,1)</f>
        <v>0</v>
      </c>
      <c r="S72" s="42" t="n">
        <f aca="false">IF(ISNUMBER(MATCH(B72,Calendar!$A$2:$A$25,0)),0,1)</f>
        <v>0</v>
      </c>
      <c r="T72" s="42" t="n">
        <f aca="false">IF(COUNTIF(Sales_Transactions!$A$2:$A$865,A72)&gt;1,1,0)</f>
        <v>0</v>
      </c>
      <c r="U72" s="42" t="n">
        <f aca="false">IF(OR(ABS(Sales_Transactions!F72*Sales_Transactions!G72-Sales_Transactions!I72)&gt;0.01,ABS(Sales_Transactions!F72*Sales_Transactions!H72-Sales_Transactions!J72)&gt;0.01,ABS(Sales_Transactions!I72-Sales_Transactions!J72-Sales_Transactions!K72)&gt;0.01),1,0)</f>
        <v>0</v>
      </c>
      <c r="V72" s="42" t="n">
        <f aca="false">IF(C72&lt;&gt;L72,1,0)</f>
        <v>0</v>
      </c>
      <c r="W72" s="42" t="n">
        <f aca="false">IF(SUM(Q72:V72)&gt;0,1,0)</f>
        <v>0</v>
      </c>
    </row>
    <row r="73" customFormat="false" ht="15" hidden="false" customHeight="false" outlineLevel="0" collapsed="false">
      <c r="A73" s="42" t="str">
        <f aca="false">Sales_Transactions!A73</f>
        <v>INV-02-036</v>
      </c>
      <c r="B73" s="42" t="str">
        <f aca="false">Sales_Transactions!B73</f>
        <v>2025-02</v>
      </c>
      <c r="C73" s="42" t="str">
        <f aca="false">Sales_Transactions!C73</f>
        <v>Actual</v>
      </c>
      <c r="D73" s="42" t="str">
        <f aca="false">Sales_Transactions!D73</f>
        <v>C009</v>
      </c>
      <c r="E73" s="42" t="str">
        <f aca="false">Sales_Transactions!E73</f>
        <v>P001</v>
      </c>
      <c r="F73" s="42" t="str">
        <f aca="false">IFERROR(INDEX(Customer_Master!$C$2:$C$49,MATCH(D73,Customer_Master!$A$2:$A$49,0)),"UNMATCHED")</f>
        <v>South</v>
      </c>
      <c r="G73" s="42" t="str">
        <f aca="false">IFERROR(INDEX(Customer_Master!$D$2:$D$49,MATCH(D73,Customer_Master!$A$2:$A$49,0)),"UNMATCHED")</f>
        <v>Retail</v>
      </c>
      <c r="H73" s="42" t="str">
        <f aca="false">IFERROR(INDEX(Product_Master!$C$2:$C$9,MATCH(E73,Product_Master!$A$2:$A$9,0)),"UNMATCHED")</f>
        <v>Home Care</v>
      </c>
      <c r="I73" s="42" t="str">
        <f aca="false">IFERROR(INDEX(Product_Master!$B$2:$B$9,MATCH(E73,Product_Master!$A$2:$A$9,0)),"UNMATCHED")</f>
        <v>Detergent 1kg</v>
      </c>
      <c r="J73" s="42" t="n">
        <f aca="false">IFERROR(INDEX(Calendar!$B$2:$B$25,MATCH(B73,Calendar!$A$2:$A$25,0)),0)</f>
        <v>2025</v>
      </c>
      <c r="K73" s="42" t="n">
        <f aca="false">IFERROR(VALUE(RIGHT(B73,2)),0)</f>
        <v>2</v>
      </c>
      <c r="L73" s="42" t="str">
        <f aca="false">IFERROR(INDEX(Calendar!$E$2:$E$25,MATCH(B73,Calendar!$A$2:$A$25,0)),"UNMATCHED")</f>
        <v>Actual</v>
      </c>
      <c r="M73" s="42" t="n">
        <f aca="false">Sales_Transactions!F73</f>
        <v>140</v>
      </c>
      <c r="N73" s="52" t="n">
        <f aca="false">Sales_Transactions!I73</f>
        <v>27116.6</v>
      </c>
      <c r="O73" s="52" t="n">
        <f aca="false">Sales_Transactions!J73</f>
        <v>18162.2</v>
      </c>
      <c r="P73" s="52" t="n">
        <f aca="false">Sales_Transactions!K73</f>
        <v>8954.4</v>
      </c>
      <c r="Q73" s="42" t="n">
        <f aca="false">IF(ISNUMBER(MATCH(E73,Product_Master!$A$2:$A$9,0)),0,1)</f>
        <v>0</v>
      </c>
      <c r="R73" s="42" t="n">
        <f aca="false">IF(ISNUMBER(MATCH(D73,Customer_Master!$A$2:$A$49,0)),0,1)</f>
        <v>0</v>
      </c>
      <c r="S73" s="42" t="n">
        <f aca="false">IF(ISNUMBER(MATCH(B73,Calendar!$A$2:$A$25,0)),0,1)</f>
        <v>0</v>
      </c>
      <c r="T73" s="42" t="n">
        <f aca="false">IF(COUNTIF(Sales_Transactions!$A$2:$A$865,A73)&gt;1,1,0)</f>
        <v>0</v>
      </c>
      <c r="U73" s="42" t="n">
        <f aca="false">IF(OR(ABS(Sales_Transactions!F73*Sales_Transactions!G73-Sales_Transactions!I73)&gt;0.01,ABS(Sales_Transactions!F73*Sales_Transactions!H73-Sales_Transactions!J73)&gt;0.01,ABS(Sales_Transactions!I73-Sales_Transactions!J73-Sales_Transactions!K73)&gt;0.01),1,0)</f>
        <v>0</v>
      </c>
      <c r="V73" s="42" t="n">
        <f aca="false">IF(C73&lt;&gt;L73,1,0)</f>
        <v>0</v>
      </c>
      <c r="W73" s="42" t="n">
        <f aca="false">IF(SUM(Q73:V73)&gt;0,1,0)</f>
        <v>0</v>
      </c>
    </row>
    <row r="74" customFormat="false" ht="15" hidden="false" customHeight="false" outlineLevel="0" collapsed="false">
      <c r="A74" s="42" t="str">
        <f aca="false">Sales_Transactions!A74</f>
        <v>INV-03-001</v>
      </c>
      <c r="B74" s="42" t="str">
        <f aca="false">Sales_Transactions!B74</f>
        <v>2025-03</v>
      </c>
      <c r="C74" s="42" t="str">
        <f aca="false">Sales_Transactions!C74</f>
        <v>Actual</v>
      </c>
      <c r="D74" s="42" t="str">
        <f aca="false">Sales_Transactions!D74</f>
        <v>C007</v>
      </c>
      <c r="E74" s="42" t="str">
        <f aca="false">Sales_Transactions!E74</f>
        <v>P003</v>
      </c>
      <c r="F74" s="42" t="str">
        <f aca="false">IFERROR(INDEX(Customer_Master!$C$2:$C$49,MATCH(D74,Customer_Master!$A$2:$A$49,0)),"UNMATCHED")</f>
        <v>West</v>
      </c>
      <c r="G74" s="42" t="str">
        <f aca="false">IFERROR(INDEX(Customer_Master!$D$2:$D$49,MATCH(D74,Customer_Master!$A$2:$A$49,0)),"UNMATCHED")</f>
        <v>Distributor</v>
      </c>
      <c r="H74" s="42" t="str">
        <f aca="false">IFERROR(INDEX(Product_Master!$C$2:$C$9,MATCH(E74,Product_Master!$A$2:$A$9,0)),"UNMATCHED")</f>
        <v>Personal Care</v>
      </c>
      <c r="I74" s="42" t="str">
        <f aca="false">IFERROR(INDEX(Product_Master!$B$2:$B$9,MATCH(E74,Product_Master!$A$2:$A$9,0)),"UNMATCHED")</f>
        <v>Shampoo 400ml</v>
      </c>
      <c r="J74" s="42" t="n">
        <f aca="false">IFERROR(INDEX(Calendar!$B$2:$B$25,MATCH(B74,Calendar!$A$2:$A$25,0)),0)</f>
        <v>2025</v>
      </c>
      <c r="K74" s="42" t="n">
        <f aca="false">IFERROR(VALUE(RIGHT(B74,2)),0)</f>
        <v>3</v>
      </c>
      <c r="L74" s="42" t="str">
        <f aca="false">IFERROR(INDEX(Calendar!$E$2:$E$25,MATCH(B74,Calendar!$A$2:$A$25,0)),"UNMATCHED")</f>
        <v>Actual</v>
      </c>
      <c r="M74" s="42" t="n">
        <f aca="false">Sales_Transactions!F74</f>
        <v>314</v>
      </c>
      <c r="N74" s="52" t="n">
        <f aca="false">Sales_Transactions!I74</f>
        <v>79850.2</v>
      </c>
      <c r="O74" s="52" t="n">
        <f aca="false">Sales_Transactions!J74</f>
        <v>52730.02</v>
      </c>
      <c r="P74" s="52" t="n">
        <f aca="false">Sales_Transactions!K74</f>
        <v>27120.18</v>
      </c>
      <c r="Q74" s="42" t="n">
        <f aca="false">IF(ISNUMBER(MATCH(E74,Product_Master!$A$2:$A$9,0)),0,1)</f>
        <v>0</v>
      </c>
      <c r="R74" s="42" t="n">
        <f aca="false">IF(ISNUMBER(MATCH(D74,Customer_Master!$A$2:$A$49,0)),0,1)</f>
        <v>0</v>
      </c>
      <c r="S74" s="42" t="n">
        <f aca="false">IF(ISNUMBER(MATCH(B74,Calendar!$A$2:$A$25,0)),0,1)</f>
        <v>0</v>
      </c>
      <c r="T74" s="42" t="n">
        <f aca="false">IF(COUNTIF(Sales_Transactions!$A$2:$A$865,A74)&gt;1,1,0)</f>
        <v>0</v>
      </c>
      <c r="U74" s="42" t="n">
        <f aca="false">IF(OR(ABS(Sales_Transactions!F74*Sales_Transactions!G74-Sales_Transactions!I74)&gt;0.01,ABS(Sales_Transactions!F74*Sales_Transactions!H74-Sales_Transactions!J74)&gt;0.01,ABS(Sales_Transactions!I74-Sales_Transactions!J74-Sales_Transactions!K74)&gt;0.01),1,0)</f>
        <v>0</v>
      </c>
      <c r="V74" s="42" t="n">
        <f aca="false">IF(C74&lt;&gt;L74,1,0)</f>
        <v>0</v>
      </c>
      <c r="W74" s="42" t="n">
        <f aca="false">IF(SUM(Q74:V74)&gt;0,1,0)</f>
        <v>0</v>
      </c>
    </row>
    <row r="75" customFormat="false" ht="15" hidden="false" customHeight="false" outlineLevel="0" collapsed="false">
      <c r="A75" s="42" t="str">
        <f aca="false">Sales_Transactions!A75</f>
        <v>INV-03-002</v>
      </c>
      <c r="B75" s="42" t="str">
        <f aca="false">Sales_Transactions!B75</f>
        <v>2025-03</v>
      </c>
      <c r="C75" s="42" t="str">
        <f aca="false">Sales_Transactions!C75</f>
        <v>Actual</v>
      </c>
      <c r="D75" s="42" t="str">
        <f aca="false">Sales_Transactions!D75</f>
        <v>C014</v>
      </c>
      <c r="E75" s="42" t="str">
        <f aca="false">Sales_Transactions!E75</f>
        <v>P008</v>
      </c>
      <c r="F75" s="42" t="str">
        <f aca="false">IFERROR(INDEX(Customer_Master!$C$2:$C$49,MATCH(D75,Customer_Master!$A$2:$A$49,0)),"UNMATCHED")</f>
        <v>North</v>
      </c>
      <c r="G75" s="42" t="str">
        <f aca="false">IFERROR(INDEX(Customer_Master!$D$2:$D$49,MATCH(D75,Customer_Master!$A$2:$A$49,0)),"UNMATCHED")</f>
        <v>Modern Trade</v>
      </c>
      <c r="H75" s="42" t="str">
        <f aca="false">IFERROR(INDEX(Product_Master!$C$2:$C$9,MATCH(E75,Product_Master!$A$2:$A$9,0)),"UNMATCHED")</f>
        <v>Personal Care</v>
      </c>
      <c r="I75" s="42" t="str">
        <f aca="false">IFERROR(INDEX(Product_Master!$B$2:$B$9,MATCH(E75,Product_Master!$A$2:$A$9,0)),"UNMATCHED")</f>
        <v>Body Lotion</v>
      </c>
      <c r="J75" s="42" t="n">
        <f aca="false">IFERROR(INDEX(Calendar!$B$2:$B$25,MATCH(B75,Calendar!$A$2:$A$25,0)),0)</f>
        <v>2025</v>
      </c>
      <c r="K75" s="42" t="n">
        <f aca="false">IFERROR(VALUE(RIGHT(B75,2)),0)</f>
        <v>3</v>
      </c>
      <c r="L75" s="42" t="str">
        <f aca="false">IFERROR(INDEX(Calendar!$E$2:$E$25,MATCH(B75,Calendar!$A$2:$A$25,0)),"UNMATCHED")</f>
        <v>Actual</v>
      </c>
      <c r="M75" s="42" t="n">
        <f aca="false">Sales_Transactions!F75</f>
        <v>321</v>
      </c>
      <c r="N75" s="52" t="n">
        <f aca="false">Sales_Transactions!I75</f>
        <v>96235.8</v>
      </c>
      <c r="O75" s="52" t="n">
        <f aca="false">Sales_Transactions!J75</f>
        <v>69432.3</v>
      </c>
      <c r="P75" s="52" t="n">
        <f aca="false">Sales_Transactions!K75</f>
        <v>26803.5</v>
      </c>
      <c r="Q75" s="42" t="n">
        <f aca="false">IF(ISNUMBER(MATCH(E75,Product_Master!$A$2:$A$9,0)),0,1)</f>
        <v>0</v>
      </c>
      <c r="R75" s="42" t="n">
        <f aca="false">IF(ISNUMBER(MATCH(D75,Customer_Master!$A$2:$A$49,0)),0,1)</f>
        <v>0</v>
      </c>
      <c r="S75" s="42" t="n">
        <f aca="false">IF(ISNUMBER(MATCH(B75,Calendar!$A$2:$A$25,0)),0,1)</f>
        <v>0</v>
      </c>
      <c r="T75" s="42" t="n">
        <f aca="false">IF(COUNTIF(Sales_Transactions!$A$2:$A$865,A75)&gt;1,1,0)</f>
        <v>0</v>
      </c>
      <c r="U75" s="42" t="n">
        <f aca="false">IF(OR(ABS(Sales_Transactions!F75*Sales_Transactions!G75-Sales_Transactions!I75)&gt;0.01,ABS(Sales_Transactions!F75*Sales_Transactions!H75-Sales_Transactions!J75)&gt;0.01,ABS(Sales_Transactions!I75-Sales_Transactions!J75-Sales_Transactions!K75)&gt;0.01),1,0)</f>
        <v>0</v>
      </c>
      <c r="V75" s="42" t="n">
        <f aca="false">IF(C75&lt;&gt;L75,1,0)</f>
        <v>0</v>
      </c>
      <c r="W75" s="42" t="n">
        <f aca="false">IF(SUM(Q75:V75)&gt;0,1,0)</f>
        <v>0</v>
      </c>
    </row>
    <row r="76" customFormat="false" ht="15" hidden="false" customHeight="false" outlineLevel="0" collapsed="false">
      <c r="A76" s="42" t="str">
        <f aca="false">Sales_Transactions!A76</f>
        <v>INV-03-003</v>
      </c>
      <c r="B76" s="42" t="str">
        <f aca="false">Sales_Transactions!B76</f>
        <v>2025-03</v>
      </c>
      <c r="C76" s="42" t="str">
        <f aca="false">Sales_Transactions!C76</f>
        <v>Actual</v>
      </c>
      <c r="D76" s="42" t="str">
        <f aca="false">Sales_Transactions!D76</f>
        <v>C021</v>
      </c>
      <c r="E76" s="42" t="str">
        <f aca="false">Sales_Transactions!E76</f>
        <v>P005</v>
      </c>
      <c r="F76" s="42" t="str">
        <f aca="false">IFERROR(INDEX(Customer_Master!$C$2:$C$49,MATCH(D76,Customer_Master!$A$2:$A$49,0)),"UNMATCHED")</f>
        <v>South</v>
      </c>
      <c r="G76" s="42" t="str">
        <f aca="false">IFERROR(INDEX(Customer_Master!$D$2:$D$49,MATCH(D76,Customer_Master!$A$2:$A$49,0)),"UNMATCHED")</f>
        <v>Retail</v>
      </c>
      <c r="H76" s="42" t="str">
        <f aca="false">IFERROR(INDEX(Product_Master!$C$2:$C$9,MATCH(E76,Product_Master!$A$2:$A$9,0)),"UNMATCHED")</f>
        <v>Foods</v>
      </c>
      <c r="I76" s="42" t="str">
        <f aca="false">IFERROR(INDEX(Product_Master!$B$2:$B$9,MATCH(E76,Product_Master!$A$2:$A$9,0)),"UNMATCHED")</f>
        <v>Biscuits 500g</v>
      </c>
      <c r="J76" s="42" t="n">
        <f aca="false">IFERROR(INDEX(Calendar!$B$2:$B$25,MATCH(B76,Calendar!$A$2:$A$25,0)),0)</f>
        <v>2025</v>
      </c>
      <c r="K76" s="42" t="n">
        <f aca="false">IFERROR(VALUE(RIGHT(B76,2)),0)</f>
        <v>3</v>
      </c>
      <c r="L76" s="42" t="str">
        <f aca="false">IFERROR(INDEX(Calendar!$E$2:$E$25,MATCH(B76,Calendar!$A$2:$A$25,0)),"UNMATCHED")</f>
        <v>Actual</v>
      </c>
      <c r="M76" s="42" t="n">
        <f aca="false">Sales_Transactions!F76</f>
        <v>311</v>
      </c>
      <c r="N76" s="52" t="n">
        <f aca="false">Sales_Transactions!I76</f>
        <v>34038.95</v>
      </c>
      <c r="O76" s="52" t="n">
        <f aca="false">Sales_Transactions!J76</f>
        <v>22143.2</v>
      </c>
      <c r="P76" s="52" t="n">
        <f aca="false">Sales_Transactions!K76</f>
        <v>11895.75</v>
      </c>
      <c r="Q76" s="42" t="n">
        <f aca="false">IF(ISNUMBER(MATCH(E76,Product_Master!$A$2:$A$9,0)),0,1)</f>
        <v>0</v>
      </c>
      <c r="R76" s="42" t="n">
        <f aca="false">IF(ISNUMBER(MATCH(D76,Customer_Master!$A$2:$A$49,0)),0,1)</f>
        <v>0</v>
      </c>
      <c r="S76" s="42" t="n">
        <f aca="false">IF(ISNUMBER(MATCH(B76,Calendar!$A$2:$A$25,0)),0,1)</f>
        <v>0</v>
      </c>
      <c r="T76" s="42" t="n">
        <f aca="false">IF(COUNTIF(Sales_Transactions!$A$2:$A$865,A76)&gt;1,1,0)</f>
        <v>0</v>
      </c>
      <c r="U76" s="42" t="n">
        <f aca="false">IF(OR(ABS(Sales_Transactions!F76*Sales_Transactions!G76-Sales_Transactions!I76)&gt;0.01,ABS(Sales_Transactions!F76*Sales_Transactions!H76-Sales_Transactions!J76)&gt;0.01,ABS(Sales_Transactions!I76-Sales_Transactions!J76-Sales_Transactions!K76)&gt;0.01),1,0)</f>
        <v>0</v>
      </c>
      <c r="V76" s="42" t="n">
        <f aca="false">IF(C76&lt;&gt;L76,1,0)</f>
        <v>0</v>
      </c>
      <c r="W76" s="42" t="n">
        <f aca="false">IF(SUM(Q76:V76)&gt;0,1,0)</f>
        <v>0</v>
      </c>
    </row>
    <row r="77" customFormat="false" ht="15" hidden="false" customHeight="false" outlineLevel="0" collapsed="false">
      <c r="A77" s="42" t="str">
        <f aca="false">Sales_Transactions!A77</f>
        <v>INV-03-004</v>
      </c>
      <c r="B77" s="42" t="str">
        <f aca="false">Sales_Transactions!B77</f>
        <v>2025-03</v>
      </c>
      <c r="C77" s="42" t="str">
        <f aca="false">Sales_Transactions!C77</f>
        <v>Actual</v>
      </c>
      <c r="D77" s="42" t="str">
        <f aca="false">Sales_Transactions!D77</f>
        <v>C028</v>
      </c>
      <c r="E77" s="42" t="str">
        <f aca="false">Sales_Transactions!E77</f>
        <v>P002</v>
      </c>
      <c r="F77" s="42" t="str">
        <f aca="false">IFERROR(INDEX(Customer_Master!$C$2:$C$49,MATCH(D77,Customer_Master!$A$2:$A$49,0)),"UNMATCHED")</f>
        <v>East</v>
      </c>
      <c r="G77" s="42" t="str">
        <f aca="false">IFERROR(INDEX(Customer_Master!$D$2:$D$49,MATCH(D77,Customer_Master!$A$2:$A$49,0)),"UNMATCHED")</f>
        <v>Distributor</v>
      </c>
      <c r="H77" s="42" t="str">
        <f aca="false">IFERROR(INDEX(Product_Master!$C$2:$C$9,MATCH(E77,Product_Master!$A$2:$A$9,0)),"UNMATCHED")</f>
        <v>Home Care</v>
      </c>
      <c r="I77" s="42" t="str">
        <f aca="false">IFERROR(INDEX(Product_Master!$B$2:$B$9,MATCH(E77,Product_Master!$A$2:$A$9,0)),"UNMATCHED")</f>
        <v>Dishwash Gel</v>
      </c>
      <c r="J77" s="42" t="n">
        <f aca="false">IFERROR(INDEX(Calendar!$B$2:$B$25,MATCH(B77,Calendar!$A$2:$A$25,0)),0)</f>
        <v>2025</v>
      </c>
      <c r="K77" s="42" t="n">
        <f aca="false">IFERROR(VALUE(RIGHT(B77,2)),0)</f>
        <v>3</v>
      </c>
      <c r="L77" s="42" t="str">
        <f aca="false">IFERROR(INDEX(Calendar!$E$2:$E$25,MATCH(B77,Calendar!$A$2:$A$25,0)),"UNMATCHED")</f>
        <v>Actual</v>
      </c>
      <c r="M77" s="42" t="n">
        <f aca="false">Sales_Transactions!F77</f>
        <v>135</v>
      </c>
      <c r="N77" s="52" t="n">
        <f aca="false">Sales_Transactions!I77</f>
        <v>17550</v>
      </c>
      <c r="O77" s="52" t="n">
        <f aca="false">Sales_Transactions!J77</f>
        <v>11954.25</v>
      </c>
      <c r="P77" s="52" t="n">
        <f aca="false">Sales_Transactions!K77</f>
        <v>5595.75</v>
      </c>
      <c r="Q77" s="42" t="n">
        <f aca="false">IF(ISNUMBER(MATCH(E77,Product_Master!$A$2:$A$9,0)),0,1)</f>
        <v>0</v>
      </c>
      <c r="R77" s="42" t="n">
        <f aca="false">IF(ISNUMBER(MATCH(D77,Customer_Master!$A$2:$A$49,0)),0,1)</f>
        <v>0</v>
      </c>
      <c r="S77" s="42" t="n">
        <f aca="false">IF(ISNUMBER(MATCH(B77,Calendar!$A$2:$A$25,0)),0,1)</f>
        <v>0</v>
      </c>
      <c r="T77" s="42" t="n">
        <f aca="false">IF(COUNTIF(Sales_Transactions!$A$2:$A$865,A77)&gt;1,1,0)</f>
        <v>0</v>
      </c>
      <c r="U77" s="42" t="n">
        <f aca="false">IF(OR(ABS(Sales_Transactions!F77*Sales_Transactions!G77-Sales_Transactions!I77)&gt;0.01,ABS(Sales_Transactions!F77*Sales_Transactions!H77-Sales_Transactions!J77)&gt;0.01,ABS(Sales_Transactions!I77-Sales_Transactions!J77-Sales_Transactions!K77)&gt;0.01),1,0)</f>
        <v>0</v>
      </c>
      <c r="V77" s="42" t="n">
        <f aca="false">IF(C77&lt;&gt;L77,1,0)</f>
        <v>0</v>
      </c>
      <c r="W77" s="42" t="n">
        <f aca="false">IF(SUM(Q77:V77)&gt;0,1,0)</f>
        <v>0</v>
      </c>
    </row>
    <row r="78" customFormat="false" ht="15" hidden="false" customHeight="false" outlineLevel="0" collapsed="false">
      <c r="A78" s="42" t="str">
        <f aca="false">Sales_Transactions!A78</f>
        <v>INV-03-005</v>
      </c>
      <c r="B78" s="42" t="str">
        <f aca="false">Sales_Transactions!B78</f>
        <v>2025-03</v>
      </c>
      <c r="C78" s="42" t="str">
        <f aca="false">Sales_Transactions!C78</f>
        <v>Actual</v>
      </c>
      <c r="D78" s="42" t="str">
        <f aca="false">Sales_Transactions!D78</f>
        <v>C035</v>
      </c>
      <c r="E78" s="42" t="str">
        <f aca="false">Sales_Transactions!E78</f>
        <v>P007</v>
      </c>
      <c r="F78" s="42" t="str">
        <f aca="false">IFERROR(INDEX(Customer_Master!$C$2:$C$49,MATCH(D78,Customer_Master!$A$2:$A$49,0)),"UNMATCHED")</f>
        <v>West</v>
      </c>
      <c r="G78" s="42" t="str">
        <f aca="false">IFERROR(INDEX(Customer_Master!$D$2:$D$49,MATCH(D78,Customer_Master!$A$2:$A$49,0)),"UNMATCHED")</f>
        <v>Modern Trade</v>
      </c>
      <c r="H78" s="42" t="str">
        <f aca="false">IFERROR(INDEX(Product_Master!$C$2:$C$9,MATCH(E78,Product_Master!$A$2:$A$9,0)),"UNMATCHED")</f>
        <v>Home Care</v>
      </c>
      <c r="I78" s="42" t="str">
        <f aca="false">IFERROR(INDEX(Product_Master!$B$2:$B$9,MATCH(E78,Product_Master!$A$2:$A$9,0)),"UNMATCHED")</f>
        <v>Floor Cleaner</v>
      </c>
      <c r="J78" s="42" t="n">
        <f aca="false">IFERROR(INDEX(Calendar!$B$2:$B$25,MATCH(B78,Calendar!$A$2:$A$25,0)),0)</f>
        <v>2025</v>
      </c>
      <c r="K78" s="42" t="n">
        <f aca="false">IFERROR(VALUE(RIGHT(B78,2)),0)</f>
        <v>3</v>
      </c>
      <c r="L78" s="42" t="str">
        <f aca="false">IFERROR(INDEX(Calendar!$E$2:$E$25,MATCH(B78,Calendar!$A$2:$A$25,0)),"UNMATCHED")</f>
        <v>Actual</v>
      </c>
      <c r="M78" s="42" t="n">
        <f aca="false">Sales_Transactions!F78</f>
        <v>92</v>
      </c>
      <c r="N78" s="52" t="n">
        <f aca="false">Sales_Transactions!I78</f>
        <v>17758.76</v>
      </c>
      <c r="O78" s="52" t="n">
        <f aca="false">Sales_Transactions!J78</f>
        <v>11037.24</v>
      </c>
      <c r="P78" s="52" t="n">
        <f aca="false">Sales_Transactions!K78</f>
        <v>6721.52</v>
      </c>
      <c r="Q78" s="42" t="n">
        <f aca="false">IF(ISNUMBER(MATCH(E78,Product_Master!$A$2:$A$9,0)),0,1)</f>
        <v>0</v>
      </c>
      <c r="R78" s="42" t="n">
        <f aca="false">IF(ISNUMBER(MATCH(D78,Customer_Master!$A$2:$A$49,0)),0,1)</f>
        <v>0</v>
      </c>
      <c r="S78" s="42" t="n">
        <f aca="false">IF(ISNUMBER(MATCH(B78,Calendar!$A$2:$A$25,0)),0,1)</f>
        <v>0</v>
      </c>
      <c r="T78" s="42" t="n">
        <f aca="false">IF(COUNTIF(Sales_Transactions!$A$2:$A$865,A78)&gt;1,1,0)</f>
        <v>0</v>
      </c>
      <c r="U78" s="42" t="n">
        <f aca="false">IF(OR(ABS(Sales_Transactions!F78*Sales_Transactions!G78-Sales_Transactions!I78)&gt;0.01,ABS(Sales_Transactions!F78*Sales_Transactions!H78-Sales_Transactions!J78)&gt;0.01,ABS(Sales_Transactions!I78-Sales_Transactions!J78-Sales_Transactions!K78)&gt;0.01),1,0)</f>
        <v>0</v>
      </c>
      <c r="V78" s="42" t="n">
        <f aca="false">IF(C78&lt;&gt;L78,1,0)</f>
        <v>0</v>
      </c>
      <c r="W78" s="42" t="n">
        <f aca="false">IF(SUM(Q78:V78)&gt;0,1,0)</f>
        <v>0</v>
      </c>
    </row>
    <row r="79" customFormat="false" ht="15" hidden="false" customHeight="false" outlineLevel="0" collapsed="false">
      <c r="A79" s="42" t="str">
        <f aca="false">Sales_Transactions!A79</f>
        <v>INV-03-006</v>
      </c>
      <c r="B79" s="42" t="str">
        <f aca="false">Sales_Transactions!B79</f>
        <v>2025-03</v>
      </c>
      <c r="C79" s="42" t="str">
        <f aca="false">Sales_Transactions!C79</f>
        <v>Actual</v>
      </c>
      <c r="D79" s="42" t="str">
        <f aca="false">Sales_Transactions!D79</f>
        <v>C042</v>
      </c>
      <c r="E79" s="42" t="str">
        <f aca="false">Sales_Transactions!E79</f>
        <v>P004</v>
      </c>
      <c r="F79" s="42" t="str">
        <f aca="false">IFERROR(INDEX(Customer_Master!$C$2:$C$49,MATCH(D79,Customer_Master!$A$2:$A$49,0)),"UNMATCHED")</f>
        <v>North</v>
      </c>
      <c r="G79" s="42" t="str">
        <f aca="false">IFERROR(INDEX(Customer_Master!$D$2:$D$49,MATCH(D79,Customer_Master!$A$2:$A$49,0)),"UNMATCHED")</f>
        <v>Retail</v>
      </c>
      <c r="H79" s="42" t="str">
        <f aca="false">IFERROR(INDEX(Product_Master!$C$2:$C$9,MATCH(E79,Product_Master!$A$2:$A$9,0)),"UNMATCHED")</f>
        <v>Personal Care</v>
      </c>
      <c r="I79" s="42" t="str">
        <f aca="false">IFERROR(INDEX(Product_Master!$B$2:$B$9,MATCH(E79,Product_Master!$A$2:$A$9,0)),"UNMATCHED")</f>
        <v>Soap 4-pack</v>
      </c>
      <c r="J79" s="42" t="n">
        <f aca="false">IFERROR(INDEX(Calendar!$B$2:$B$25,MATCH(B79,Calendar!$A$2:$A$25,0)),0)</f>
        <v>2025</v>
      </c>
      <c r="K79" s="42" t="n">
        <f aca="false">IFERROR(VALUE(RIGHT(B79,2)),0)</f>
        <v>3</v>
      </c>
      <c r="L79" s="42" t="str">
        <f aca="false">IFERROR(INDEX(Calendar!$E$2:$E$25,MATCH(B79,Calendar!$A$2:$A$25,0)),"UNMATCHED")</f>
        <v>Actual</v>
      </c>
      <c r="M79" s="42" t="n">
        <f aca="false">Sales_Transactions!F79</f>
        <v>206</v>
      </c>
      <c r="N79" s="52" t="n">
        <f aca="false">Sales_Transactions!I79</f>
        <v>32863.18</v>
      </c>
      <c r="O79" s="52" t="n">
        <f aca="false">Sales_Transactions!J79</f>
        <v>20136.5</v>
      </c>
      <c r="P79" s="52" t="n">
        <f aca="false">Sales_Transactions!K79</f>
        <v>12726.68</v>
      </c>
      <c r="Q79" s="42" t="n">
        <f aca="false">IF(ISNUMBER(MATCH(E79,Product_Master!$A$2:$A$9,0)),0,1)</f>
        <v>0</v>
      </c>
      <c r="R79" s="42" t="n">
        <f aca="false">IF(ISNUMBER(MATCH(D79,Customer_Master!$A$2:$A$49,0)),0,1)</f>
        <v>0</v>
      </c>
      <c r="S79" s="42" t="n">
        <f aca="false">IF(ISNUMBER(MATCH(B79,Calendar!$A$2:$A$25,0)),0,1)</f>
        <v>0</v>
      </c>
      <c r="T79" s="42" t="n">
        <f aca="false">IF(COUNTIF(Sales_Transactions!$A$2:$A$865,A79)&gt;1,1,0)</f>
        <v>0</v>
      </c>
      <c r="U79" s="42" t="n">
        <f aca="false">IF(OR(ABS(Sales_Transactions!F79*Sales_Transactions!G79-Sales_Transactions!I79)&gt;0.01,ABS(Sales_Transactions!F79*Sales_Transactions!H79-Sales_Transactions!J79)&gt;0.01,ABS(Sales_Transactions!I79-Sales_Transactions!J79-Sales_Transactions!K79)&gt;0.01),1,0)</f>
        <v>0</v>
      </c>
      <c r="V79" s="42" t="n">
        <f aca="false">IF(C79&lt;&gt;L79,1,0)</f>
        <v>0</v>
      </c>
      <c r="W79" s="42" t="n">
        <f aca="false">IF(SUM(Q79:V79)&gt;0,1,0)</f>
        <v>0</v>
      </c>
    </row>
    <row r="80" customFormat="false" ht="15" hidden="false" customHeight="false" outlineLevel="0" collapsed="false">
      <c r="A80" s="42" t="str">
        <f aca="false">Sales_Transactions!A80</f>
        <v>INV-03-007</v>
      </c>
      <c r="B80" s="42" t="str">
        <f aca="false">Sales_Transactions!B80</f>
        <v>2025-03</v>
      </c>
      <c r="C80" s="42" t="str">
        <f aca="false">Sales_Transactions!C80</f>
        <v>Actual</v>
      </c>
      <c r="D80" s="42" t="str">
        <f aca="false">Sales_Transactions!D80</f>
        <v>C001</v>
      </c>
      <c r="E80" s="42" t="str">
        <f aca="false">Sales_Transactions!E80</f>
        <v>P001</v>
      </c>
      <c r="F80" s="42" t="str">
        <f aca="false">IFERROR(INDEX(Customer_Master!$C$2:$C$49,MATCH(D80,Customer_Master!$A$2:$A$49,0)),"UNMATCHED")</f>
        <v>South</v>
      </c>
      <c r="G80" s="42" t="str">
        <f aca="false">IFERROR(INDEX(Customer_Master!$D$2:$D$49,MATCH(D80,Customer_Master!$A$2:$A$49,0)),"UNMATCHED")</f>
        <v>Distributor</v>
      </c>
      <c r="H80" s="42" t="str">
        <f aca="false">IFERROR(INDEX(Product_Master!$C$2:$C$9,MATCH(E80,Product_Master!$A$2:$A$9,0)),"UNMATCHED")</f>
        <v>Home Care</v>
      </c>
      <c r="I80" s="42" t="str">
        <f aca="false">IFERROR(INDEX(Product_Master!$B$2:$B$9,MATCH(E80,Product_Master!$A$2:$A$9,0)),"UNMATCHED")</f>
        <v>Detergent 1kg</v>
      </c>
      <c r="J80" s="42" t="n">
        <f aca="false">IFERROR(INDEX(Calendar!$B$2:$B$25,MATCH(B80,Calendar!$A$2:$A$25,0)),0)</f>
        <v>2025</v>
      </c>
      <c r="K80" s="42" t="n">
        <f aca="false">IFERROR(VALUE(RIGHT(B80,2)),0)</f>
        <v>3</v>
      </c>
      <c r="L80" s="42" t="str">
        <f aca="false">IFERROR(INDEX(Calendar!$E$2:$E$25,MATCH(B80,Calendar!$A$2:$A$25,0)),"UNMATCHED")</f>
        <v>Actual</v>
      </c>
      <c r="M80" s="42" t="n">
        <f aca="false">Sales_Transactions!F80</f>
        <v>194</v>
      </c>
      <c r="N80" s="52" t="n">
        <f aca="false">Sales_Transactions!I80</f>
        <v>40837</v>
      </c>
      <c r="O80" s="52" t="n">
        <f aca="false">Sales_Transactions!J80</f>
        <v>27355.94</v>
      </c>
      <c r="P80" s="52" t="n">
        <f aca="false">Sales_Transactions!K80</f>
        <v>13481.06</v>
      </c>
      <c r="Q80" s="42" t="n">
        <f aca="false">IF(ISNUMBER(MATCH(E80,Product_Master!$A$2:$A$9,0)),0,1)</f>
        <v>0</v>
      </c>
      <c r="R80" s="42" t="n">
        <f aca="false">IF(ISNUMBER(MATCH(D80,Customer_Master!$A$2:$A$49,0)),0,1)</f>
        <v>0</v>
      </c>
      <c r="S80" s="42" t="n">
        <f aca="false">IF(ISNUMBER(MATCH(B80,Calendar!$A$2:$A$25,0)),0,1)</f>
        <v>0</v>
      </c>
      <c r="T80" s="42" t="n">
        <f aca="false">IF(COUNTIF(Sales_Transactions!$A$2:$A$865,A80)&gt;1,1,0)</f>
        <v>0</v>
      </c>
      <c r="U80" s="42" t="n">
        <f aca="false">IF(OR(ABS(Sales_Transactions!F80*Sales_Transactions!G80-Sales_Transactions!I80)&gt;0.01,ABS(Sales_Transactions!F80*Sales_Transactions!H80-Sales_Transactions!J80)&gt;0.01,ABS(Sales_Transactions!I80-Sales_Transactions!J80-Sales_Transactions!K80)&gt;0.01),1,0)</f>
        <v>0</v>
      </c>
      <c r="V80" s="42" t="n">
        <f aca="false">IF(C80&lt;&gt;L80,1,0)</f>
        <v>0</v>
      </c>
      <c r="W80" s="42" t="n">
        <f aca="false">IF(SUM(Q80:V80)&gt;0,1,0)</f>
        <v>0</v>
      </c>
    </row>
    <row r="81" customFormat="false" ht="15" hidden="false" customHeight="false" outlineLevel="0" collapsed="false">
      <c r="A81" s="42" t="str">
        <f aca="false">Sales_Transactions!A81</f>
        <v>INV-03-008</v>
      </c>
      <c r="B81" s="42" t="str">
        <f aca="false">Sales_Transactions!B81</f>
        <v>2025-03</v>
      </c>
      <c r="C81" s="42" t="str">
        <f aca="false">Sales_Transactions!C81</f>
        <v>Actual</v>
      </c>
      <c r="D81" s="42" t="str">
        <f aca="false">Sales_Transactions!D81</f>
        <v>C008</v>
      </c>
      <c r="E81" s="42" t="str">
        <f aca="false">Sales_Transactions!E81</f>
        <v>P006</v>
      </c>
      <c r="F81" s="42" t="str">
        <f aca="false">IFERROR(INDEX(Customer_Master!$C$2:$C$49,MATCH(D81,Customer_Master!$A$2:$A$49,0)),"UNMATCHED")</f>
        <v>East</v>
      </c>
      <c r="G81" s="42" t="str">
        <f aca="false">IFERROR(INDEX(Customer_Master!$D$2:$D$49,MATCH(D81,Customer_Master!$A$2:$A$49,0)),"UNMATCHED")</f>
        <v>Modern Trade</v>
      </c>
      <c r="H81" s="42" t="str">
        <f aca="false">IFERROR(INDEX(Product_Master!$C$2:$C$9,MATCH(E81,Product_Master!$A$2:$A$9,0)),"UNMATCHED")</f>
        <v>Foods</v>
      </c>
      <c r="I81" s="42" t="str">
        <f aca="false">IFERROR(INDEX(Product_Master!$B$2:$B$9,MATCH(E81,Product_Master!$A$2:$A$9,0)),"UNMATCHED")</f>
        <v>Breakfast Cereal</v>
      </c>
      <c r="J81" s="42" t="n">
        <f aca="false">IFERROR(INDEX(Calendar!$B$2:$B$25,MATCH(B81,Calendar!$A$2:$A$25,0)),0)</f>
        <v>2025</v>
      </c>
      <c r="K81" s="42" t="n">
        <f aca="false">IFERROR(VALUE(RIGHT(B81,2)),0)</f>
        <v>3</v>
      </c>
      <c r="L81" s="42" t="str">
        <f aca="false">IFERROR(INDEX(Calendar!$E$2:$E$25,MATCH(B81,Calendar!$A$2:$A$25,0)),"UNMATCHED")</f>
        <v>Actual</v>
      </c>
      <c r="M81" s="42" t="n">
        <f aca="false">Sales_Transactions!F81</f>
        <v>169</v>
      </c>
      <c r="N81" s="52" t="n">
        <f aca="false">Sales_Transactions!I81</f>
        <v>40477.19</v>
      </c>
      <c r="O81" s="52" t="n">
        <f aca="false">Sales_Transactions!J81</f>
        <v>28425.8</v>
      </c>
      <c r="P81" s="52" t="n">
        <f aca="false">Sales_Transactions!K81</f>
        <v>12051.39</v>
      </c>
      <c r="Q81" s="42" t="n">
        <f aca="false">IF(ISNUMBER(MATCH(E81,Product_Master!$A$2:$A$9,0)),0,1)</f>
        <v>0</v>
      </c>
      <c r="R81" s="42" t="n">
        <f aca="false">IF(ISNUMBER(MATCH(D81,Customer_Master!$A$2:$A$49,0)),0,1)</f>
        <v>0</v>
      </c>
      <c r="S81" s="42" t="n">
        <f aca="false">IF(ISNUMBER(MATCH(B81,Calendar!$A$2:$A$25,0)),0,1)</f>
        <v>0</v>
      </c>
      <c r="T81" s="42" t="n">
        <f aca="false">IF(COUNTIF(Sales_Transactions!$A$2:$A$865,A81)&gt;1,1,0)</f>
        <v>0</v>
      </c>
      <c r="U81" s="42" t="n">
        <f aca="false">IF(OR(ABS(Sales_Transactions!F81*Sales_Transactions!G81-Sales_Transactions!I81)&gt;0.01,ABS(Sales_Transactions!F81*Sales_Transactions!H81-Sales_Transactions!J81)&gt;0.01,ABS(Sales_Transactions!I81-Sales_Transactions!J81-Sales_Transactions!K81)&gt;0.01),1,0)</f>
        <v>0</v>
      </c>
      <c r="V81" s="42" t="n">
        <f aca="false">IF(C81&lt;&gt;L81,1,0)</f>
        <v>0</v>
      </c>
      <c r="W81" s="42" t="n">
        <f aca="false">IF(SUM(Q81:V81)&gt;0,1,0)</f>
        <v>0</v>
      </c>
    </row>
    <row r="82" customFormat="false" ht="15" hidden="false" customHeight="false" outlineLevel="0" collapsed="false">
      <c r="A82" s="42" t="str">
        <f aca="false">Sales_Transactions!A82</f>
        <v>INV-03-009</v>
      </c>
      <c r="B82" s="42" t="str">
        <f aca="false">Sales_Transactions!B82</f>
        <v>2025-03</v>
      </c>
      <c r="C82" s="42" t="str">
        <f aca="false">Sales_Transactions!C82</f>
        <v>Actual</v>
      </c>
      <c r="D82" s="42" t="str">
        <f aca="false">Sales_Transactions!D82</f>
        <v>C015</v>
      </c>
      <c r="E82" s="42" t="str">
        <f aca="false">Sales_Transactions!E82</f>
        <v>P003</v>
      </c>
      <c r="F82" s="42" t="str">
        <f aca="false">IFERROR(INDEX(Customer_Master!$C$2:$C$49,MATCH(D82,Customer_Master!$A$2:$A$49,0)),"UNMATCHED")</f>
        <v>West</v>
      </c>
      <c r="G82" s="42" t="str">
        <f aca="false">IFERROR(INDEX(Customer_Master!$D$2:$D$49,MATCH(D82,Customer_Master!$A$2:$A$49,0)),"UNMATCHED")</f>
        <v>Retail</v>
      </c>
      <c r="H82" s="42" t="str">
        <f aca="false">IFERROR(INDEX(Product_Master!$C$2:$C$9,MATCH(E82,Product_Master!$A$2:$A$9,0)),"UNMATCHED")</f>
        <v>Personal Care</v>
      </c>
      <c r="I82" s="42" t="str">
        <f aca="false">IFERROR(INDEX(Product_Master!$B$2:$B$9,MATCH(E82,Product_Master!$A$2:$A$9,0)),"UNMATCHED")</f>
        <v>Shampoo 400ml</v>
      </c>
      <c r="J82" s="42" t="n">
        <f aca="false">IFERROR(INDEX(Calendar!$B$2:$B$25,MATCH(B82,Calendar!$A$2:$A$25,0)),0)</f>
        <v>2025</v>
      </c>
      <c r="K82" s="42" t="n">
        <f aca="false">IFERROR(VALUE(RIGHT(B82,2)),0)</f>
        <v>3</v>
      </c>
      <c r="L82" s="42" t="str">
        <f aca="false">IFERROR(INDEX(Calendar!$E$2:$E$25,MATCH(B82,Calendar!$A$2:$A$25,0)),"UNMATCHED")</f>
        <v>Actual</v>
      </c>
      <c r="M82" s="42" t="n">
        <f aca="false">Sales_Transactions!F82</f>
        <v>220</v>
      </c>
      <c r="N82" s="52" t="n">
        <f aca="false">Sales_Transactions!I82</f>
        <v>62244.6</v>
      </c>
      <c r="O82" s="52" t="n">
        <f aca="false">Sales_Transactions!J82</f>
        <v>39659.4</v>
      </c>
      <c r="P82" s="52" t="n">
        <f aca="false">Sales_Transactions!K82</f>
        <v>22585.2</v>
      </c>
      <c r="Q82" s="42" t="n">
        <f aca="false">IF(ISNUMBER(MATCH(E82,Product_Master!$A$2:$A$9,0)),0,1)</f>
        <v>0</v>
      </c>
      <c r="R82" s="42" t="n">
        <f aca="false">IF(ISNUMBER(MATCH(D82,Customer_Master!$A$2:$A$49,0)),0,1)</f>
        <v>0</v>
      </c>
      <c r="S82" s="42" t="n">
        <f aca="false">IF(ISNUMBER(MATCH(B82,Calendar!$A$2:$A$25,0)),0,1)</f>
        <v>0</v>
      </c>
      <c r="T82" s="42" t="n">
        <f aca="false">IF(COUNTIF(Sales_Transactions!$A$2:$A$865,A82)&gt;1,1,0)</f>
        <v>0</v>
      </c>
      <c r="U82" s="42" t="n">
        <f aca="false">IF(OR(ABS(Sales_Transactions!F82*Sales_Transactions!G82-Sales_Transactions!I82)&gt;0.01,ABS(Sales_Transactions!F82*Sales_Transactions!H82-Sales_Transactions!J82)&gt;0.01,ABS(Sales_Transactions!I82-Sales_Transactions!J82-Sales_Transactions!K82)&gt;0.01),1,0)</f>
        <v>0</v>
      </c>
      <c r="V82" s="42" t="n">
        <f aca="false">IF(C82&lt;&gt;L82,1,0)</f>
        <v>0</v>
      </c>
      <c r="W82" s="42" t="n">
        <f aca="false">IF(SUM(Q82:V82)&gt;0,1,0)</f>
        <v>0</v>
      </c>
    </row>
    <row r="83" customFormat="false" ht="15" hidden="false" customHeight="false" outlineLevel="0" collapsed="false">
      <c r="A83" s="42" t="str">
        <f aca="false">Sales_Transactions!A83</f>
        <v>INV-03-010</v>
      </c>
      <c r="B83" s="42" t="str">
        <f aca="false">Sales_Transactions!B83</f>
        <v>2025-03</v>
      </c>
      <c r="C83" s="42" t="str">
        <f aca="false">Sales_Transactions!C83</f>
        <v>Actual</v>
      </c>
      <c r="D83" s="42" t="str">
        <f aca="false">Sales_Transactions!D83</f>
        <v>C022</v>
      </c>
      <c r="E83" s="42" t="str">
        <f aca="false">Sales_Transactions!E83</f>
        <v>P008</v>
      </c>
      <c r="F83" s="42" t="str">
        <f aca="false">IFERROR(INDEX(Customer_Master!$C$2:$C$49,MATCH(D83,Customer_Master!$A$2:$A$49,0)),"UNMATCHED")</f>
        <v>North</v>
      </c>
      <c r="G83" s="42" t="str">
        <f aca="false">IFERROR(INDEX(Customer_Master!$D$2:$D$49,MATCH(D83,Customer_Master!$A$2:$A$49,0)),"UNMATCHED")</f>
        <v>Distributor</v>
      </c>
      <c r="H83" s="42" t="str">
        <f aca="false">IFERROR(INDEX(Product_Master!$C$2:$C$9,MATCH(E83,Product_Master!$A$2:$A$9,0)),"UNMATCHED")</f>
        <v>Personal Care</v>
      </c>
      <c r="I83" s="42" t="str">
        <f aca="false">IFERROR(INDEX(Product_Master!$B$2:$B$9,MATCH(E83,Product_Master!$A$2:$A$9,0)),"UNMATCHED")</f>
        <v>Body Lotion</v>
      </c>
      <c r="J83" s="42" t="n">
        <f aca="false">IFERROR(INDEX(Calendar!$B$2:$B$25,MATCH(B83,Calendar!$A$2:$A$25,0)),0)</f>
        <v>2025</v>
      </c>
      <c r="K83" s="42" t="n">
        <f aca="false">IFERROR(VALUE(RIGHT(B83,2)),0)</f>
        <v>3</v>
      </c>
      <c r="L83" s="42" t="str">
        <f aca="false">IFERROR(INDEX(Calendar!$E$2:$E$25,MATCH(B83,Calendar!$A$2:$A$25,0)),"UNMATCHED")</f>
        <v>Actual</v>
      </c>
      <c r="M83" s="42" t="n">
        <f aca="false">Sales_Transactions!F83</f>
        <v>231</v>
      </c>
      <c r="N83" s="52" t="n">
        <f aca="false">Sales_Transactions!I83</f>
        <v>70944.72</v>
      </c>
      <c r="O83" s="52" t="n">
        <f aca="false">Sales_Transactions!J83</f>
        <v>50157.03</v>
      </c>
      <c r="P83" s="52" t="n">
        <f aca="false">Sales_Transactions!K83</f>
        <v>20787.69</v>
      </c>
      <c r="Q83" s="42" t="n">
        <f aca="false">IF(ISNUMBER(MATCH(E83,Product_Master!$A$2:$A$9,0)),0,1)</f>
        <v>0</v>
      </c>
      <c r="R83" s="42" t="n">
        <f aca="false">IF(ISNUMBER(MATCH(D83,Customer_Master!$A$2:$A$49,0)),0,1)</f>
        <v>0</v>
      </c>
      <c r="S83" s="42" t="n">
        <f aca="false">IF(ISNUMBER(MATCH(B83,Calendar!$A$2:$A$25,0)),0,1)</f>
        <v>0</v>
      </c>
      <c r="T83" s="42" t="n">
        <f aca="false">IF(COUNTIF(Sales_Transactions!$A$2:$A$865,A83)&gt;1,1,0)</f>
        <v>0</v>
      </c>
      <c r="U83" s="42" t="n">
        <f aca="false">IF(OR(ABS(Sales_Transactions!F83*Sales_Transactions!G83-Sales_Transactions!I83)&gt;0.01,ABS(Sales_Transactions!F83*Sales_Transactions!H83-Sales_Transactions!J83)&gt;0.01,ABS(Sales_Transactions!I83-Sales_Transactions!J83-Sales_Transactions!K83)&gt;0.01),1,0)</f>
        <v>0</v>
      </c>
      <c r="V83" s="42" t="n">
        <f aca="false">IF(C83&lt;&gt;L83,1,0)</f>
        <v>0</v>
      </c>
      <c r="W83" s="42" t="n">
        <f aca="false">IF(SUM(Q83:V83)&gt;0,1,0)</f>
        <v>0</v>
      </c>
    </row>
    <row r="84" customFormat="false" ht="15" hidden="false" customHeight="false" outlineLevel="0" collapsed="false">
      <c r="A84" s="42" t="str">
        <f aca="false">Sales_Transactions!A84</f>
        <v>INV-03-011</v>
      </c>
      <c r="B84" s="42" t="str">
        <f aca="false">Sales_Transactions!B84</f>
        <v>2025-03</v>
      </c>
      <c r="C84" s="42" t="str">
        <f aca="false">Sales_Transactions!C84</f>
        <v>Actual</v>
      </c>
      <c r="D84" s="42" t="str">
        <f aca="false">Sales_Transactions!D84</f>
        <v>C029</v>
      </c>
      <c r="E84" s="42" t="str">
        <f aca="false">Sales_Transactions!E84</f>
        <v>P005</v>
      </c>
      <c r="F84" s="42" t="str">
        <f aca="false">IFERROR(INDEX(Customer_Master!$C$2:$C$49,MATCH(D84,Customer_Master!$A$2:$A$49,0)),"UNMATCHED")</f>
        <v>South</v>
      </c>
      <c r="G84" s="42" t="str">
        <f aca="false">IFERROR(INDEX(Customer_Master!$D$2:$D$49,MATCH(D84,Customer_Master!$A$2:$A$49,0)),"UNMATCHED")</f>
        <v>Modern Trade</v>
      </c>
      <c r="H84" s="42" t="str">
        <f aca="false">IFERROR(INDEX(Product_Master!$C$2:$C$9,MATCH(E84,Product_Master!$A$2:$A$9,0)),"UNMATCHED")</f>
        <v>Foods</v>
      </c>
      <c r="I84" s="42" t="str">
        <f aca="false">IFERROR(INDEX(Product_Master!$B$2:$B$9,MATCH(E84,Product_Master!$A$2:$A$9,0)),"UNMATCHED")</f>
        <v>Biscuits 500g</v>
      </c>
      <c r="J84" s="42" t="n">
        <f aca="false">IFERROR(INDEX(Calendar!$B$2:$B$25,MATCH(B84,Calendar!$A$2:$A$25,0)),0)</f>
        <v>2025</v>
      </c>
      <c r="K84" s="42" t="n">
        <f aca="false">IFERROR(VALUE(RIGHT(B84,2)),0)</f>
        <v>3</v>
      </c>
      <c r="L84" s="42" t="str">
        <f aca="false">IFERROR(INDEX(Calendar!$E$2:$E$25,MATCH(B84,Calendar!$A$2:$A$25,0)),"UNMATCHED")</f>
        <v>Actual</v>
      </c>
      <c r="M84" s="42" t="n">
        <f aca="false">Sales_Transactions!F84</f>
        <v>369</v>
      </c>
      <c r="N84" s="52" t="n">
        <f aca="false">Sales_Transactions!I84</f>
        <v>39615.84</v>
      </c>
      <c r="O84" s="52" t="n">
        <f aca="false">Sales_Transactions!J84</f>
        <v>25176.87</v>
      </c>
      <c r="P84" s="52" t="n">
        <f aca="false">Sales_Transactions!K84</f>
        <v>14438.97</v>
      </c>
      <c r="Q84" s="42" t="n">
        <f aca="false">IF(ISNUMBER(MATCH(E84,Product_Master!$A$2:$A$9,0)),0,1)</f>
        <v>0</v>
      </c>
      <c r="R84" s="42" t="n">
        <f aca="false">IF(ISNUMBER(MATCH(D84,Customer_Master!$A$2:$A$49,0)),0,1)</f>
        <v>0</v>
      </c>
      <c r="S84" s="42" t="n">
        <f aca="false">IF(ISNUMBER(MATCH(B84,Calendar!$A$2:$A$25,0)),0,1)</f>
        <v>0</v>
      </c>
      <c r="T84" s="42" t="n">
        <f aca="false">IF(COUNTIF(Sales_Transactions!$A$2:$A$865,A84)&gt;1,1,0)</f>
        <v>0</v>
      </c>
      <c r="U84" s="42" t="n">
        <f aca="false">IF(OR(ABS(Sales_Transactions!F84*Sales_Transactions!G84-Sales_Transactions!I84)&gt;0.01,ABS(Sales_Transactions!F84*Sales_Transactions!H84-Sales_Transactions!J84)&gt;0.01,ABS(Sales_Transactions!I84-Sales_Transactions!J84-Sales_Transactions!K84)&gt;0.01),1,0)</f>
        <v>0</v>
      </c>
      <c r="V84" s="42" t="n">
        <f aca="false">IF(C84&lt;&gt;L84,1,0)</f>
        <v>0</v>
      </c>
      <c r="W84" s="42" t="n">
        <f aca="false">IF(SUM(Q84:V84)&gt;0,1,0)</f>
        <v>0</v>
      </c>
    </row>
    <row r="85" customFormat="false" ht="15" hidden="false" customHeight="false" outlineLevel="0" collapsed="false">
      <c r="A85" s="42" t="str">
        <f aca="false">Sales_Transactions!A85</f>
        <v>INV-03-012</v>
      </c>
      <c r="B85" s="42" t="str">
        <f aca="false">Sales_Transactions!B85</f>
        <v>2025-03</v>
      </c>
      <c r="C85" s="42" t="str">
        <f aca="false">Sales_Transactions!C85</f>
        <v>Actual</v>
      </c>
      <c r="D85" s="42" t="str">
        <f aca="false">Sales_Transactions!D85</f>
        <v>C036</v>
      </c>
      <c r="E85" s="42" t="str">
        <f aca="false">Sales_Transactions!E85</f>
        <v>P002</v>
      </c>
      <c r="F85" s="42" t="str">
        <f aca="false">IFERROR(INDEX(Customer_Master!$C$2:$C$49,MATCH(D85,Customer_Master!$A$2:$A$49,0)),"UNMATCHED")</f>
        <v>East</v>
      </c>
      <c r="G85" s="42" t="str">
        <f aca="false">IFERROR(INDEX(Customer_Master!$D$2:$D$49,MATCH(D85,Customer_Master!$A$2:$A$49,0)),"UNMATCHED")</f>
        <v>Retail</v>
      </c>
      <c r="H85" s="42" t="str">
        <f aca="false">IFERROR(INDEX(Product_Master!$C$2:$C$9,MATCH(E85,Product_Master!$A$2:$A$9,0)),"UNMATCHED")</f>
        <v>Home Care</v>
      </c>
      <c r="I85" s="42" t="str">
        <f aca="false">IFERROR(INDEX(Product_Master!$B$2:$B$9,MATCH(E85,Product_Master!$A$2:$A$9,0)),"UNMATCHED")</f>
        <v>Dishwash Gel</v>
      </c>
      <c r="J85" s="42" t="n">
        <f aca="false">IFERROR(INDEX(Calendar!$B$2:$B$25,MATCH(B85,Calendar!$A$2:$A$25,0)),0)</f>
        <v>2025</v>
      </c>
      <c r="K85" s="42" t="n">
        <f aca="false">IFERROR(VALUE(RIGHT(B85,2)),0)</f>
        <v>3</v>
      </c>
      <c r="L85" s="42" t="str">
        <f aca="false">IFERROR(INDEX(Calendar!$E$2:$E$25,MATCH(B85,Calendar!$A$2:$A$25,0)),"UNMATCHED")</f>
        <v>Actual</v>
      </c>
      <c r="M85" s="42" t="n">
        <f aca="false">Sales_Transactions!F85</f>
        <v>182</v>
      </c>
      <c r="N85" s="52" t="n">
        <f aca="false">Sales_Transactions!I85</f>
        <v>24504.48</v>
      </c>
      <c r="O85" s="52" t="n">
        <f aca="false">Sales_Transactions!J85</f>
        <v>16061.5</v>
      </c>
      <c r="P85" s="52" t="n">
        <f aca="false">Sales_Transactions!K85</f>
        <v>8442.98</v>
      </c>
      <c r="Q85" s="42" t="n">
        <f aca="false">IF(ISNUMBER(MATCH(E85,Product_Master!$A$2:$A$9,0)),0,1)</f>
        <v>0</v>
      </c>
      <c r="R85" s="42" t="n">
        <f aca="false">IF(ISNUMBER(MATCH(D85,Customer_Master!$A$2:$A$49,0)),0,1)</f>
        <v>0</v>
      </c>
      <c r="S85" s="42" t="n">
        <f aca="false">IF(ISNUMBER(MATCH(B85,Calendar!$A$2:$A$25,0)),0,1)</f>
        <v>0</v>
      </c>
      <c r="T85" s="42" t="n">
        <f aca="false">IF(COUNTIF(Sales_Transactions!$A$2:$A$865,A85)&gt;1,1,0)</f>
        <v>0</v>
      </c>
      <c r="U85" s="42" t="n">
        <f aca="false">IF(OR(ABS(Sales_Transactions!F85*Sales_Transactions!G85-Sales_Transactions!I85)&gt;0.01,ABS(Sales_Transactions!F85*Sales_Transactions!H85-Sales_Transactions!J85)&gt;0.01,ABS(Sales_Transactions!I85-Sales_Transactions!J85-Sales_Transactions!K85)&gt;0.01),1,0)</f>
        <v>0</v>
      </c>
      <c r="V85" s="42" t="n">
        <f aca="false">IF(C85&lt;&gt;L85,1,0)</f>
        <v>0</v>
      </c>
      <c r="W85" s="42" t="n">
        <f aca="false">IF(SUM(Q85:V85)&gt;0,1,0)</f>
        <v>0</v>
      </c>
    </row>
    <row r="86" customFormat="false" ht="15" hidden="false" customHeight="false" outlineLevel="0" collapsed="false">
      <c r="A86" s="42" t="str">
        <f aca="false">Sales_Transactions!A86</f>
        <v>INV-03-013</v>
      </c>
      <c r="B86" s="42" t="str">
        <f aca="false">Sales_Transactions!B86</f>
        <v>2025-03</v>
      </c>
      <c r="C86" s="42" t="str">
        <f aca="false">Sales_Transactions!C86</f>
        <v>Actual</v>
      </c>
      <c r="D86" s="42" t="str">
        <f aca="false">Sales_Transactions!D86</f>
        <v>C043</v>
      </c>
      <c r="E86" s="42" t="str">
        <f aca="false">Sales_Transactions!E86</f>
        <v>P007</v>
      </c>
      <c r="F86" s="42" t="str">
        <f aca="false">IFERROR(INDEX(Customer_Master!$C$2:$C$49,MATCH(D86,Customer_Master!$A$2:$A$49,0)),"UNMATCHED")</f>
        <v>West</v>
      </c>
      <c r="G86" s="42" t="str">
        <f aca="false">IFERROR(INDEX(Customer_Master!$D$2:$D$49,MATCH(D86,Customer_Master!$A$2:$A$49,0)),"UNMATCHED")</f>
        <v>Distributor</v>
      </c>
      <c r="H86" s="42" t="str">
        <f aca="false">IFERROR(INDEX(Product_Master!$C$2:$C$9,MATCH(E86,Product_Master!$A$2:$A$9,0)),"UNMATCHED")</f>
        <v>Home Care</v>
      </c>
      <c r="I86" s="42" t="str">
        <f aca="false">IFERROR(INDEX(Product_Master!$B$2:$B$9,MATCH(E86,Product_Master!$A$2:$A$9,0)),"UNMATCHED")</f>
        <v>Floor Cleaner</v>
      </c>
      <c r="J86" s="42" t="n">
        <f aca="false">IFERROR(INDEX(Calendar!$B$2:$B$25,MATCH(B86,Calendar!$A$2:$A$25,0)),0)</f>
        <v>2025</v>
      </c>
      <c r="K86" s="42" t="n">
        <f aca="false">IFERROR(VALUE(RIGHT(B86,2)),0)</f>
        <v>3</v>
      </c>
      <c r="L86" s="42" t="str">
        <f aca="false">IFERROR(INDEX(Calendar!$E$2:$E$25,MATCH(B86,Calendar!$A$2:$A$25,0)),"UNMATCHED")</f>
        <v>Actual</v>
      </c>
      <c r="M86" s="42" t="n">
        <f aca="false">Sales_Transactions!F86</f>
        <v>381</v>
      </c>
      <c r="N86" s="52" t="n">
        <f aca="false">Sales_Transactions!I86</f>
        <v>71349.87</v>
      </c>
      <c r="O86" s="52" t="n">
        <f aca="false">Sales_Transactions!J86</f>
        <v>41277.54</v>
      </c>
      <c r="P86" s="52" t="n">
        <f aca="false">Sales_Transactions!K86</f>
        <v>30072.33</v>
      </c>
      <c r="Q86" s="42" t="n">
        <f aca="false">IF(ISNUMBER(MATCH(E86,Product_Master!$A$2:$A$9,0)),0,1)</f>
        <v>0</v>
      </c>
      <c r="R86" s="42" t="n">
        <f aca="false">IF(ISNUMBER(MATCH(D86,Customer_Master!$A$2:$A$49,0)),0,1)</f>
        <v>0</v>
      </c>
      <c r="S86" s="42" t="n">
        <f aca="false">IF(ISNUMBER(MATCH(B86,Calendar!$A$2:$A$25,0)),0,1)</f>
        <v>0</v>
      </c>
      <c r="T86" s="42" t="n">
        <f aca="false">IF(COUNTIF(Sales_Transactions!$A$2:$A$865,A86)&gt;1,1,0)</f>
        <v>0</v>
      </c>
      <c r="U86" s="42" t="n">
        <f aca="false">IF(OR(ABS(Sales_Transactions!F86*Sales_Transactions!G86-Sales_Transactions!I86)&gt;0.01,ABS(Sales_Transactions!F86*Sales_Transactions!H86-Sales_Transactions!J86)&gt;0.01,ABS(Sales_Transactions!I86-Sales_Transactions!J86-Sales_Transactions!K86)&gt;0.01),1,0)</f>
        <v>0</v>
      </c>
      <c r="V86" s="42" t="n">
        <f aca="false">IF(C86&lt;&gt;L86,1,0)</f>
        <v>0</v>
      </c>
      <c r="W86" s="42" t="n">
        <f aca="false">IF(SUM(Q86:V86)&gt;0,1,0)</f>
        <v>0</v>
      </c>
    </row>
    <row r="87" customFormat="false" ht="15" hidden="false" customHeight="false" outlineLevel="0" collapsed="false">
      <c r="A87" s="42" t="str">
        <f aca="false">Sales_Transactions!A87</f>
        <v>INV-03-014</v>
      </c>
      <c r="B87" s="42" t="str">
        <f aca="false">Sales_Transactions!B87</f>
        <v>2025-03</v>
      </c>
      <c r="C87" s="42" t="str">
        <f aca="false">Sales_Transactions!C87</f>
        <v>Actual</v>
      </c>
      <c r="D87" s="42" t="str">
        <f aca="false">Sales_Transactions!D87</f>
        <v>C002</v>
      </c>
      <c r="E87" s="42" t="str">
        <f aca="false">Sales_Transactions!E87</f>
        <v>P004</v>
      </c>
      <c r="F87" s="42" t="str">
        <f aca="false">IFERROR(INDEX(Customer_Master!$C$2:$C$49,MATCH(D87,Customer_Master!$A$2:$A$49,0)),"UNMATCHED")</f>
        <v>North</v>
      </c>
      <c r="G87" s="42" t="str">
        <f aca="false">IFERROR(INDEX(Customer_Master!$D$2:$D$49,MATCH(D87,Customer_Master!$A$2:$A$49,0)),"UNMATCHED")</f>
        <v>Modern Trade</v>
      </c>
      <c r="H87" s="42" t="str">
        <f aca="false">IFERROR(INDEX(Product_Master!$C$2:$C$9,MATCH(E87,Product_Master!$A$2:$A$9,0)),"UNMATCHED")</f>
        <v>Personal Care</v>
      </c>
      <c r="I87" s="42" t="str">
        <f aca="false">IFERROR(INDEX(Product_Master!$B$2:$B$9,MATCH(E87,Product_Master!$A$2:$A$9,0)),"UNMATCHED")</f>
        <v>Soap 4-pack</v>
      </c>
      <c r="J87" s="42" t="n">
        <f aca="false">IFERROR(INDEX(Calendar!$B$2:$B$25,MATCH(B87,Calendar!$A$2:$A$25,0)),0)</f>
        <v>2025</v>
      </c>
      <c r="K87" s="42" t="n">
        <f aca="false">IFERROR(VALUE(RIGHT(B87,2)),0)</f>
        <v>3</v>
      </c>
      <c r="L87" s="42" t="str">
        <f aca="false">IFERROR(INDEX(Calendar!$E$2:$E$25,MATCH(B87,Calendar!$A$2:$A$25,0)),"UNMATCHED")</f>
        <v>Actual</v>
      </c>
      <c r="M87" s="42" t="n">
        <f aca="false">Sales_Transactions!F87</f>
        <v>245</v>
      </c>
      <c r="N87" s="52" t="n">
        <f aca="false">Sales_Transactions!I87</f>
        <v>38477.25</v>
      </c>
      <c r="O87" s="52" t="n">
        <f aca="false">Sales_Transactions!J87</f>
        <v>24228.05</v>
      </c>
      <c r="P87" s="52" t="n">
        <f aca="false">Sales_Transactions!K87</f>
        <v>14249.2</v>
      </c>
      <c r="Q87" s="42" t="n">
        <f aca="false">IF(ISNUMBER(MATCH(E87,Product_Master!$A$2:$A$9,0)),0,1)</f>
        <v>0</v>
      </c>
      <c r="R87" s="42" t="n">
        <f aca="false">IF(ISNUMBER(MATCH(D87,Customer_Master!$A$2:$A$49,0)),0,1)</f>
        <v>0</v>
      </c>
      <c r="S87" s="42" t="n">
        <f aca="false">IF(ISNUMBER(MATCH(B87,Calendar!$A$2:$A$25,0)),0,1)</f>
        <v>0</v>
      </c>
      <c r="T87" s="42" t="n">
        <f aca="false">IF(COUNTIF(Sales_Transactions!$A$2:$A$865,A87)&gt;1,1,0)</f>
        <v>0</v>
      </c>
      <c r="U87" s="42" t="n">
        <f aca="false">IF(OR(ABS(Sales_Transactions!F87*Sales_Transactions!G87-Sales_Transactions!I87)&gt;0.01,ABS(Sales_Transactions!F87*Sales_Transactions!H87-Sales_Transactions!J87)&gt;0.01,ABS(Sales_Transactions!I87-Sales_Transactions!J87-Sales_Transactions!K87)&gt;0.01),1,0)</f>
        <v>0</v>
      </c>
      <c r="V87" s="42" t="n">
        <f aca="false">IF(C87&lt;&gt;L87,1,0)</f>
        <v>0</v>
      </c>
      <c r="W87" s="42" t="n">
        <f aca="false">IF(SUM(Q87:V87)&gt;0,1,0)</f>
        <v>0</v>
      </c>
    </row>
    <row r="88" customFormat="false" ht="15" hidden="false" customHeight="false" outlineLevel="0" collapsed="false">
      <c r="A88" s="42" t="str">
        <f aca="false">Sales_Transactions!A88</f>
        <v>INV-03-015</v>
      </c>
      <c r="B88" s="42" t="str">
        <f aca="false">Sales_Transactions!B88</f>
        <v>2025-03</v>
      </c>
      <c r="C88" s="42" t="str">
        <f aca="false">Sales_Transactions!C88</f>
        <v>Actual</v>
      </c>
      <c r="D88" s="42" t="str">
        <f aca="false">Sales_Transactions!D88</f>
        <v>C009</v>
      </c>
      <c r="E88" s="42" t="str">
        <f aca="false">Sales_Transactions!E88</f>
        <v>P001</v>
      </c>
      <c r="F88" s="42" t="str">
        <f aca="false">IFERROR(INDEX(Customer_Master!$C$2:$C$49,MATCH(D88,Customer_Master!$A$2:$A$49,0)),"UNMATCHED")</f>
        <v>South</v>
      </c>
      <c r="G88" s="42" t="str">
        <f aca="false">IFERROR(INDEX(Customer_Master!$D$2:$D$49,MATCH(D88,Customer_Master!$A$2:$A$49,0)),"UNMATCHED")</f>
        <v>Retail</v>
      </c>
      <c r="H88" s="42" t="str">
        <f aca="false">IFERROR(INDEX(Product_Master!$C$2:$C$9,MATCH(E88,Product_Master!$A$2:$A$9,0)),"UNMATCHED")</f>
        <v>Home Care</v>
      </c>
      <c r="I88" s="42" t="str">
        <f aca="false">IFERROR(INDEX(Product_Master!$B$2:$B$9,MATCH(E88,Product_Master!$A$2:$A$9,0)),"UNMATCHED")</f>
        <v>Detergent 1kg</v>
      </c>
      <c r="J88" s="42" t="n">
        <f aca="false">IFERROR(INDEX(Calendar!$B$2:$B$25,MATCH(B88,Calendar!$A$2:$A$25,0)),0)</f>
        <v>2025</v>
      </c>
      <c r="K88" s="42" t="n">
        <f aca="false">IFERROR(VALUE(RIGHT(B88,2)),0)</f>
        <v>3</v>
      </c>
      <c r="L88" s="42" t="str">
        <f aca="false">IFERROR(INDEX(Calendar!$E$2:$E$25,MATCH(B88,Calendar!$A$2:$A$25,0)),"UNMATCHED")</f>
        <v>Actual</v>
      </c>
      <c r="M88" s="42" t="n">
        <f aca="false">Sales_Transactions!F88</f>
        <v>342</v>
      </c>
      <c r="N88" s="52" t="n">
        <f aca="false">Sales_Transactions!I88</f>
        <v>72504</v>
      </c>
      <c r="O88" s="52" t="n">
        <f aca="false">Sales_Transactions!J88</f>
        <v>46214.46</v>
      </c>
      <c r="P88" s="52" t="n">
        <f aca="false">Sales_Transactions!K88</f>
        <v>26289.54</v>
      </c>
      <c r="Q88" s="42" t="n">
        <f aca="false">IF(ISNUMBER(MATCH(E88,Product_Master!$A$2:$A$9,0)),0,1)</f>
        <v>0</v>
      </c>
      <c r="R88" s="42" t="n">
        <f aca="false">IF(ISNUMBER(MATCH(D88,Customer_Master!$A$2:$A$49,0)),0,1)</f>
        <v>0</v>
      </c>
      <c r="S88" s="42" t="n">
        <f aca="false">IF(ISNUMBER(MATCH(B88,Calendar!$A$2:$A$25,0)),0,1)</f>
        <v>0</v>
      </c>
      <c r="T88" s="42" t="n">
        <f aca="false">IF(COUNTIF(Sales_Transactions!$A$2:$A$865,A88)&gt;1,1,0)</f>
        <v>0</v>
      </c>
      <c r="U88" s="42" t="n">
        <f aca="false">IF(OR(ABS(Sales_Transactions!F88*Sales_Transactions!G88-Sales_Transactions!I88)&gt;0.01,ABS(Sales_Transactions!F88*Sales_Transactions!H88-Sales_Transactions!J88)&gt;0.01,ABS(Sales_Transactions!I88-Sales_Transactions!J88-Sales_Transactions!K88)&gt;0.01),1,0)</f>
        <v>0</v>
      </c>
      <c r="V88" s="42" t="n">
        <f aca="false">IF(C88&lt;&gt;L88,1,0)</f>
        <v>0</v>
      </c>
      <c r="W88" s="42" t="n">
        <f aca="false">IF(SUM(Q88:V88)&gt;0,1,0)</f>
        <v>0</v>
      </c>
    </row>
    <row r="89" customFormat="false" ht="15" hidden="false" customHeight="false" outlineLevel="0" collapsed="false">
      <c r="A89" s="42" t="str">
        <f aca="false">Sales_Transactions!A89</f>
        <v>INV-03-016</v>
      </c>
      <c r="B89" s="42" t="str">
        <f aca="false">Sales_Transactions!B89</f>
        <v>2025-03</v>
      </c>
      <c r="C89" s="42" t="str">
        <f aca="false">Sales_Transactions!C89</f>
        <v>Actual</v>
      </c>
      <c r="D89" s="42" t="str">
        <f aca="false">Sales_Transactions!D89</f>
        <v>C016</v>
      </c>
      <c r="E89" s="42" t="str">
        <f aca="false">Sales_Transactions!E89</f>
        <v>P006</v>
      </c>
      <c r="F89" s="42" t="str">
        <f aca="false">IFERROR(INDEX(Customer_Master!$C$2:$C$49,MATCH(D89,Customer_Master!$A$2:$A$49,0)),"UNMATCHED")</f>
        <v>East</v>
      </c>
      <c r="G89" s="42" t="str">
        <f aca="false">IFERROR(INDEX(Customer_Master!$D$2:$D$49,MATCH(D89,Customer_Master!$A$2:$A$49,0)),"UNMATCHED")</f>
        <v>Distributor</v>
      </c>
      <c r="H89" s="42" t="str">
        <f aca="false">IFERROR(INDEX(Product_Master!$C$2:$C$9,MATCH(E89,Product_Master!$A$2:$A$9,0)),"UNMATCHED")</f>
        <v>Foods</v>
      </c>
      <c r="I89" s="42" t="str">
        <f aca="false">IFERROR(INDEX(Product_Master!$B$2:$B$9,MATCH(E89,Product_Master!$A$2:$A$9,0)),"UNMATCHED")</f>
        <v>Breakfast Cereal</v>
      </c>
      <c r="J89" s="42" t="n">
        <f aca="false">IFERROR(INDEX(Calendar!$B$2:$B$25,MATCH(B89,Calendar!$A$2:$A$25,0)),0)</f>
        <v>2025</v>
      </c>
      <c r="K89" s="42" t="n">
        <f aca="false">IFERROR(VALUE(RIGHT(B89,2)),0)</f>
        <v>3</v>
      </c>
      <c r="L89" s="42" t="str">
        <f aca="false">IFERROR(INDEX(Calendar!$E$2:$E$25,MATCH(B89,Calendar!$A$2:$A$25,0)),"UNMATCHED")</f>
        <v>Actual</v>
      </c>
      <c r="M89" s="42" t="n">
        <f aca="false">Sales_Transactions!F89</f>
        <v>114</v>
      </c>
      <c r="N89" s="52" t="n">
        <f aca="false">Sales_Transactions!I89</f>
        <v>29503.2</v>
      </c>
      <c r="O89" s="52" t="n">
        <f aca="false">Sales_Transactions!J89</f>
        <v>17243.64</v>
      </c>
      <c r="P89" s="52" t="n">
        <f aca="false">Sales_Transactions!K89</f>
        <v>12259.56</v>
      </c>
      <c r="Q89" s="42" t="n">
        <f aca="false">IF(ISNUMBER(MATCH(E89,Product_Master!$A$2:$A$9,0)),0,1)</f>
        <v>0</v>
      </c>
      <c r="R89" s="42" t="n">
        <f aca="false">IF(ISNUMBER(MATCH(D89,Customer_Master!$A$2:$A$49,0)),0,1)</f>
        <v>0</v>
      </c>
      <c r="S89" s="42" t="n">
        <f aca="false">IF(ISNUMBER(MATCH(B89,Calendar!$A$2:$A$25,0)),0,1)</f>
        <v>0</v>
      </c>
      <c r="T89" s="42" t="n">
        <f aca="false">IF(COUNTIF(Sales_Transactions!$A$2:$A$865,A89)&gt;1,1,0)</f>
        <v>0</v>
      </c>
      <c r="U89" s="42" t="n">
        <f aca="false">IF(OR(ABS(Sales_Transactions!F89*Sales_Transactions!G89-Sales_Transactions!I89)&gt;0.01,ABS(Sales_Transactions!F89*Sales_Transactions!H89-Sales_Transactions!J89)&gt;0.01,ABS(Sales_Transactions!I89-Sales_Transactions!J89-Sales_Transactions!K89)&gt;0.01),1,0)</f>
        <v>0</v>
      </c>
      <c r="V89" s="42" t="n">
        <f aca="false">IF(C89&lt;&gt;L89,1,0)</f>
        <v>0</v>
      </c>
      <c r="W89" s="42" t="n">
        <f aca="false">IF(SUM(Q89:V89)&gt;0,1,0)</f>
        <v>0</v>
      </c>
    </row>
    <row r="90" customFormat="false" ht="15" hidden="false" customHeight="false" outlineLevel="0" collapsed="false">
      <c r="A90" s="42" t="str">
        <f aca="false">Sales_Transactions!A90</f>
        <v>INV-03-017</v>
      </c>
      <c r="B90" s="42" t="str">
        <f aca="false">Sales_Transactions!B90</f>
        <v>2025-03</v>
      </c>
      <c r="C90" s="42" t="str">
        <f aca="false">Sales_Transactions!C90</f>
        <v>Actual</v>
      </c>
      <c r="D90" s="42" t="str">
        <f aca="false">Sales_Transactions!D90</f>
        <v>C023</v>
      </c>
      <c r="E90" s="42" t="str">
        <f aca="false">Sales_Transactions!E90</f>
        <v>P003</v>
      </c>
      <c r="F90" s="42" t="str">
        <f aca="false">IFERROR(INDEX(Customer_Master!$C$2:$C$49,MATCH(D90,Customer_Master!$A$2:$A$49,0)),"UNMATCHED")</f>
        <v>West</v>
      </c>
      <c r="G90" s="42" t="str">
        <f aca="false">IFERROR(INDEX(Customer_Master!$D$2:$D$49,MATCH(D90,Customer_Master!$A$2:$A$49,0)),"UNMATCHED")</f>
        <v>Modern Trade</v>
      </c>
      <c r="H90" s="42" t="str">
        <f aca="false">IFERROR(INDEX(Product_Master!$C$2:$C$9,MATCH(E90,Product_Master!$A$2:$A$9,0)),"UNMATCHED")</f>
        <v>Personal Care</v>
      </c>
      <c r="I90" s="42" t="str">
        <f aca="false">IFERROR(INDEX(Product_Master!$B$2:$B$9,MATCH(E90,Product_Master!$A$2:$A$9,0)),"UNMATCHED")</f>
        <v>Shampoo 400ml</v>
      </c>
      <c r="J90" s="42" t="n">
        <f aca="false">IFERROR(INDEX(Calendar!$B$2:$B$25,MATCH(B90,Calendar!$A$2:$A$25,0)),0)</f>
        <v>2025</v>
      </c>
      <c r="K90" s="42" t="n">
        <f aca="false">IFERROR(VALUE(RIGHT(B90,2)),0)</f>
        <v>3</v>
      </c>
      <c r="L90" s="42" t="str">
        <f aca="false">IFERROR(INDEX(Calendar!$E$2:$E$25,MATCH(B90,Calendar!$A$2:$A$25,0)),"UNMATCHED")</f>
        <v>Actual</v>
      </c>
      <c r="M90" s="42" t="n">
        <f aca="false">Sales_Transactions!F90</f>
        <v>180</v>
      </c>
      <c r="N90" s="52" t="n">
        <f aca="false">Sales_Transactions!I90</f>
        <v>45304.2</v>
      </c>
      <c r="O90" s="52" t="n">
        <f aca="false">Sales_Transactions!J90</f>
        <v>29799</v>
      </c>
      <c r="P90" s="52" t="n">
        <f aca="false">Sales_Transactions!K90</f>
        <v>15505.2</v>
      </c>
      <c r="Q90" s="42" t="n">
        <f aca="false">IF(ISNUMBER(MATCH(E90,Product_Master!$A$2:$A$9,0)),0,1)</f>
        <v>0</v>
      </c>
      <c r="R90" s="42" t="n">
        <f aca="false">IF(ISNUMBER(MATCH(D90,Customer_Master!$A$2:$A$49,0)),0,1)</f>
        <v>0</v>
      </c>
      <c r="S90" s="42" t="n">
        <f aca="false">IF(ISNUMBER(MATCH(B90,Calendar!$A$2:$A$25,0)),0,1)</f>
        <v>0</v>
      </c>
      <c r="T90" s="42" t="n">
        <f aca="false">IF(COUNTIF(Sales_Transactions!$A$2:$A$865,A90)&gt;1,1,0)</f>
        <v>0</v>
      </c>
      <c r="U90" s="42" t="n">
        <f aca="false">IF(OR(ABS(Sales_Transactions!F90*Sales_Transactions!G90-Sales_Transactions!I90)&gt;0.01,ABS(Sales_Transactions!F90*Sales_Transactions!H90-Sales_Transactions!J90)&gt;0.01,ABS(Sales_Transactions!I90-Sales_Transactions!J90-Sales_Transactions!K90)&gt;0.01),1,0)</f>
        <v>0</v>
      </c>
      <c r="V90" s="42" t="n">
        <f aca="false">IF(C90&lt;&gt;L90,1,0)</f>
        <v>0</v>
      </c>
      <c r="W90" s="42" t="n">
        <f aca="false">IF(SUM(Q90:V90)&gt;0,1,0)</f>
        <v>0</v>
      </c>
    </row>
    <row r="91" customFormat="false" ht="15" hidden="false" customHeight="false" outlineLevel="0" collapsed="false">
      <c r="A91" s="42" t="str">
        <f aca="false">Sales_Transactions!A91</f>
        <v>INV-03-018</v>
      </c>
      <c r="B91" s="42" t="str">
        <f aca="false">Sales_Transactions!B91</f>
        <v>2025-03</v>
      </c>
      <c r="C91" s="42" t="str">
        <f aca="false">Sales_Transactions!C91</f>
        <v>Actual</v>
      </c>
      <c r="D91" s="42" t="str">
        <f aca="false">Sales_Transactions!D91</f>
        <v>C030</v>
      </c>
      <c r="E91" s="42" t="str">
        <f aca="false">Sales_Transactions!E91</f>
        <v>P008</v>
      </c>
      <c r="F91" s="42" t="str">
        <f aca="false">IFERROR(INDEX(Customer_Master!$C$2:$C$49,MATCH(D91,Customer_Master!$A$2:$A$49,0)),"UNMATCHED")</f>
        <v>North</v>
      </c>
      <c r="G91" s="42" t="str">
        <f aca="false">IFERROR(INDEX(Customer_Master!$D$2:$D$49,MATCH(D91,Customer_Master!$A$2:$A$49,0)),"UNMATCHED")</f>
        <v>Retail</v>
      </c>
      <c r="H91" s="42" t="str">
        <f aca="false">IFERROR(INDEX(Product_Master!$C$2:$C$9,MATCH(E91,Product_Master!$A$2:$A$9,0)),"UNMATCHED")</f>
        <v>Personal Care</v>
      </c>
      <c r="I91" s="42" t="str">
        <f aca="false">IFERROR(INDEX(Product_Master!$B$2:$B$9,MATCH(E91,Product_Master!$A$2:$A$9,0)),"UNMATCHED")</f>
        <v>Body Lotion</v>
      </c>
      <c r="J91" s="42" t="n">
        <f aca="false">IFERROR(INDEX(Calendar!$B$2:$B$25,MATCH(B91,Calendar!$A$2:$A$25,0)),0)</f>
        <v>2025</v>
      </c>
      <c r="K91" s="42" t="n">
        <f aca="false">IFERROR(VALUE(RIGHT(B91,2)),0)</f>
        <v>3</v>
      </c>
      <c r="L91" s="42" t="str">
        <f aca="false">IFERROR(INDEX(Calendar!$E$2:$E$25,MATCH(B91,Calendar!$A$2:$A$25,0)),"UNMATCHED")</f>
        <v>Actual</v>
      </c>
      <c r="M91" s="42" t="n">
        <f aca="false">Sales_Transactions!F91</f>
        <v>205</v>
      </c>
      <c r="N91" s="52" t="n">
        <f aca="false">Sales_Transactions!I91</f>
        <v>62793.55</v>
      </c>
      <c r="O91" s="52" t="n">
        <f aca="false">Sales_Transactions!J91</f>
        <v>44431.7</v>
      </c>
      <c r="P91" s="52" t="n">
        <f aca="false">Sales_Transactions!K91</f>
        <v>18361.85</v>
      </c>
      <c r="Q91" s="42" t="n">
        <f aca="false">IF(ISNUMBER(MATCH(E91,Product_Master!$A$2:$A$9,0)),0,1)</f>
        <v>0</v>
      </c>
      <c r="R91" s="42" t="n">
        <f aca="false">IF(ISNUMBER(MATCH(D91,Customer_Master!$A$2:$A$49,0)),0,1)</f>
        <v>0</v>
      </c>
      <c r="S91" s="42" t="n">
        <f aca="false">IF(ISNUMBER(MATCH(B91,Calendar!$A$2:$A$25,0)),0,1)</f>
        <v>0</v>
      </c>
      <c r="T91" s="42" t="n">
        <f aca="false">IF(COUNTIF(Sales_Transactions!$A$2:$A$865,A91)&gt;1,1,0)</f>
        <v>0</v>
      </c>
      <c r="U91" s="42" t="n">
        <f aca="false">IF(OR(ABS(Sales_Transactions!F91*Sales_Transactions!G91-Sales_Transactions!I91)&gt;0.01,ABS(Sales_Transactions!F91*Sales_Transactions!H91-Sales_Transactions!J91)&gt;0.01,ABS(Sales_Transactions!I91-Sales_Transactions!J91-Sales_Transactions!K91)&gt;0.01),1,0)</f>
        <v>0</v>
      </c>
      <c r="V91" s="42" t="n">
        <f aca="false">IF(C91&lt;&gt;L91,1,0)</f>
        <v>0</v>
      </c>
      <c r="W91" s="42" t="n">
        <f aca="false">IF(SUM(Q91:V91)&gt;0,1,0)</f>
        <v>0</v>
      </c>
    </row>
    <row r="92" customFormat="false" ht="15" hidden="false" customHeight="false" outlineLevel="0" collapsed="false">
      <c r="A92" s="42" t="str">
        <f aca="false">Sales_Transactions!A92</f>
        <v>INV-03-019</v>
      </c>
      <c r="B92" s="42" t="str">
        <f aca="false">Sales_Transactions!B92</f>
        <v>2025-03</v>
      </c>
      <c r="C92" s="42" t="str">
        <f aca="false">Sales_Transactions!C92</f>
        <v>Actual</v>
      </c>
      <c r="D92" s="42" t="str">
        <f aca="false">Sales_Transactions!D92</f>
        <v>C037</v>
      </c>
      <c r="E92" s="42" t="str">
        <f aca="false">Sales_Transactions!E92</f>
        <v>P005</v>
      </c>
      <c r="F92" s="42" t="str">
        <f aca="false">IFERROR(INDEX(Customer_Master!$C$2:$C$49,MATCH(D92,Customer_Master!$A$2:$A$49,0)),"UNMATCHED")</f>
        <v>South</v>
      </c>
      <c r="G92" s="42" t="str">
        <f aca="false">IFERROR(INDEX(Customer_Master!$D$2:$D$49,MATCH(D92,Customer_Master!$A$2:$A$49,0)),"UNMATCHED")</f>
        <v>Distributor</v>
      </c>
      <c r="H92" s="42" t="str">
        <f aca="false">IFERROR(INDEX(Product_Master!$C$2:$C$9,MATCH(E92,Product_Master!$A$2:$A$9,0)),"UNMATCHED")</f>
        <v>Foods</v>
      </c>
      <c r="I92" s="42" t="str">
        <f aca="false">IFERROR(INDEX(Product_Master!$B$2:$B$9,MATCH(E92,Product_Master!$A$2:$A$9,0)),"UNMATCHED")</f>
        <v>Biscuits 500g</v>
      </c>
      <c r="J92" s="42" t="n">
        <f aca="false">IFERROR(INDEX(Calendar!$B$2:$B$25,MATCH(B92,Calendar!$A$2:$A$25,0)),0)</f>
        <v>2025</v>
      </c>
      <c r="K92" s="42" t="n">
        <f aca="false">IFERROR(VALUE(RIGHT(B92,2)),0)</f>
        <v>3</v>
      </c>
      <c r="L92" s="42" t="str">
        <f aca="false">IFERROR(INDEX(Calendar!$E$2:$E$25,MATCH(B92,Calendar!$A$2:$A$25,0)),"UNMATCHED")</f>
        <v>Actual</v>
      </c>
      <c r="M92" s="42" t="n">
        <f aca="false">Sales_Transactions!F92</f>
        <v>376</v>
      </c>
      <c r="N92" s="52" t="n">
        <f aca="false">Sales_Transactions!I92</f>
        <v>38133.92</v>
      </c>
      <c r="O92" s="52" t="n">
        <f aca="false">Sales_Transactions!J92</f>
        <v>25981.6</v>
      </c>
      <c r="P92" s="52" t="n">
        <f aca="false">Sales_Transactions!K92</f>
        <v>12152.32</v>
      </c>
      <c r="Q92" s="42" t="n">
        <f aca="false">IF(ISNUMBER(MATCH(E92,Product_Master!$A$2:$A$9,0)),0,1)</f>
        <v>0</v>
      </c>
      <c r="R92" s="42" t="n">
        <f aca="false">IF(ISNUMBER(MATCH(D92,Customer_Master!$A$2:$A$49,0)),0,1)</f>
        <v>0</v>
      </c>
      <c r="S92" s="42" t="n">
        <f aca="false">IF(ISNUMBER(MATCH(B92,Calendar!$A$2:$A$25,0)),0,1)</f>
        <v>0</v>
      </c>
      <c r="T92" s="42" t="n">
        <f aca="false">IF(COUNTIF(Sales_Transactions!$A$2:$A$865,A92)&gt;1,1,0)</f>
        <v>0</v>
      </c>
      <c r="U92" s="42" t="n">
        <f aca="false">IF(OR(ABS(Sales_Transactions!F92*Sales_Transactions!G92-Sales_Transactions!I92)&gt;0.01,ABS(Sales_Transactions!F92*Sales_Transactions!H92-Sales_Transactions!J92)&gt;0.01,ABS(Sales_Transactions!I92-Sales_Transactions!J92-Sales_Transactions!K92)&gt;0.01),1,0)</f>
        <v>0</v>
      </c>
      <c r="V92" s="42" t="n">
        <f aca="false">IF(C92&lt;&gt;L92,1,0)</f>
        <v>0</v>
      </c>
      <c r="W92" s="42" t="n">
        <f aca="false">IF(SUM(Q92:V92)&gt;0,1,0)</f>
        <v>0</v>
      </c>
    </row>
    <row r="93" customFormat="false" ht="15" hidden="false" customHeight="false" outlineLevel="0" collapsed="false">
      <c r="A93" s="42" t="str">
        <f aca="false">Sales_Transactions!A93</f>
        <v>INV-03-020</v>
      </c>
      <c r="B93" s="42" t="str">
        <f aca="false">Sales_Transactions!B93</f>
        <v>2025-03</v>
      </c>
      <c r="C93" s="42" t="str">
        <f aca="false">Sales_Transactions!C93</f>
        <v>Actual</v>
      </c>
      <c r="D93" s="42" t="str">
        <f aca="false">Sales_Transactions!D93</f>
        <v>C044</v>
      </c>
      <c r="E93" s="42" t="str">
        <f aca="false">Sales_Transactions!E93</f>
        <v>P002</v>
      </c>
      <c r="F93" s="42" t="str">
        <f aca="false">IFERROR(INDEX(Customer_Master!$C$2:$C$49,MATCH(D93,Customer_Master!$A$2:$A$49,0)),"UNMATCHED")</f>
        <v>East</v>
      </c>
      <c r="G93" s="42" t="str">
        <f aca="false">IFERROR(INDEX(Customer_Master!$D$2:$D$49,MATCH(D93,Customer_Master!$A$2:$A$49,0)),"UNMATCHED")</f>
        <v>Modern Trade</v>
      </c>
      <c r="H93" s="42" t="str">
        <f aca="false">IFERROR(INDEX(Product_Master!$C$2:$C$9,MATCH(E93,Product_Master!$A$2:$A$9,0)),"UNMATCHED")</f>
        <v>Home Care</v>
      </c>
      <c r="I93" s="42" t="str">
        <f aca="false">IFERROR(INDEX(Product_Master!$B$2:$B$9,MATCH(E93,Product_Master!$A$2:$A$9,0)),"UNMATCHED")</f>
        <v>Dishwash Gel</v>
      </c>
      <c r="J93" s="42" t="n">
        <f aca="false">IFERROR(INDEX(Calendar!$B$2:$B$25,MATCH(B93,Calendar!$A$2:$A$25,0)),0)</f>
        <v>2025</v>
      </c>
      <c r="K93" s="42" t="n">
        <f aca="false">IFERROR(VALUE(RIGHT(B93,2)),0)</f>
        <v>3</v>
      </c>
      <c r="L93" s="42" t="str">
        <f aca="false">IFERROR(INDEX(Calendar!$E$2:$E$25,MATCH(B93,Calendar!$A$2:$A$25,0)),"UNMATCHED")</f>
        <v>Actual</v>
      </c>
      <c r="M93" s="42" t="n">
        <f aca="false">Sales_Transactions!F93</f>
        <v>402</v>
      </c>
      <c r="N93" s="52" t="n">
        <f aca="false">Sales_Transactions!I93</f>
        <v>52501.2</v>
      </c>
      <c r="O93" s="52" t="n">
        <f aca="false">Sales_Transactions!J93</f>
        <v>34246.38</v>
      </c>
      <c r="P93" s="52" t="n">
        <f aca="false">Sales_Transactions!K93</f>
        <v>18254.82</v>
      </c>
      <c r="Q93" s="42" t="n">
        <f aca="false">IF(ISNUMBER(MATCH(E93,Product_Master!$A$2:$A$9,0)),0,1)</f>
        <v>0</v>
      </c>
      <c r="R93" s="42" t="n">
        <f aca="false">IF(ISNUMBER(MATCH(D93,Customer_Master!$A$2:$A$49,0)),0,1)</f>
        <v>0</v>
      </c>
      <c r="S93" s="42" t="n">
        <f aca="false">IF(ISNUMBER(MATCH(B93,Calendar!$A$2:$A$25,0)),0,1)</f>
        <v>0</v>
      </c>
      <c r="T93" s="42" t="n">
        <f aca="false">IF(COUNTIF(Sales_Transactions!$A$2:$A$865,A93)&gt;1,1,0)</f>
        <v>0</v>
      </c>
      <c r="U93" s="42" t="n">
        <f aca="false">IF(OR(ABS(Sales_Transactions!F93*Sales_Transactions!G93-Sales_Transactions!I93)&gt;0.01,ABS(Sales_Transactions!F93*Sales_Transactions!H93-Sales_Transactions!J93)&gt;0.01,ABS(Sales_Transactions!I93-Sales_Transactions!J93-Sales_Transactions!K93)&gt;0.01),1,0)</f>
        <v>0</v>
      </c>
      <c r="V93" s="42" t="n">
        <f aca="false">IF(C93&lt;&gt;L93,1,0)</f>
        <v>0</v>
      </c>
      <c r="W93" s="42" t="n">
        <f aca="false">IF(SUM(Q93:V93)&gt;0,1,0)</f>
        <v>0</v>
      </c>
    </row>
    <row r="94" customFormat="false" ht="15" hidden="false" customHeight="false" outlineLevel="0" collapsed="false">
      <c r="A94" s="42" t="str">
        <f aca="false">Sales_Transactions!A94</f>
        <v>INV-03-021</v>
      </c>
      <c r="B94" s="42" t="str">
        <f aca="false">Sales_Transactions!B94</f>
        <v>2025-03</v>
      </c>
      <c r="C94" s="42" t="str">
        <f aca="false">Sales_Transactions!C94</f>
        <v>Actual</v>
      </c>
      <c r="D94" s="42" t="str">
        <f aca="false">Sales_Transactions!D94</f>
        <v>C003</v>
      </c>
      <c r="E94" s="42" t="str">
        <f aca="false">Sales_Transactions!E94</f>
        <v>P007</v>
      </c>
      <c r="F94" s="42" t="str">
        <f aca="false">IFERROR(INDEX(Customer_Master!$C$2:$C$49,MATCH(D94,Customer_Master!$A$2:$A$49,0)),"UNMATCHED")</f>
        <v>West</v>
      </c>
      <c r="G94" s="42" t="str">
        <f aca="false">IFERROR(INDEX(Customer_Master!$D$2:$D$49,MATCH(D94,Customer_Master!$A$2:$A$49,0)),"UNMATCHED")</f>
        <v>Retail</v>
      </c>
      <c r="H94" s="42" t="str">
        <f aca="false">IFERROR(INDEX(Product_Master!$C$2:$C$9,MATCH(E94,Product_Master!$A$2:$A$9,0)),"UNMATCHED")</f>
        <v>Home Care</v>
      </c>
      <c r="I94" s="42" t="str">
        <f aca="false">IFERROR(INDEX(Product_Master!$B$2:$B$9,MATCH(E94,Product_Master!$A$2:$A$9,0)),"UNMATCHED")</f>
        <v>Floor Cleaner</v>
      </c>
      <c r="J94" s="42" t="n">
        <f aca="false">IFERROR(INDEX(Calendar!$B$2:$B$25,MATCH(B94,Calendar!$A$2:$A$25,0)),0)</f>
        <v>2025</v>
      </c>
      <c r="K94" s="42" t="n">
        <f aca="false">IFERROR(VALUE(RIGHT(B94,2)),0)</f>
        <v>3</v>
      </c>
      <c r="L94" s="42" t="str">
        <f aca="false">IFERROR(INDEX(Calendar!$E$2:$E$25,MATCH(B94,Calendar!$A$2:$A$25,0)),"UNMATCHED")</f>
        <v>Actual</v>
      </c>
      <c r="M94" s="42" t="n">
        <f aca="false">Sales_Transactions!F94</f>
        <v>374</v>
      </c>
      <c r="N94" s="52" t="n">
        <f aca="false">Sales_Transactions!I94</f>
        <v>68071.74</v>
      </c>
      <c r="O94" s="52" t="n">
        <f aca="false">Sales_Transactions!J94</f>
        <v>44909.92</v>
      </c>
      <c r="P94" s="52" t="n">
        <f aca="false">Sales_Transactions!K94</f>
        <v>23161.82</v>
      </c>
      <c r="Q94" s="42" t="n">
        <f aca="false">IF(ISNUMBER(MATCH(E94,Product_Master!$A$2:$A$9,0)),0,1)</f>
        <v>0</v>
      </c>
      <c r="R94" s="42" t="n">
        <f aca="false">IF(ISNUMBER(MATCH(D94,Customer_Master!$A$2:$A$49,0)),0,1)</f>
        <v>0</v>
      </c>
      <c r="S94" s="42" t="n">
        <f aca="false">IF(ISNUMBER(MATCH(B94,Calendar!$A$2:$A$25,0)),0,1)</f>
        <v>0</v>
      </c>
      <c r="T94" s="42" t="n">
        <f aca="false">IF(COUNTIF(Sales_Transactions!$A$2:$A$865,A94)&gt;1,1,0)</f>
        <v>0</v>
      </c>
      <c r="U94" s="42" t="n">
        <f aca="false">IF(OR(ABS(Sales_Transactions!F94*Sales_Transactions!G94-Sales_Transactions!I94)&gt;0.01,ABS(Sales_Transactions!F94*Sales_Transactions!H94-Sales_Transactions!J94)&gt;0.01,ABS(Sales_Transactions!I94-Sales_Transactions!J94-Sales_Transactions!K94)&gt;0.01),1,0)</f>
        <v>0</v>
      </c>
      <c r="V94" s="42" t="n">
        <f aca="false">IF(C94&lt;&gt;L94,1,0)</f>
        <v>0</v>
      </c>
      <c r="W94" s="42" t="n">
        <f aca="false">IF(SUM(Q94:V94)&gt;0,1,0)</f>
        <v>0</v>
      </c>
    </row>
    <row r="95" customFormat="false" ht="15" hidden="false" customHeight="false" outlineLevel="0" collapsed="false">
      <c r="A95" s="42" t="str">
        <f aca="false">Sales_Transactions!A95</f>
        <v>INV-03-022</v>
      </c>
      <c r="B95" s="42" t="str">
        <f aca="false">Sales_Transactions!B95</f>
        <v>2025-03</v>
      </c>
      <c r="C95" s="42" t="str">
        <f aca="false">Sales_Transactions!C95</f>
        <v>Actual</v>
      </c>
      <c r="D95" s="42" t="str">
        <f aca="false">Sales_Transactions!D95</f>
        <v>C010</v>
      </c>
      <c r="E95" s="42" t="str">
        <f aca="false">Sales_Transactions!E95</f>
        <v>P004</v>
      </c>
      <c r="F95" s="42" t="str">
        <f aca="false">IFERROR(INDEX(Customer_Master!$C$2:$C$49,MATCH(D95,Customer_Master!$A$2:$A$49,0)),"UNMATCHED")</f>
        <v>North</v>
      </c>
      <c r="G95" s="42" t="str">
        <f aca="false">IFERROR(INDEX(Customer_Master!$D$2:$D$49,MATCH(D95,Customer_Master!$A$2:$A$49,0)),"UNMATCHED")</f>
        <v>Distributor</v>
      </c>
      <c r="H95" s="42" t="str">
        <f aca="false">IFERROR(INDEX(Product_Master!$C$2:$C$9,MATCH(E95,Product_Master!$A$2:$A$9,0)),"UNMATCHED")</f>
        <v>Personal Care</v>
      </c>
      <c r="I95" s="42" t="str">
        <f aca="false">IFERROR(INDEX(Product_Master!$B$2:$B$9,MATCH(E95,Product_Master!$A$2:$A$9,0)),"UNMATCHED")</f>
        <v>Soap 4-pack</v>
      </c>
      <c r="J95" s="42" t="n">
        <f aca="false">IFERROR(INDEX(Calendar!$B$2:$B$25,MATCH(B95,Calendar!$A$2:$A$25,0)),0)</f>
        <v>2025</v>
      </c>
      <c r="K95" s="42" t="n">
        <f aca="false">IFERROR(VALUE(RIGHT(B95,2)),0)</f>
        <v>3</v>
      </c>
      <c r="L95" s="42" t="str">
        <f aca="false">IFERROR(INDEX(Calendar!$E$2:$E$25,MATCH(B95,Calendar!$A$2:$A$25,0)),"UNMATCHED")</f>
        <v>Actual</v>
      </c>
      <c r="M95" s="42" t="n">
        <f aca="false">Sales_Transactions!F95</f>
        <v>189</v>
      </c>
      <c r="N95" s="52" t="n">
        <f aca="false">Sales_Transactions!I95</f>
        <v>32317.11</v>
      </c>
      <c r="O95" s="52" t="n">
        <f aca="false">Sales_Transactions!J95</f>
        <v>18102.42</v>
      </c>
      <c r="P95" s="52" t="n">
        <f aca="false">Sales_Transactions!K95</f>
        <v>14214.69</v>
      </c>
      <c r="Q95" s="42" t="n">
        <f aca="false">IF(ISNUMBER(MATCH(E95,Product_Master!$A$2:$A$9,0)),0,1)</f>
        <v>0</v>
      </c>
      <c r="R95" s="42" t="n">
        <f aca="false">IF(ISNUMBER(MATCH(D95,Customer_Master!$A$2:$A$49,0)),0,1)</f>
        <v>0</v>
      </c>
      <c r="S95" s="42" t="n">
        <f aca="false">IF(ISNUMBER(MATCH(B95,Calendar!$A$2:$A$25,0)),0,1)</f>
        <v>0</v>
      </c>
      <c r="T95" s="42" t="n">
        <f aca="false">IF(COUNTIF(Sales_Transactions!$A$2:$A$865,A95)&gt;1,1,0)</f>
        <v>0</v>
      </c>
      <c r="U95" s="42" t="n">
        <f aca="false">IF(OR(ABS(Sales_Transactions!F95*Sales_Transactions!G95-Sales_Transactions!I95)&gt;0.01,ABS(Sales_Transactions!F95*Sales_Transactions!H95-Sales_Transactions!J95)&gt;0.01,ABS(Sales_Transactions!I95-Sales_Transactions!J95-Sales_Transactions!K95)&gt;0.01),1,0)</f>
        <v>0</v>
      </c>
      <c r="V95" s="42" t="n">
        <f aca="false">IF(C95&lt;&gt;L95,1,0)</f>
        <v>0</v>
      </c>
      <c r="W95" s="42" t="n">
        <f aca="false">IF(SUM(Q95:V95)&gt;0,1,0)</f>
        <v>0</v>
      </c>
    </row>
    <row r="96" customFormat="false" ht="15" hidden="false" customHeight="false" outlineLevel="0" collapsed="false">
      <c r="A96" s="42" t="str">
        <f aca="false">Sales_Transactions!A96</f>
        <v>INV-03-023</v>
      </c>
      <c r="B96" s="42" t="str">
        <f aca="false">Sales_Transactions!B96</f>
        <v>2025-03</v>
      </c>
      <c r="C96" s="42" t="str">
        <f aca="false">Sales_Transactions!C96</f>
        <v>Actual</v>
      </c>
      <c r="D96" s="42" t="str">
        <f aca="false">Sales_Transactions!D96</f>
        <v>C017</v>
      </c>
      <c r="E96" s="42" t="str">
        <f aca="false">Sales_Transactions!E96</f>
        <v>P001</v>
      </c>
      <c r="F96" s="42" t="str">
        <f aca="false">IFERROR(INDEX(Customer_Master!$C$2:$C$49,MATCH(D96,Customer_Master!$A$2:$A$49,0)),"UNMATCHED")</f>
        <v>South</v>
      </c>
      <c r="G96" s="42" t="str">
        <f aca="false">IFERROR(INDEX(Customer_Master!$D$2:$D$49,MATCH(D96,Customer_Master!$A$2:$A$49,0)),"UNMATCHED")</f>
        <v>Modern Trade</v>
      </c>
      <c r="H96" s="42" t="str">
        <f aca="false">IFERROR(INDEX(Product_Master!$C$2:$C$9,MATCH(E96,Product_Master!$A$2:$A$9,0)),"UNMATCHED")</f>
        <v>Home Care</v>
      </c>
      <c r="I96" s="42" t="str">
        <f aca="false">IFERROR(INDEX(Product_Master!$B$2:$B$9,MATCH(E96,Product_Master!$A$2:$A$9,0)),"UNMATCHED")</f>
        <v>Detergent 1kg</v>
      </c>
      <c r="J96" s="42" t="n">
        <f aca="false">IFERROR(INDEX(Calendar!$B$2:$B$25,MATCH(B96,Calendar!$A$2:$A$25,0)),0)</f>
        <v>2025</v>
      </c>
      <c r="K96" s="42" t="n">
        <f aca="false">IFERROR(VALUE(RIGHT(B96,2)),0)</f>
        <v>3</v>
      </c>
      <c r="L96" s="42" t="str">
        <f aca="false">IFERROR(INDEX(Calendar!$E$2:$E$25,MATCH(B96,Calendar!$A$2:$A$25,0)),"UNMATCHED")</f>
        <v>Actual</v>
      </c>
      <c r="M96" s="42" t="n">
        <f aca="false">Sales_Transactions!F96</f>
        <v>220</v>
      </c>
      <c r="N96" s="52" t="n">
        <f aca="false">Sales_Transactions!I96</f>
        <v>43494</v>
      </c>
      <c r="O96" s="52" t="n">
        <f aca="false">Sales_Transactions!J96</f>
        <v>30219.2</v>
      </c>
      <c r="P96" s="52" t="n">
        <f aca="false">Sales_Transactions!K96</f>
        <v>13274.8</v>
      </c>
      <c r="Q96" s="42" t="n">
        <f aca="false">IF(ISNUMBER(MATCH(E96,Product_Master!$A$2:$A$9,0)),0,1)</f>
        <v>0</v>
      </c>
      <c r="R96" s="42" t="n">
        <f aca="false">IF(ISNUMBER(MATCH(D96,Customer_Master!$A$2:$A$49,0)),0,1)</f>
        <v>0</v>
      </c>
      <c r="S96" s="42" t="n">
        <f aca="false">IF(ISNUMBER(MATCH(B96,Calendar!$A$2:$A$25,0)),0,1)</f>
        <v>0</v>
      </c>
      <c r="T96" s="42" t="n">
        <f aca="false">IF(COUNTIF(Sales_Transactions!$A$2:$A$865,A96)&gt;1,1,0)</f>
        <v>0</v>
      </c>
      <c r="U96" s="42" t="n">
        <f aca="false">IF(OR(ABS(Sales_Transactions!F96*Sales_Transactions!G96-Sales_Transactions!I96)&gt;0.01,ABS(Sales_Transactions!F96*Sales_Transactions!H96-Sales_Transactions!J96)&gt;0.01,ABS(Sales_Transactions!I96-Sales_Transactions!J96-Sales_Transactions!K96)&gt;0.01),1,0)</f>
        <v>0</v>
      </c>
      <c r="V96" s="42" t="n">
        <f aca="false">IF(C96&lt;&gt;L96,1,0)</f>
        <v>0</v>
      </c>
      <c r="W96" s="42" t="n">
        <f aca="false">IF(SUM(Q96:V96)&gt;0,1,0)</f>
        <v>0</v>
      </c>
    </row>
    <row r="97" customFormat="false" ht="15" hidden="false" customHeight="false" outlineLevel="0" collapsed="false">
      <c r="A97" s="42" t="str">
        <f aca="false">Sales_Transactions!A97</f>
        <v>INV-03-024</v>
      </c>
      <c r="B97" s="42" t="str">
        <f aca="false">Sales_Transactions!B97</f>
        <v>2025-03</v>
      </c>
      <c r="C97" s="42" t="str">
        <f aca="false">Sales_Transactions!C97</f>
        <v>Actual</v>
      </c>
      <c r="D97" s="42" t="str">
        <f aca="false">Sales_Transactions!D97</f>
        <v>C024</v>
      </c>
      <c r="E97" s="42" t="str">
        <f aca="false">Sales_Transactions!E97</f>
        <v>P006</v>
      </c>
      <c r="F97" s="42" t="str">
        <f aca="false">IFERROR(INDEX(Customer_Master!$C$2:$C$49,MATCH(D97,Customer_Master!$A$2:$A$49,0)),"UNMATCHED")</f>
        <v>East</v>
      </c>
      <c r="G97" s="42" t="str">
        <f aca="false">IFERROR(INDEX(Customer_Master!$D$2:$D$49,MATCH(D97,Customer_Master!$A$2:$A$49,0)),"UNMATCHED")</f>
        <v>Retail</v>
      </c>
      <c r="H97" s="42" t="str">
        <f aca="false">IFERROR(INDEX(Product_Master!$C$2:$C$9,MATCH(E97,Product_Master!$A$2:$A$9,0)),"UNMATCHED")</f>
        <v>Foods</v>
      </c>
      <c r="I97" s="42" t="str">
        <f aca="false">IFERROR(INDEX(Product_Master!$B$2:$B$9,MATCH(E97,Product_Master!$A$2:$A$9,0)),"UNMATCHED")</f>
        <v>Breakfast Cereal</v>
      </c>
      <c r="J97" s="42" t="n">
        <f aca="false">IFERROR(INDEX(Calendar!$B$2:$B$25,MATCH(B97,Calendar!$A$2:$A$25,0)),0)</f>
        <v>2025</v>
      </c>
      <c r="K97" s="42" t="n">
        <f aca="false">IFERROR(VALUE(RIGHT(B97,2)),0)</f>
        <v>3</v>
      </c>
      <c r="L97" s="42" t="str">
        <f aca="false">IFERROR(INDEX(Calendar!$E$2:$E$25,MATCH(B97,Calendar!$A$2:$A$25,0)),"UNMATCHED")</f>
        <v>Actual</v>
      </c>
      <c r="M97" s="42" t="n">
        <f aca="false">Sales_Transactions!F97</f>
        <v>238</v>
      </c>
      <c r="N97" s="52" t="n">
        <f aca="false">Sales_Transactions!I97</f>
        <v>57622.18</v>
      </c>
      <c r="O97" s="52" t="n">
        <f aca="false">Sales_Transactions!J97</f>
        <v>39781.7</v>
      </c>
      <c r="P97" s="52" t="n">
        <f aca="false">Sales_Transactions!K97</f>
        <v>17840.48</v>
      </c>
      <c r="Q97" s="42" t="n">
        <f aca="false">IF(ISNUMBER(MATCH(E97,Product_Master!$A$2:$A$9,0)),0,1)</f>
        <v>0</v>
      </c>
      <c r="R97" s="42" t="n">
        <f aca="false">IF(ISNUMBER(MATCH(D97,Customer_Master!$A$2:$A$49,0)),0,1)</f>
        <v>0</v>
      </c>
      <c r="S97" s="42" t="n">
        <f aca="false">IF(ISNUMBER(MATCH(B97,Calendar!$A$2:$A$25,0)),0,1)</f>
        <v>0</v>
      </c>
      <c r="T97" s="42" t="n">
        <f aca="false">IF(COUNTIF(Sales_Transactions!$A$2:$A$865,A97)&gt;1,1,0)</f>
        <v>0</v>
      </c>
      <c r="U97" s="42" t="n">
        <f aca="false">IF(OR(ABS(Sales_Transactions!F97*Sales_Transactions!G97-Sales_Transactions!I97)&gt;0.01,ABS(Sales_Transactions!F97*Sales_Transactions!H97-Sales_Transactions!J97)&gt;0.01,ABS(Sales_Transactions!I97-Sales_Transactions!J97-Sales_Transactions!K97)&gt;0.01),1,0)</f>
        <v>0</v>
      </c>
      <c r="V97" s="42" t="n">
        <f aca="false">IF(C97&lt;&gt;L97,1,0)</f>
        <v>0</v>
      </c>
      <c r="W97" s="42" t="n">
        <f aca="false">IF(SUM(Q97:V97)&gt;0,1,0)</f>
        <v>0</v>
      </c>
    </row>
    <row r="98" customFormat="false" ht="15" hidden="false" customHeight="false" outlineLevel="0" collapsed="false">
      <c r="A98" s="42" t="str">
        <f aca="false">Sales_Transactions!A98</f>
        <v>INV-03-025</v>
      </c>
      <c r="B98" s="42" t="str">
        <f aca="false">Sales_Transactions!B98</f>
        <v>2025-03</v>
      </c>
      <c r="C98" s="42" t="str">
        <f aca="false">Sales_Transactions!C98</f>
        <v>Actual</v>
      </c>
      <c r="D98" s="42" t="str">
        <f aca="false">Sales_Transactions!D98</f>
        <v>C031</v>
      </c>
      <c r="E98" s="42" t="str">
        <f aca="false">Sales_Transactions!E98</f>
        <v>P003</v>
      </c>
      <c r="F98" s="42" t="str">
        <f aca="false">IFERROR(INDEX(Customer_Master!$C$2:$C$49,MATCH(D98,Customer_Master!$A$2:$A$49,0)),"UNMATCHED")</f>
        <v>West</v>
      </c>
      <c r="G98" s="42" t="str">
        <f aca="false">IFERROR(INDEX(Customer_Master!$D$2:$D$49,MATCH(D98,Customer_Master!$A$2:$A$49,0)),"UNMATCHED")</f>
        <v>Distributor</v>
      </c>
      <c r="H98" s="42" t="str">
        <f aca="false">IFERROR(INDEX(Product_Master!$C$2:$C$9,MATCH(E98,Product_Master!$A$2:$A$9,0)),"UNMATCHED")</f>
        <v>Personal Care</v>
      </c>
      <c r="I98" s="42" t="str">
        <f aca="false">IFERROR(INDEX(Product_Master!$B$2:$B$9,MATCH(E98,Product_Master!$A$2:$A$9,0)),"UNMATCHED")</f>
        <v>Shampoo 400ml</v>
      </c>
      <c r="J98" s="42" t="n">
        <f aca="false">IFERROR(INDEX(Calendar!$B$2:$B$25,MATCH(B98,Calendar!$A$2:$A$25,0)),0)</f>
        <v>2025</v>
      </c>
      <c r="K98" s="42" t="n">
        <f aca="false">IFERROR(VALUE(RIGHT(B98,2)),0)</f>
        <v>3</v>
      </c>
      <c r="L98" s="42" t="str">
        <f aca="false">IFERROR(INDEX(Calendar!$E$2:$E$25,MATCH(B98,Calendar!$A$2:$A$25,0)),"UNMATCHED")</f>
        <v>Actual</v>
      </c>
      <c r="M98" s="42" t="n">
        <f aca="false">Sales_Transactions!F98</f>
        <v>122</v>
      </c>
      <c r="N98" s="52" t="n">
        <f aca="false">Sales_Transactions!I98</f>
        <v>30443.88</v>
      </c>
      <c r="O98" s="52" t="n">
        <f aca="false">Sales_Transactions!J98</f>
        <v>21583.02</v>
      </c>
      <c r="P98" s="52" t="n">
        <f aca="false">Sales_Transactions!K98</f>
        <v>8860.86</v>
      </c>
      <c r="Q98" s="42" t="n">
        <f aca="false">IF(ISNUMBER(MATCH(E98,Product_Master!$A$2:$A$9,0)),0,1)</f>
        <v>0</v>
      </c>
      <c r="R98" s="42" t="n">
        <f aca="false">IF(ISNUMBER(MATCH(D98,Customer_Master!$A$2:$A$49,0)),0,1)</f>
        <v>0</v>
      </c>
      <c r="S98" s="42" t="n">
        <f aca="false">IF(ISNUMBER(MATCH(B98,Calendar!$A$2:$A$25,0)),0,1)</f>
        <v>0</v>
      </c>
      <c r="T98" s="42" t="n">
        <f aca="false">IF(COUNTIF(Sales_Transactions!$A$2:$A$865,A98)&gt;1,1,0)</f>
        <v>0</v>
      </c>
      <c r="U98" s="42" t="n">
        <f aca="false">IF(OR(ABS(Sales_Transactions!F98*Sales_Transactions!G98-Sales_Transactions!I98)&gt;0.01,ABS(Sales_Transactions!F98*Sales_Transactions!H98-Sales_Transactions!J98)&gt;0.01,ABS(Sales_Transactions!I98-Sales_Transactions!J98-Sales_Transactions!K98)&gt;0.01),1,0)</f>
        <v>0</v>
      </c>
      <c r="V98" s="42" t="n">
        <f aca="false">IF(C98&lt;&gt;L98,1,0)</f>
        <v>0</v>
      </c>
      <c r="W98" s="42" t="n">
        <f aca="false">IF(SUM(Q98:V98)&gt;0,1,0)</f>
        <v>0</v>
      </c>
    </row>
    <row r="99" customFormat="false" ht="15" hidden="false" customHeight="false" outlineLevel="0" collapsed="false">
      <c r="A99" s="42" t="str">
        <f aca="false">Sales_Transactions!A99</f>
        <v>INV-03-026</v>
      </c>
      <c r="B99" s="42" t="str">
        <f aca="false">Sales_Transactions!B99</f>
        <v>2025-03</v>
      </c>
      <c r="C99" s="42" t="str">
        <f aca="false">Sales_Transactions!C99</f>
        <v>Actual</v>
      </c>
      <c r="D99" s="42" t="str">
        <f aca="false">Sales_Transactions!D99</f>
        <v>C038</v>
      </c>
      <c r="E99" s="42" t="str">
        <f aca="false">Sales_Transactions!E99</f>
        <v>P008</v>
      </c>
      <c r="F99" s="42" t="str">
        <f aca="false">IFERROR(INDEX(Customer_Master!$C$2:$C$49,MATCH(D99,Customer_Master!$A$2:$A$49,0)),"UNMATCHED")</f>
        <v>North</v>
      </c>
      <c r="G99" s="42" t="str">
        <f aca="false">IFERROR(INDEX(Customer_Master!$D$2:$D$49,MATCH(D99,Customer_Master!$A$2:$A$49,0)),"UNMATCHED")</f>
        <v>Modern Trade</v>
      </c>
      <c r="H99" s="42" t="str">
        <f aca="false">IFERROR(INDEX(Product_Master!$C$2:$C$9,MATCH(E99,Product_Master!$A$2:$A$9,0)),"UNMATCHED")</f>
        <v>Personal Care</v>
      </c>
      <c r="I99" s="42" t="str">
        <f aca="false">IFERROR(INDEX(Product_Master!$B$2:$B$9,MATCH(E99,Product_Master!$A$2:$A$9,0)),"UNMATCHED")</f>
        <v>Body Lotion</v>
      </c>
      <c r="J99" s="42" t="n">
        <f aca="false">IFERROR(INDEX(Calendar!$B$2:$B$25,MATCH(B99,Calendar!$A$2:$A$25,0)),0)</f>
        <v>2025</v>
      </c>
      <c r="K99" s="42" t="n">
        <f aca="false">IFERROR(VALUE(RIGHT(B99,2)),0)</f>
        <v>3</v>
      </c>
      <c r="L99" s="42" t="str">
        <f aca="false">IFERROR(INDEX(Calendar!$E$2:$E$25,MATCH(B99,Calendar!$A$2:$A$25,0)),"UNMATCHED")</f>
        <v>Actual</v>
      </c>
      <c r="M99" s="42" t="n">
        <f aca="false">Sales_Transactions!F99</f>
        <v>373</v>
      </c>
      <c r="N99" s="52" t="n">
        <f aca="false">Sales_Transactions!I99</f>
        <v>123589.82</v>
      </c>
      <c r="O99" s="52" t="n">
        <f aca="false">Sales_Transactions!J99</f>
        <v>72996.1</v>
      </c>
      <c r="P99" s="52" t="n">
        <f aca="false">Sales_Transactions!K99</f>
        <v>50593.72</v>
      </c>
      <c r="Q99" s="42" t="n">
        <f aca="false">IF(ISNUMBER(MATCH(E99,Product_Master!$A$2:$A$9,0)),0,1)</f>
        <v>0</v>
      </c>
      <c r="R99" s="42" t="n">
        <f aca="false">IF(ISNUMBER(MATCH(D99,Customer_Master!$A$2:$A$49,0)),0,1)</f>
        <v>0</v>
      </c>
      <c r="S99" s="42" t="n">
        <f aca="false">IF(ISNUMBER(MATCH(B99,Calendar!$A$2:$A$25,0)),0,1)</f>
        <v>0</v>
      </c>
      <c r="T99" s="42" t="n">
        <f aca="false">IF(COUNTIF(Sales_Transactions!$A$2:$A$865,A99)&gt;1,1,0)</f>
        <v>0</v>
      </c>
      <c r="U99" s="42" t="n">
        <f aca="false">IF(OR(ABS(Sales_Transactions!F99*Sales_Transactions!G99-Sales_Transactions!I99)&gt;0.01,ABS(Sales_Transactions!F99*Sales_Transactions!H99-Sales_Transactions!J99)&gt;0.01,ABS(Sales_Transactions!I99-Sales_Transactions!J99-Sales_Transactions!K99)&gt;0.01),1,0)</f>
        <v>0</v>
      </c>
      <c r="V99" s="42" t="n">
        <f aca="false">IF(C99&lt;&gt;L99,1,0)</f>
        <v>0</v>
      </c>
      <c r="W99" s="42" t="n">
        <f aca="false">IF(SUM(Q99:V99)&gt;0,1,0)</f>
        <v>0</v>
      </c>
    </row>
    <row r="100" customFormat="false" ht="15" hidden="false" customHeight="false" outlineLevel="0" collapsed="false">
      <c r="A100" s="42" t="str">
        <f aca="false">Sales_Transactions!A100</f>
        <v>INV-03-027</v>
      </c>
      <c r="B100" s="42" t="str">
        <f aca="false">Sales_Transactions!B100</f>
        <v>2025-03</v>
      </c>
      <c r="C100" s="42" t="str">
        <f aca="false">Sales_Transactions!C100</f>
        <v>Actual</v>
      </c>
      <c r="D100" s="42" t="str">
        <f aca="false">Sales_Transactions!D100</f>
        <v>C045</v>
      </c>
      <c r="E100" s="42" t="str">
        <f aca="false">Sales_Transactions!E100</f>
        <v>P005</v>
      </c>
      <c r="F100" s="42" t="str">
        <f aca="false">IFERROR(INDEX(Customer_Master!$C$2:$C$49,MATCH(D100,Customer_Master!$A$2:$A$49,0)),"UNMATCHED")</f>
        <v>South</v>
      </c>
      <c r="G100" s="42" t="str">
        <f aca="false">IFERROR(INDEX(Customer_Master!$D$2:$D$49,MATCH(D100,Customer_Master!$A$2:$A$49,0)),"UNMATCHED")</f>
        <v>Retail</v>
      </c>
      <c r="H100" s="42" t="str">
        <f aca="false">IFERROR(INDEX(Product_Master!$C$2:$C$9,MATCH(E100,Product_Master!$A$2:$A$9,0)),"UNMATCHED")</f>
        <v>Foods</v>
      </c>
      <c r="I100" s="42" t="str">
        <f aca="false">IFERROR(INDEX(Product_Master!$B$2:$B$9,MATCH(E100,Product_Master!$A$2:$A$9,0)),"UNMATCHED")</f>
        <v>Biscuits 500g</v>
      </c>
      <c r="J100" s="42" t="n">
        <f aca="false">IFERROR(INDEX(Calendar!$B$2:$B$25,MATCH(B100,Calendar!$A$2:$A$25,0)),0)</f>
        <v>2025</v>
      </c>
      <c r="K100" s="42" t="n">
        <f aca="false">IFERROR(VALUE(RIGHT(B100,2)),0)</f>
        <v>3</v>
      </c>
      <c r="L100" s="42" t="str">
        <f aca="false">IFERROR(INDEX(Calendar!$E$2:$E$25,MATCH(B100,Calendar!$A$2:$A$25,0)),"UNMATCHED")</f>
        <v>Actual</v>
      </c>
      <c r="M100" s="42" t="n">
        <f aca="false">Sales_Transactions!F100</f>
        <v>194</v>
      </c>
      <c r="N100" s="52" t="n">
        <f aca="false">Sales_Transactions!I100</f>
        <v>20395.22</v>
      </c>
      <c r="O100" s="52" t="n">
        <f aca="false">Sales_Transactions!J100</f>
        <v>12683.72</v>
      </c>
      <c r="P100" s="52" t="n">
        <f aca="false">Sales_Transactions!K100</f>
        <v>7711.5</v>
      </c>
      <c r="Q100" s="42" t="n">
        <f aca="false">IF(ISNUMBER(MATCH(E100,Product_Master!$A$2:$A$9,0)),0,1)</f>
        <v>0</v>
      </c>
      <c r="R100" s="42" t="n">
        <f aca="false">IF(ISNUMBER(MATCH(D100,Customer_Master!$A$2:$A$49,0)),0,1)</f>
        <v>0</v>
      </c>
      <c r="S100" s="42" t="n">
        <f aca="false">IF(ISNUMBER(MATCH(B100,Calendar!$A$2:$A$25,0)),0,1)</f>
        <v>0</v>
      </c>
      <c r="T100" s="42" t="n">
        <f aca="false">IF(COUNTIF(Sales_Transactions!$A$2:$A$865,A100)&gt;1,1,0)</f>
        <v>0</v>
      </c>
      <c r="U100" s="42" t="n">
        <f aca="false">IF(OR(ABS(Sales_Transactions!F100*Sales_Transactions!G100-Sales_Transactions!I100)&gt;0.01,ABS(Sales_Transactions!F100*Sales_Transactions!H100-Sales_Transactions!J100)&gt;0.01,ABS(Sales_Transactions!I100-Sales_Transactions!J100-Sales_Transactions!K100)&gt;0.01),1,0)</f>
        <v>0</v>
      </c>
      <c r="V100" s="42" t="n">
        <f aca="false">IF(C100&lt;&gt;L100,1,0)</f>
        <v>0</v>
      </c>
      <c r="W100" s="42" t="n">
        <f aca="false">IF(SUM(Q100:V100)&gt;0,1,0)</f>
        <v>0</v>
      </c>
    </row>
    <row r="101" customFormat="false" ht="15" hidden="false" customHeight="false" outlineLevel="0" collapsed="false">
      <c r="A101" s="42" t="str">
        <f aca="false">Sales_Transactions!A101</f>
        <v>INV-03-028</v>
      </c>
      <c r="B101" s="42" t="str">
        <f aca="false">Sales_Transactions!B101</f>
        <v>2025-03</v>
      </c>
      <c r="C101" s="42" t="str">
        <f aca="false">Sales_Transactions!C101</f>
        <v>Actual</v>
      </c>
      <c r="D101" s="42" t="str">
        <f aca="false">Sales_Transactions!D101</f>
        <v>C004</v>
      </c>
      <c r="E101" s="42" t="str">
        <f aca="false">Sales_Transactions!E101</f>
        <v>P002</v>
      </c>
      <c r="F101" s="42" t="str">
        <f aca="false">IFERROR(INDEX(Customer_Master!$C$2:$C$49,MATCH(D101,Customer_Master!$A$2:$A$49,0)),"UNMATCHED")</f>
        <v>East</v>
      </c>
      <c r="G101" s="42" t="str">
        <f aca="false">IFERROR(INDEX(Customer_Master!$D$2:$D$49,MATCH(D101,Customer_Master!$A$2:$A$49,0)),"UNMATCHED")</f>
        <v>Distributor</v>
      </c>
      <c r="H101" s="42" t="str">
        <f aca="false">IFERROR(INDEX(Product_Master!$C$2:$C$9,MATCH(E101,Product_Master!$A$2:$A$9,0)),"UNMATCHED")</f>
        <v>Home Care</v>
      </c>
      <c r="I101" s="42" t="str">
        <f aca="false">IFERROR(INDEX(Product_Master!$B$2:$B$9,MATCH(E101,Product_Master!$A$2:$A$9,0)),"UNMATCHED")</f>
        <v>Dishwash Gel</v>
      </c>
      <c r="J101" s="42" t="n">
        <f aca="false">IFERROR(INDEX(Calendar!$B$2:$B$25,MATCH(B101,Calendar!$A$2:$A$25,0)),0)</f>
        <v>2025</v>
      </c>
      <c r="K101" s="42" t="n">
        <f aca="false">IFERROR(VALUE(RIGHT(B101,2)),0)</f>
        <v>3</v>
      </c>
      <c r="L101" s="42" t="str">
        <f aca="false">IFERROR(INDEX(Calendar!$E$2:$E$25,MATCH(B101,Calendar!$A$2:$A$25,0)),"UNMATCHED")</f>
        <v>Actual</v>
      </c>
      <c r="M101" s="42" t="n">
        <f aca="false">Sales_Transactions!F101</f>
        <v>263</v>
      </c>
      <c r="N101" s="52" t="n">
        <f aca="false">Sales_Transactions!I101</f>
        <v>38305.95</v>
      </c>
      <c r="O101" s="52" t="n">
        <f aca="false">Sales_Transactions!J101</f>
        <v>22978.31</v>
      </c>
      <c r="P101" s="52" t="n">
        <f aca="false">Sales_Transactions!K101</f>
        <v>15327.64</v>
      </c>
      <c r="Q101" s="42" t="n">
        <f aca="false">IF(ISNUMBER(MATCH(E101,Product_Master!$A$2:$A$9,0)),0,1)</f>
        <v>0</v>
      </c>
      <c r="R101" s="42" t="n">
        <f aca="false">IF(ISNUMBER(MATCH(D101,Customer_Master!$A$2:$A$49,0)),0,1)</f>
        <v>0</v>
      </c>
      <c r="S101" s="42" t="n">
        <f aca="false">IF(ISNUMBER(MATCH(B101,Calendar!$A$2:$A$25,0)),0,1)</f>
        <v>0</v>
      </c>
      <c r="T101" s="42" t="n">
        <f aca="false">IF(COUNTIF(Sales_Transactions!$A$2:$A$865,A101)&gt;1,1,0)</f>
        <v>0</v>
      </c>
      <c r="U101" s="42" t="n">
        <f aca="false">IF(OR(ABS(Sales_Transactions!F101*Sales_Transactions!G101-Sales_Transactions!I101)&gt;0.01,ABS(Sales_Transactions!F101*Sales_Transactions!H101-Sales_Transactions!J101)&gt;0.01,ABS(Sales_Transactions!I101-Sales_Transactions!J101-Sales_Transactions!K101)&gt;0.01),1,0)</f>
        <v>0</v>
      </c>
      <c r="V101" s="42" t="n">
        <f aca="false">IF(C101&lt;&gt;L101,1,0)</f>
        <v>0</v>
      </c>
      <c r="W101" s="42" t="n">
        <f aca="false">IF(SUM(Q101:V101)&gt;0,1,0)</f>
        <v>0</v>
      </c>
    </row>
    <row r="102" customFormat="false" ht="15" hidden="false" customHeight="false" outlineLevel="0" collapsed="false">
      <c r="A102" s="42" t="str">
        <f aca="false">Sales_Transactions!A102</f>
        <v>INV-03-029</v>
      </c>
      <c r="B102" s="42" t="str">
        <f aca="false">Sales_Transactions!B102</f>
        <v>2025-03</v>
      </c>
      <c r="C102" s="42" t="str">
        <f aca="false">Sales_Transactions!C102</f>
        <v>Actual</v>
      </c>
      <c r="D102" s="42" t="str">
        <f aca="false">Sales_Transactions!D102</f>
        <v>C011</v>
      </c>
      <c r="E102" s="42" t="str">
        <f aca="false">Sales_Transactions!E102</f>
        <v>P007</v>
      </c>
      <c r="F102" s="42" t="str">
        <f aca="false">IFERROR(INDEX(Customer_Master!$C$2:$C$49,MATCH(D102,Customer_Master!$A$2:$A$49,0)),"UNMATCHED")</f>
        <v>West</v>
      </c>
      <c r="G102" s="42" t="str">
        <f aca="false">IFERROR(INDEX(Customer_Master!$D$2:$D$49,MATCH(D102,Customer_Master!$A$2:$A$49,0)),"UNMATCHED")</f>
        <v>Modern Trade</v>
      </c>
      <c r="H102" s="42" t="str">
        <f aca="false">IFERROR(INDEX(Product_Master!$C$2:$C$9,MATCH(E102,Product_Master!$A$2:$A$9,0)),"UNMATCHED")</f>
        <v>Home Care</v>
      </c>
      <c r="I102" s="42" t="str">
        <f aca="false">IFERROR(INDEX(Product_Master!$B$2:$B$9,MATCH(E102,Product_Master!$A$2:$A$9,0)),"UNMATCHED")</f>
        <v>Floor Cleaner</v>
      </c>
      <c r="J102" s="42" t="n">
        <f aca="false">IFERROR(INDEX(Calendar!$B$2:$B$25,MATCH(B102,Calendar!$A$2:$A$25,0)),0)</f>
        <v>2025</v>
      </c>
      <c r="K102" s="42" t="n">
        <f aca="false">IFERROR(VALUE(RIGHT(B102,2)),0)</f>
        <v>3</v>
      </c>
      <c r="L102" s="42" t="str">
        <f aca="false">IFERROR(INDEX(Calendar!$E$2:$E$25,MATCH(B102,Calendar!$A$2:$A$25,0)),"UNMATCHED")</f>
        <v>Actual</v>
      </c>
      <c r="M102" s="42" t="n">
        <f aca="false">Sales_Transactions!F102</f>
        <v>274</v>
      </c>
      <c r="N102" s="52" t="n">
        <f aca="false">Sales_Transactions!I102</f>
        <v>48262.36</v>
      </c>
      <c r="O102" s="52" t="n">
        <f aca="false">Sales_Transactions!J102</f>
        <v>31074.34</v>
      </c>
      <c r="P102" s="52" t="n">
        <f aca="false">Sales_Transactions!K102</f>
        <v>17188.02</v>
      </c>
      <c r="Q102" s="42" t="n">
        <f aca="false">IF(ISNUMBER(MATCH(E102,Product_Master!$A$2:$A$9,0)),0,1)</f>
        <v>0</v>
      </c>
      <c r="R102" s="42" t="n">
        <f aca="false">IF(ISNUMBER(MATCH(D102,Customer_Master!$A$2:$A$49,0)),0,1)</f>
        <v>0</v>
      </c>
      <c r="S102" s="42" t="n">
        <f aca="false">IF(ISNUMBER(MATCH(B102,Calendar!$A$2:$A$25,0)),0,1)</f>
        <v>0</v>
      </c>
      <c r="T102" s="42" t="n">
        <f aca="false">IF(COUNTIF(Sales_Transactions!$A$2:$A$865,A102)&gt;1,1,0)</f>
        <v>0</v>
      </c>
      <c r="U102" s="42" t="n">
        <f aca="false">IF(OR(ABS(Sales_Transactions!F102*Sales_Transactions!G102-Sales_Transactions!I102)&gt;0.01,ABS(Sales_Transactions!F102*Sales_Transactions!H102-Sales_Transactions!J102)&gt;0.01,ABS(Sales_Transactions!I102-Sales_Transactions!J102-Sales_Transactions!K102)&gt;0.01),1,0)</f>
        <v>0</v>
      </c>
      <c r="V102" s="42" t="n">
        <f aca="false">IF(C102&lt;&gt;L102,1,0)</f>
        <v>0</v>
      </c>
      <c r="W102" s="42" t="n">
        <f aca="false">IF(SUM(Q102:V102)&gt;0,1,0)</f>
        <v>0</v>
      </c>
    </row>
    <row r="103" customFormat="false" ht="15" hidden="false" customHeight="false" outlineLevel="0" collapsed="false">
      <c r="A103" s="42" t="str">
        <f aca="false">Sales_Transactions!A103</f>
        <v>INV-03-030</v>
      </c>
      <c r="B103" s="42" t="str">
        <f aca="false">Sales_Transactions!B103</f>
        <v>2025-03</v>
      </c>
      <c r="C103" s="42" t="str">
        <f aca="false">Sales_Transactions!C103</f>
        <v>Actual</v>
      </c>
      <c r="D103" s="42" t="str">
        <f aca="false">Sales_Transactions!D103</f>
        <v>C018</v>
      </c>
      <c r="E103" s="42" t="str">
        <f aca="false">Sales_Transactions!E103</f>
        <v>P004</v>
      </c>
      <c r="F103" s="42" t="str">
        <f aca="false">IFERROR(INDEX(Customer_Master!$C$2:$C$49,MATCH(D103,Customer_Master!$A$2:$A$49,0)),"UNMATCHED")</f>
        <v>North</v>
      </c>
      <c r="G103" s="42" t="str">
        <f aca="false">IFERROR(INDEX(Customer_Master!$D$2:$D$49,MATCH(D103,Customer_Master!$A$2:$A$49,0)),"UNMATCHED")</f>
        <v>Retail</v>
      </c>
      <c r="H103" s="42" t="str">
        <f aca="false">IFERROR(INDEX(Product_Master!$C$2:$C$9,MATCH(E103,Product_Master!$A$2:$A$9,0)),"UNMATCHED")</f>
        <v>Personal Care</v>
      </c>
      <c r="I103" s="42" t="str">
        <f aca="false">IFERROR(INDEX(Product_Master!$B$2:$B$9,MATCH(E103,Product_Master!$A$2:$A$9,0)),"UNMATCHED")</f>
        <v>Soap 4-pack</v>
      </c>
      <c r="J103" s="42" t="n">
        <f aca="false">IFERROR(INDEX(Calendar!$B$2:$B$25,MATCH(B103,Calendar!$A$2:$A$25,0)),0)</f>
        <v>2025</v>
      </c>
      <c r="K103" s="42" t="n">
        <f aca="false">IFERROR(VALUE(RIGHT(B103,2)),0)</f>
        <v>3</v>
      </c>
      <c r="L103" s="42" t="str">
        <f aca="false">IFERROR(INDEX(Calendar!$E$2:$E$25,MATCH(B103,Calendar!$A$2:$A$25,0)),"UNMATCHED")</f>
        <v>Actual</v>
      </c>
      <c r="M103" s="42" t="n">
        <f aca="false">Sales_Transactions!F103</f>
        <v>363</v>
      </c>
      <c r="N103" s="52" t="n">
        <f aca="false">Sales_Transactions!I103</f>
        <v>62348.88</v>
      </c>
      <c r="O103" s="52" t="n">
        <f aca="false">Sales_Transactions!J103</f>
        <v>36013.23</v>
      </c>
      <c r="P103" s="52" t="n">
        <f aca="false">Sales_Transactions!K103</f>
        <v>26335.65</v>
      </c>
      <c r="Q103" s="42" t="n">
        <f aca="false">IF(ISNUMBER(MATCH(E103,Product_Master!$A$2:$A$9,0)),0,1)</f>
        <v>0</v>
      </c>
      <c r="R103" s="42" t="n">
        <f aca="false">IF(ISNUMBER(MATCH(D103,Customer_Master!$A$2:$A$49,0)),0,1)</f>
        <v>0</v>
      </c>
      <c r="S103" s="42" t="n">
        <f aca="false">IF(ISNUMBER(MATCH(B103,Calendar!$A$2:$A$25,0)),0,1)</f>
        <v>0</v>
      </c>
      <c r="T103" s="42" t="n">
        <f aca="false">IF(COUNTIF(Sales_Transactions!$A$2:$A$865,A103)&gt;1,1,0)</f>
        <v>0</v>
      </c>
      <c r="U103" s="42" t="n">
        <f aca="false">IF(OR(ABS(Sales_Transactions!F103*Sales_Transactions!G103-Sales_Transactions!I103)&gt;0.01,ABS(Sales_Transactions!F103*Sales_Transactions!H103-Sales_Transactions!J103)&gt;0.01,ABS(Sales_Transactions!I103-Sales_Transactions!J103-Sales_Transactions!K103)&gt;0.01),1,0)</f>
        <v>0</v>
      </c>
      <c r="V103" s="42" t="n">
        <f aca="false">IF(C103&lt;&gt;L103,1,0)</f>
        <v>0</v>
      </c>
      <c r="W103" s="42" t="n">
        <f aca="false">IF(SUM(Q103:V103)&gt;0,1,0)</f>
        <v>0</v>
      </c>
    </row>
    <row r="104" customFormat="false" ht="15" hidden="false" customHeight="false" outlineLevel="0" collapsed="false">
      <c r="A104" s="42" t="str">
        <f aca="false">Sales_Transactions!A104</f>
        <v>INV-03-031</v>
      </c>
      <c r="B104" s="42" t="str">
        <f aca="false">Sales_Transactions!B104</f>
        <v>2025-03</v>
      </c>
      <c r="C104" s="42" t="str">
        <f aca="false">Sales_Transactions!C104</f>
        <v>Actual</v>
      </c>
      <c r="D104" s="42" t="str">
        <f aca="false">Sales_Transactions!D104</f>
        <v>C025</v>
      </c>
      <c r="E104" s="42" t="str">
        <f aca="false">Sales_Transactions!E104</f>
        <v>P001</v>
      </c>
      <c r="F104" s="42" t="str">
        <f aca="false">IFERROR(INDEX(Customer_Master!$C$2:$C$49,MATCH(D104,Customer_Master!$A$2:$A$49,0)),"UNMATCHED")</f>
        <v>South</v>
      </c>
      <c r="G104" s="42" t="str">
        <f aca="false">IFERROR(INDEX(Customer_Master!$D$2:$D$49,MATCH(D104,Customer_Master!$A$2:$A$49,0)),"UNMATCHED")</f>
        <v>Distributor</v>
      </c>
      <c r="H104" s="42" t="str">
        <f aca="false">IFERROR(INDEX(Product_Master!$C$2:$C$9,MATCH(E104,Product_Master!$A$2:$A$9,0)),"UNMATCHED")</f>
        <v>Home Care</v>
      </c>
      <c r="I104" s="42" t="str">
        <f aca="false">IFERROR(INDEX(Product_Master!$B$2:$B$9,MATCH(E104,Product_Master!$A$2:$A$9,0)),"UNMATCHED")</f>
        <v>Detergent 1kg</v>
      </c>
      <c r="J104" s="42" t="n">
        <f aca="false">IFERROR(INDEX(Calendar!$B$2:$B$25,MATCH(B104,Calendar!$A$2:$A$25,0)),0)</f>
        <v>2025</v>
      </c>
      <c r="K104" s="42" t="n">
        <f aca="false">IFERROR(VALUE(RIGHT(B104,2)),0)</f>
        <v>3</v>
      </c>
      <c r="L104" s="42" t="str">
        <f aca="false">IFERROR(INDEX(Calendar!$E$2:$E$25,MATCH(B104,Calendar!$A$2:$A$25,0)),"UNMATCHED")</f>
        <v>Actual</v>
      </c>
      <c r="M104" s="42" t="n">
        <f aca="false">Sales_Transactions!F104</f>
        <v>419</v>
      </c>
      <c r="N104" s="52" t="n">
        <f aca="false">Sales_Transactions!I104</f>
        <v>84361.46</v>
      </c>
      <c r="O104" s="52" t="n">
        <f aca="false">Sales_Transactions!J104</f>
        <v>57528.7</v>
      </c>
      <c r="P104" s="52" t="n">
        <f aca="false">Sales_Transactions!K104</f>
        <v>26832.76</v>
      </c>
      <c r="Q104" s="42" t="n">
        <f aca="false">IF(ISNUMBER(MATCH(E104,Product_Master!$A$2:$A$9,0)),0,1)</f>
        <v>0</v>
      </c>
      <c r="R104" s="42" t="n">
        <f aca="false">IF(ISNUMBER(MATCH(D104,Customer_Master!$A$2:$A$49,0)),0,1)</f>
        <v>0</v>
      </c>
      <c r="S104" s="42" t="n">
        <f aca="false">IF(ISNUMBER(MATCH(B104,Calendar!$A$2:$A$25,0)),0,1)</f>
        <v>0</v>
      </c>
      <c r="T104" s="42" t="n">
        <f aca="false">IF(COUNTIF(Sales_Transactions!$A$2:$A$865,A104)&gt;1,1,0)</f>
        <v>0</v>
      </c>
      <c r="U104" s="42" t="n">
        <f aca="false">IF(OR(ABS(Sales_Transactions!F104*Sales_Transactions!G104-Sales_Transactions!I104)&gt;0.01,ABS(Sales_Transactions!F104*Sales_Transactions!H104-Sales_Transactions!J104)&gt;0.01,ABS(Sales_Transactions!I104-Sales_Transactions!J104-Sales_Transactions!K104)&gt;0.01),1,0)</f>
        <v>0</v>
      </c>
      <c r="V104" s="42" t="n">
        <f aca="false">IF(C104&lt;&gt;L104,1,0)</f>
        <v>0</v>
      </c>
      <c r="W104" s="42" t="n">
        <f aca="false">IF(SUM(Q104:V104)&gt;0,1,0)</f>
        <v>0</v>
      </c>
    </row>
    <row r="105" customFormat="false" ht="15" hidden="false" customHeight="false" outlineLevel="0" collapsed="false">
      <c r="A105" s="42" t="str">
        <f aca="false">Sales_Transactions!A105</f>
        <v>INV-03-032</v>
      </c>
      <c r="B105" s="42" t="str">
        <f aca="false">Sales_Transactions!B105</f>
        <v>2025-03</v>
      </c>
      <c r="C105" s="42" t="str">
        <f aca="false">Sales_Transactions!C105</f>
        <v>Actual</v>
      </c>
      <c r="D105" s="42" t="str">
        <f aca="false">Sales_Transactions!D105</f>
        <v>C032</v>
      </c>
      <c r="E105" s="42" t="str">
        <f aca="false">Sales_Transactions!E105</f>
        <v>P006</v>
      </c>
      <c r="F105" s="42" t="str">
        <f aca="false">IFERROR(INDEX(Customer_Master!$C$2:$C$49,MATCH(D105,Customer_Master!$A$2:$A$49,0)),"UNMATCHED")</f>
        <v>East</v>
      </c>
      <c r="G105" s="42" t="str">
        <f aca="false">IFERROR(INDEX(Customer_Master!$D$2:$D$49,MATCH(D105,Customer_Master!$A$2:$A$49,0)),"UNMATCHED")</f>
        <v>Modern Trade</v>
      </c>
      <c r="H105" s="42" t="str">
        <f aca="false">IFERROR(INDEX(Product_Master!$C$2:$C$9,MATCH(E105,Product_Master!$A$2:$A$9,0)),"UNMATCHED")</f>
        <v>Foods</v>
      </c>
      <c r="I105" s="42" t="str">
        <f aca="false">IFERROR(INDEX(Product_Master!$B$2:$B$9,MATCH(E105,Product_Master!$A$2:$A$9,0)),"UNMATCHED")</f>
        <v>Breakfast Cereal</v>
      </c>
      <c r="J105" s="42" t="n">
        <f aca="false">IFERROR(INDEX(Calendar!$B$2:$B$25,MATCH(B105,Calendar!$A$2:$A$25,0)),0)</f>
        <v>2025</v>
      </c>
      <c r="K105" s="42" t="n">
        <f aca="false">IFERROR(VALUE(RIGHT(B105,2)),0)</f>
        <v>3</v>
      </c>
      <c r="L105" s="42" t="str">
        <f aca="false">IFERROR(INDEX(Calendar!$E$2:$E$25,MATCH(B105,Calendar!$A$2:$A$25,0)),"UNMATCHED")</f>
        <v>Actual</v>
      </c>
      <c r="M105" s="42" t="n">
        <f aca="false">Sales_Transactions!F105</f>
        <v>368</v>
      </c>
      <c r="N105" s="52" t="n">
        <f aca="false">Sales_Transactions!I105</f>
        <v>87168.16</v>
      </c>
      <c r="O105" s="52" t="n">
        <f aca="false">Sales_Transactions!J105</f>
        <v>59682.24</v>
      </c>
      <c r="P105" s="52" t="n">
        <f aca="false">Sales_Transactions!K105</f>
        <v>27485.92</v>
      </c>
      <c r="Q105" s="42" t="n">
        <f aca="false">IF(ISNUMBER(MATCH(E105,Product_Master!$A$2:$A$9,0)),0,1)</f>
        <v>0</v>
      </c>
      <c r="R105" s="42" t="n">
        <f aca="false">IF(ISNUMBER(MATCH(D105,Customer_Master!$A$2:$A$49,0)),0,1)</f>
        <v>0</v>
      </c>
      <c r="S105" s="42" t="n">
        <f aca="false">IF(ISNUMBER(MATCH(B105,Calendar!$A$2:$A$25,0)),0,1)</f>
        <v>0</v>
      </c>
      <c r="T105" s="42" t="n">
        <f aca="false">IF(COUNTIF(Sales_Transactions!$A$2:$A$865,A105)&gt;1,1,0)</f>
        <v>0</v>
      </c>
      <c r="U105" s="42" t="n">
        <f aca="false">IF(OR(ABS(Sales_Transactions!F105*Sales_Transactions!G105-Sales_Transactions!I105)&gt;0.01,ABS(Sales_Transactions!F105*Sales_Transactions!H105-Sales_Transactions!J105)&gt;0.01,ABS(Sales_Transactions!I105-Sales_Transactions!J105-Sales_Transactions!K105)&gt;0.01),1,0)</f>
        <v>0</v>
      </c>
      <c r="V105" s="42" t="n">
        <f aca="false">IF(C105&lt;&gt;L105,1,0)</f>
        <v>0</v>
      </c>
      <c r="W105" s="42" t="n">
        <f aca="false">IF(SUM(Q105:V105)&gt;0,1,0)</f>
        <v>0</v>
      </c>
    </row>
    <row r="106" customFormat="false" ht="15" hidden="false" customHeight="false" outlineLevel="0" collapsed="false">
      <c r="A106" s="42" t="str">
        <f aca="false">Sales_Transactions!A106</f>
        <v>INV-03-033</v>
      </c>
      <c r="B106" s="42" t="str">
        <f aca="false">Sales_Transactions!B106</f>
        <v>2025-03</v>
      </c>
      <c r="C106" s="42" t="str">
        <f aca="false">Sales_Transactions!C106</f>
        <v>Actual</v>
      </c>
      <c r="D106" s="42" t="str">
        <f aca="false">Sales_Transactions!D106</f>
        <v>C039</v>
      </c>
      <c r="E106" s="42" t="str">
        <f aca="false">Sales_Transactions!E106</f>
        <v>P003</v>
      </c>
      <c r="F106" s="42" t="str">
        <f aca="false">IFERROR(INDEX(Customer_Master!$C$2:$C$49,MATCH(D106,Customer_Master!$A$2:$A$49,0)),"UNMATCHED")</f>
        <v>West</v>
      </c>
      <c r="G106" s="42" t="str">
        <f aca="false">IFERROR(INDEX(Customer_Master!$D$2:$D$49,MATCH(D106,Customer_Master!$A$2:$A$49,0)),"UNMATCHED")</f>
        <v>Retail</v>
      </c>
      <c r="H106" s="42" t="str">
        <f aca="false">IFERROR(INDEX(Product_Master!$C$2:$C$9,MATCH(E106,Product_Master!$A$2:$A$9,0)),"UNMATCHED")</f>
        <v>Personal Care</v>
      </c>
      <c r="I106" s="42" t="str">
        <f aca="false">IFERROR(INDEX(Product_Master!$B$2:$B$9,MATCH(E106,Product_Master!$A$2:$A$9,0)),"UNMATCHED")</f>
        <v>Shampoo 400ml</v>
      </c>
      <c r="J106" s="42" t="n">
        <f aca="false">IFERROR(INDEX(Calendar!$B$2:$B$25,MATCH(B106,Calendar!$A$2:$A$25,0)),0)</f>
        <v>2025</v>
      </c>
      <c r="K106" s="42" t="n">
        <f aca="false">IFERROR(VALUE(RIGHT(B106,2)),0)</f>
        <v>3</v>
      </c>
      <c r="L106" s="42" t="str">
        <f aca="false">IFERROR(INDEX(Calendar!$E$2:$E$25,MATCH(B106,Calendar!$A$2:$A$25,0)),"UNMATCHED")</f>
        <v>Actual</v>
      </c>
      <c r="M106" s="42" t="n">
        <f aca="false">Sales_Transactions!F106</f>
        <v>153</v>
      </c>
      <c r="N106" s="52" t="n">
        <f aca="false">Sales_Transactions!I106</f>
        <v>39600.99</v>
      </c>
      <c r="O106" s="52" t="n">
        <f aca="false">Sales_Transactions!J106</f>
        <v>27910.26</v>
      </c>
      <c r="P106" s="52" t="n">
        <f aca="false">Sales_Transactions!K106</f>
        <v>11690.73</v>
      </c>
      <c r="Q106" s="42" t="n">
        <f aca="false">IF(ISNUMBER(MATCH(E106,Product_Master!$A$2:$A$9,0)),0,1)</f>
        <v>0</v>
      </c>
      <c r="R106" s="42" t="n">
        <f aca="false">IF(ISNUMBER(MATCH(D106,Customer_Master!$A$2:$A$49,0)),0,1)</f>
        <v>0</v>
      </c>
      <c r="S106" s="42" t="n">
        <f aca="false">IF(ISNUMBER(MATCH(B106,Calendar!$A$2:$A$25,0)),0,1)</f>
        <v>0</v>
      </c>
      <c r="T106" s="42" t="n">
        <f aca="false">IF(COUNTIF(Sales_Transactions!$A$2:$A$865,A106)&gt;1,1,0)</f>
        <v>0</v>
      </c>
      <c r="U106" s="42" t="n">
        <f aca="false">IF(OR(ABS(Sales_Transactions!F106*Sales_Transactions!G106-Sales_Transactions!I106)&gt;0.01,ABS(Sales_Transactions!F106*Sales_Transactions!H106-Sales_Transactions!J106)&gt;0.01,ABS(Sales_Transactions!I106-Sales_Transactions!J106-Sales_Transactions!K106)&gt;0.01),1,0)</f>
        <v>0</v>
      </c>
      <c r="V106" s="42" t="n">
        <f aca="false">IF(C106&lt;&gt;L106,1,0)</f>
        <v>0</v>
      </c>
      <c r="W106" s="42" t="n">
        <f aca="false">IF(SUM(Q106:V106)&gt;0,1,0)</f>
        <v>0</v>
      </c>
    </row>
    <row r="107" customFormat="false" ht="15" hidden="false" customHeight="false" outlineLevel="0" collapsed="false">
      <c r="A107" s="42" t="str">
        <f aca="false">Sales_Transactions!A107</f>
        <v>INV-03-034</v>
      </c>
      <c r="B107" s="42" t="str">
        <f aca="false">Sales_Transactions!B107</f>
        <v>2025-03</v>
      </c>
      <c r="C107" s="42" t="str">
        <f aca="false">Sales_Transactions!C107</f>
        <v>Actual</v>
      </c>
      <c r="D107" s="42" t="str">
        <f aca="false">Sales_Transactions!D107</f>
        <v>C046</v>
      </c>
      <c r="E107" s="42" t="str">
        <f aca="false">Sales_Transactions!E107</f>
        <v>P008</v>
      </c>
      <c r="F107" s="42" t="str">
        <f aca="false">IFERROR(INDEX(Customer_Master!$C$2:$C$49,MATCH(D107,Customer_Master!$A$2:$A$49,0)),"UNMATCHED")</f>
        <v>North</v>
      </c>
      <c r="G107" s="42" t="str">
        <f aca="false">IFERROR(INDEX(Customer_Master!$D$2:$D$49,MATCH(D107,Customer_Master!$A$2:$A$49,0)),"UNMATCHED")</f>
        <v>Distributor</v>
      </c>
      <c r="H107" s="42" t="str">
        <f aca="false">IFERROR(INDEX(Product_Master!$C$2:$C$9,MATCH(E107,Product_Master!$A$2:$A$9,0)),"UNMATCHED")</f>
        <v>Personal Care</v>
      </c>
      <c r="I107" s="42" t="str">
        <f aca="false">IFERROR(INDEX(Product_Master!$B$2:$B$9,MATCH(E107,Product_Master!$A$2:$A$9,0)),"UNMATCHED")</f>
        <v>Body Lotion</v>
      </c>
      <c r="J107" s="42" t="n">
        <f aca="false">IFERROR(INDEX(Calendar!$B$2:$B$25,MATCH(B107,Calendar!$A$2:$A$25,0)),0)</f>
        <v>2025</v>
      </c>
      <c r="K107" s="42" t="n">
        <f aca="false">IFERROR(VALUE(RIGHT(B107,2)),0)</f>
        <v>3</v>
      </c>
      <c r="L107" s="42" t="str">
        <f aca="false">IFERROR(INDEX(Calendar!$E$2:$E$25,MATCH(B107,Calendar!$A$2:$A$25,0)),"UNMATCHED")</f>
        <v>Actual</v>
      </c>
      <c r="M107" s="42" t="n">
        <f aca="false">Sales_Transactions!F107</f>
        <v>368</v>
      </c>
      <c r="N107" s="52" t="n">
        <f aca="false">Sales_Transactions!I107</f>
        <v>108861.76</v>
      </c>
      <c r="O107" s="52" t="n">
        <f aca="false">Sales_Transactions!J107</f>
        <v>73876</v>
      </c>
      <c r="P107" s="52" t="n">
        <f aca="false">Sales_Transactions!K107</f>
        <v>34985.76</v>
      </c>
      <c r="Q107" s="42" t="n">
        <f aca="false">IF(ISNUMBER(MATCH(E107,Product_Master!$A$2:$A$9,0)),0,1)</f>
        <v>0</v>
      </c>
      <c r="R107" s="42" t="n">
        <f aca="false">IF(ISNUMBER(MATCH(D107,Customer_Master!$A$2:$A$49,0)),0,1)</f>
        <v>0</v>
      </c>
      <c r="S107" s="42" t="n">
        <f aca="false">IF(ISNUMBER(MATCH(B107,Calendar!$A$2:$A$25,0)),0,1)</f>
        <v>0</v>
      </c>
      <c r="T107" s="42" t="n">
        <f aca="false">IF(COUNTIF(Sales_Transactions!$A$2:$A$865,A107)&gt;1,1,0)</f>
        <v>0</v>
      </c>
      <c r="U107" s="42" t="n">
        <f aca="false">IF(OR(ABS(Sales_Transactions!F107*Sales_Transactions!G107-Sales_Transactions!I107)&gt;0.01,ABS(Sales_Transactions!F107*Sales_Transactions!H107-Sales_Transactions!J107)&gt;0.01,ABS(Sales_Transactions!I107-Sales_Transactions!J107-Sales_Transactions!K107)&gt;0.01),1,0)</f>
        <v>0</v>
      </c>
      <c r="V107" s="42" t="n">
        <f aca="false">IF(C107&lt;&gt;L107,1,0)</f>
        <v>0</v>
      </c>
      <c r="W107" s="42" t="n">
        <f aca="false">IF(SUM(Q107:V107)&gt;0,1,0)</f>
        <v>0</v>
      </c>
    </row>
    <row r="108" customFormat="false" ht="15" hidden="false" customHeight="false" outlineLevel="0" collapsed="false">
      <c r="A108" s="42" t="str">
        <f aca="false">Sales_Transactions!A108</f>
        <v>INV-03-035</v>
      </c>
      <c r="B108" s="42" t="str">
        <f aca="false">Sales_Transactions!B108</f>
        <v>2025-03</v>
      </c>
      <c r="C108" s="42" t="str">
        <f aca="false">Sales_Transactions!C108</f>
        <v>Actual</v>
      </c>
      <c r="D108" s="42" t="str">
        <f aca="false">Sales_Transactions!D108</f>
        <v>C005</v>
      </c>
      <c r="E108" s="42" t="str">
        <f aca="false">Sales_Transactions!E108</f>
        <v>P005</v>
      </c>
      <c r="F108" s="42" t="str">
        <f aca="false">IFERROR(INDEX(Customer_Master!$C$2:$C$49,MATCH(D108,Customer_Master!$A$2:$A$49,0)),"UNMATCHED")</f>
        <v>South</v>
      </c>
      <c r="G108" s="42" t="str">
        <f aca="false">IFERROR(INDEX(Customer_Master!$D$2:$D$49,MATCH(D108,Customer_Master!$A$2:$A$49,0)),"UNMATCHED")</f>
        <v>Modern Trade</v>
      </c>
      <c r="H108" s="42" t="str">
        <f aca="false">IFERROR(INDEX(Product_Master!$C$2:$C$9,MATCH(E108,Product_Master!$A$2:$A$9,0)),"UNMATCHED")</f>
        <v>Foods</v>
      </c>
      <c r="I108" s="42" t="str">
        <f aca="false">IFERROR(INDEX(Product_Master!$B$2:$B$9,MATCH(E108,Product_Master!$A$2:$A$9,0)),"UNMATCHED")</f>
        <v>Biscuits 500g</v>
      </c>
      <c r="J108" s="42" t="n">
        <f aca="false">IFERROR(INDEX(Calendar!$B$2:$B$25,MATCH(B108,Calendar!$A$2:$A$25,0)),0)</f>
        <v>2025</v>
      </c>
      <c r="K108" s="42" t="n">
        <f aca="false">IFERROR(VALUE(RIGHT(B108,2)),0)</f>
        <v>3</v>
      </c>
      <c r="L108" s="42" t="str">
        <f aca="false">IFERROR(INDEX(Calendar!$E$2:$E$25,MATCH(B108,Calendar!$A$2:$A$25,0)),"UNMATCHED")</f>
        <v>Actual</v>
      </c>
      <c r="M108" s="42" t="n">
        <f aca="false">Sales_Transactions!F108</f>
        <v>192</v>
      </c>
      <c r="N108" s="52" t="n">
        <f aca="false">Sales_Transactions!I108</f>
        <v>20766.72</v>
      </c>
      <c r="O108" s="52" t="n">
        <f aca="false">Sales_Transactions!J108</f>
        <v>12664.32</v>
      </c>
      <c r="P108" s="52" t="n">
        <f aca="false">Sales_Transactions!K108</f>
        <v>8102.4</v>
      </c>
      <c r="Q108" s="42" t="n">
        <f aca="false">IF(ISNUMBER(MATCH(E108,Product_Master!$A$2:$A$9,0)),0,1)</f>
        <v>0</v>
      </c>
      <c r="R108" s="42" t="n">
        <f aca="false">IF(ISNUMBER(MATCH(D108,Customer_Master!$A$2:$A$49,0)),0,1)</f>
        <v>0</v>
      </c>
      <c r="S108" s="42" t="n">
        <f aca="false">IF(ISNUMBER(MATCH(B108,Calendar!$A$2:$A$25,0)),0,1)</f>
        <v>0</v>
      </c>
      <c r="T108" s="42" t="n">
        <f aca="false">IF(COUNTIF(Sales_Transactions!$A$2:$A$865,A108)&gt;1,1,0)</f>
        <v>0</v>
      </c>
      <c r="U108" s="42" t="n">
        <f aca="false">IF(OR(ABS(Sales_Transactions!F108*Sales_Transactions!G108-Sales_Transactions!I108)&gt;0.01,ABS(Sales_Transactions!F108*Sales_Transactions!H108-Sales_Transactions!J108)&gt;0.01,ABS(Sales_Transactions!I108-Sales_Transactions!J108-Sales_Transactions!K108)&gt;0.01),1,0)</f>
        <v>0</v>
      </c>
      <c r="V108" s="42" t="n">
        <f aca="false">IF(C108&lt;&gt;L108,1,0)</f>
        <v>0</v>
      </c>
      <c r="W108" s="42" t="n">
        <f aca="false">IF(SUM(Q108:V108)&gt;0,1,0)</f>
        <v>0</v>
      </c>
    </row>
    <row r="109" customFormat="false" ht="15" hidden="false" customHeight="false" outlineLevel="0" collapsed="false">
      <c r="A109" s="42" t="str">
        <f aca="false">Sales_Transactions!A109</f>
        <v>INV-03-036</v>
      </c>
      <c r="B109" s="42" t="str">
        <f aca="false">Sales_Transactions!B109</f>
        <v>2025-03</v>
      </c>
      <c r="C109" s="42" t="str">
        <f aca="false">Sales_Transactions!C109</f>
        <v>Actual</v>
      </c>
      <c r="D109" s="42" t="str">
        <f aca="false">Sales_Transactions!D109</f>
        <v>C012</v>
      </c>
      <c r="E109" s="42" t="str">
        <f aca="false">Sales_Transactions!E109</f>
        <v>P002</v>
      </c>
      <c r="F109" s="42" t="str">
        <f aca="false">IFERROR(INDEX(Customer_Master!$C$2:$C$49,MATCH(D109,Customer_Master!$A$2:$A$49,0)),"UNMATCHED")</f>
        <v>East</v>
      </c>
      <c r="G109" s="42" t="str">
        <f aca="false">IFERROR(INDEX(Customer_Master!$D$2:$D$49,MATCH(D109,Customer_Master!$A$2:$A$49,0)),"UNMATCHED")</f>
        <v>Retail</v>
      </c>
      <c r="H109" s="42" t="str">
        <f aca="false">IFERROR(INDEX(Product_Master!$C$2:$C$9,MATCH(E109,Product_Master!$A$2:$A$9,0)),"UNMATCHED")</f>
        <v>Home Care</v>
      </c>
      <c r="I109" s="42" t="str">
        <f aca="false">IFERROR(INDEX(Product_Master!$B$2:$B$9,MATCH(E109,Product_Master!$A$2:$A$9,0)),"UNMATCHED")</f>
        <v>Dishwash Gel</v>
      </c>
      <c r="J109" s="42" t="n">
        <f aca="false">IFERROR(INDEX(Calendar!$B$2:$B$25,MATCH(B109,Calendar!$A$2:$A$25,0)),0)</f>
        <v>2025</v>
      </c>
      <c r="K109" s="42" t="n">
        <f aca="false">IFERROR(VALUE(RIGHT(B109,2)),0)</f>
        <v>3</v>
      </c>
      <c r="L109" s="42" t="str">
        <f aca="false">IFERROR(INDEX(Calendar!$E$2:$E$25,MATCH(B109,Calendar!$A$2:$A$25,0)),"UNMATCHED")</f>
        <v>Actual</v>
      </c>
      <c r="M109" s="42" t="n">
        <f aca="false">Sales_Transactions!F109</f>
        <v>409</v>
      </c>
      <c r="N109" s="52" t="n">
        <f aca="false">Sales_Transactions!I109</f>
        <v>59358.17</v>
      </c>
      <c r="O109" s="52" t="n">
        <f aca="false">Sales_Transactions!J109</f>
        <v>34229.21</v>
      </c>
      <c r="P109" s="52" t="n">
        <f aca="false">Sales_Transactions!K109</f>
        <v>25128.96</v>
      </c>
      <c r="Q109" s="42" t="n">
        <f aca="false">IF(ISNUMBER(MATCH(E109,Product_Master!$A$2:$A$9,0)),0,1)</f>
        <v>0</v>
      </c>
      <c r="R109" s="42" t="n">
        <f aca="false">IF(ISNUMBER(MATCH(D109,Customer_Master!$A$2:$A$49,0)),0,1)</f>
        <v>0</v>
      </c>
      <c r="S109" s="42" t="n">
        <f aca="false">IF(ISNUMBER(MATCH(B109,Calendar!$A$2:$A$25,0)),0,1)</f>
        <v>0</v>
      </c>
      <c r="T109" s="42" t="n">
        <f aca="false">IF(COUNTIF(Sales_Transactions!$A$2:$A$865,A109)&gt;1,1,0)</f>
        <v>0</v>
      </c>
      <c r="U109" s="42" t="n">
        <f aca="false">IF(OR(ABS(Sales_Transactions!F109*Sales_Transactions!G109-Sales_Transactions!I109)&gt;0.01,ABS(Sales_Transactions!F109*Sales_Transactions!H109-Sales_Transactions!J109)&gt;0.01,ABS(Sales_Transactions!I109-Sales_Transactions!J109-Sales_Transactions!K109)&gt;0.01),1,0)</f>
        <v>0</v>
      </c>
      <c r="V109" s="42" t="n">
        <f aca="false">IF(C109&lt;&gt;L109,1,0)</f>
        <v>0</v>
      </c>
      <c r="W109" s="42" t="n">
        <f aca="false">IF(SUM(Q109:V109)&gt;0,1,0)</f>
        <v>0</v>
      </c>
    </row>
    <row r="110" customFormat="false" ht="15" hidden="false" customHeight="false" outlineLevel="0" collapsed="false">
      <c r="A110" s="42" t="str">
        <f aca="false">Sales_Transactions!A110</f>
        <v>INV-04-001</v>
      </c>
      <c r="B110" s="42" t="str">
        <f aca="false">Sales_Transactions!B110</f>
        <v>2025-04</v>
      </c>
      <c r="C110" s="42" t="str">
        <f aca="false">Sales_Transactions!C110</f>
        <v>Actual</v>
      </c>
      <c r="D110" s="42" t="str">
        <f aca="false">Sales_Transactions!D110</f>
        <v>C010</v>
      </c>
      <c r="E110" s="42" t="str">
        <f aca="false">Sales_Transactions!E110</f>
        <v>P004</v>
      </c>
      <c r="F110" s="42" t="str">
        <f aca="false">IFERROR(INDEX(Customer_Master!$C$2:$C$49,MATCH(D110,Customer_Master!$A$2:$A$49,0)),"UNMATCHED")</f>
        <v>North</v>
      </c>
      <c r="G110" s="42" t="str">
        <f aca="false">IFERROR(INDEX(Customer_Master!$D$2:$D$49,MATCH(D110,Customer_Master!$A$2:$A$49,0)),"UNMATCHED")</f>
        <v>Distributor</v>
      </c>
      <c r="H110" s="42" t="str">
        <f aca="false">IFERROR(INDEX(Product_Master!$C$2:$C$9,MATCH(E110,Product_Master!$A$2:$A$9,0)),"UNMATCHED")</f>
        <v>Personal Care</v>
      </c>
      <c r="I110" s="42" t="str">
        <f aca="false">IFERROR(INDEX(Product_Master!$B$2:$B$9,MATCH(E110,Product_Master!$A$2:$A$9,0)),"UNMATCHED")</f>
        <v>Soap 4-pack</v>
      </c>
      <c r="J110" s="42" t="n">
        <f aca="false">IFERROR(INDEX(Calendar!$B$2:$B$25,MATCH(B110,Calendar!$A$2:$A$25,0)),0)</f>
        <v>2025</v>
      </c>
      <c r="K110" s="42" t="n">
        <f aca="false">IFERROR(VALUE(RIGHT(B110,2)),0)</f>
        <v>4</v>
      </c>
      <c r="L110" s="42" t="str">
        <f aca="false">IFERROR(INDEX(Calendar!$E$2:$E$25,MATCH(B110,Calendar!$A$2:$A$25,0)),"UNMATCHED")</f>
        <v>Actual</v>
      </c>
      <c r="M110" s="42" t="n">
        <f aca="false">Sales_Transactions!F110</f>
        <v>213</v>
      </c>
      <c r="N110" s="52" t="n">
        <f aca="false">Sales_Transactions!I110</f>
        <v>37562.55</v>
      </c>
      <c r="O110" s="52" t="n">
        <f aca="false">Sales_Transactions!J110</f>
        <v>21706.83</v>
      </c>
      <c r="P110" s="52" t="n">
        <f aca="false">Sales_Transactions!K110</f>
        <v>15855.72</v>
      </c>
      <c r="Q110" s="42" t="n">
        <f aca="false">IF(ISNUMBER(MATCH(E110,Product_Master!$A$2:$A$9,0)),0,1)</f>
        <v>0</v>
      </c>
      <c r="R110" s="42" t="n">
        <f aca="false">IF(ISNUMBER(MATCH(D110,Customer_Master!$A$2:$A$49,0)),0,1)</f>
        <v>0</v>
      </c>
      <c r="S110" s="42" t="n">
        <f aca="false">IF(ISNUMBER(MATCH(B110,Calendar!$A$2:$A$25,0)),0,1)</f>
        <v>0</v>
      </c>
      <c r="T110" s="42" t="n">
        <f aca="false">IF(COUNTIF(Sales_Transactions!$A$2:$A$865,A110)&gt;1,1,0)</f>
        <v>0</v>
      </c>
      <c r="U110" s="42" t="n">
        <f aca="false">IF(OR(ABS(Sales_Transactions!F110*Sales_Transactions!G110-Sales_Transactions!I110)&gt;0.01,ABS(Sales_Transactions!F110*Sales_Transactions!H110-Sales_Transactions!J110)&gt;0.01,ABS(Sales_Transactions!I110-Sales_Transactions!J110-Sales_Transactions!K110)&gt;0.01),1,0)</f>
        <v>0</v>
      </c>
      <c r="V110" s="42" t="n">
        <f aca="false">IF(C110&lt;&gt;L110,1,0)</f>
        <v>0</v>
      </c>
      <c r="W110" s="42" t="n">
        <f aca="false">IF(SUM(Q110:V110)&gt;0,1,0)</f>
        <v>0</v>
      </c>
    </row>
    <row r="111" customFormat="false" ht="15" hidden="false" customHeight="false" outlineLevel="0" collapsed="false">
      <c r="A111" s="42" t="str">
        <f aca="false">Sales_Transactions!A111</f>
        <v>INV-04-002</v>
      </c>
      <c r="B111" s="42" t="str">
        <f aca="false">Sales_Transactions!B111</f>
        <v>2025-04</v>
      </c>
      <c r="C111" s="42" t="str">
        <f aca="false">Sales_Transactions!C111</f>
        <v>Actual</v>
      </c>
      <c r="D111" s="42" t="str">
        <f aca="false">Sales_Transactions!D111</f>
        <v>C017</v>
      </c>
      <c r="E111" s="42" t="str">
        <f aca="false">Sales_Transactions!E111</f>
        <v>P001</v>
      </c>
      <c r="F111" s="42" t="str">
        <f aca="false">IFERROR(INDEX(Customer_Master!$C$2:$C$49,MATCH(D111,Customer_Master!$A$2:$A$49,0)),"UNMATCHED")</f>
        <v>South</v>
      </c>
      <c r="G111" s="42" t="str">
        <f aca="false">IFERROR(INDEX(Customer_Master!$D$2:$D$49,MATCH(D111,Customer_Master!$A$2:$A$49,0)),"UNMATCHED")</f>
        <v>Modern Trade</v>
      </c>
      <c r="H111" s="42" t="str">
        <f aca="false">IFERROR(INDEX(Product_Master!$C$2:$C$9,MATCH(E111,Product_Master!$A$2:$A$9,0)),"UNMATCHED")</f>
        <v>Home Care</v>
      </c>
      <c r="I111" s="42" t="str">
        <f aca="false">IFERROR(INDEX(Product_Master!$B$2:$B$9,MATCH(E111,Product_Master!$A$2:$A$9,0)),"UNMATCHED")</f>
        <v>Detergent 1kg</v>
      </c>
      <c r="J111" s="42" t="n">
        <f aca="false">IFERROR(INDEX(Calendar!$B$2:$B$25,MATCH(B111,Calendar!$A$2:$A$25,0)),0)</f>
        <v>2025</v>
      </c>
      <c r="K111" s="42" t="n">
        <f aca="false">IFERROR(VALUE(RIGHT(B111,2)),0)</f>
        <v>4</v>
      </c>
      <c r="L111" s="42" t="str">
        <f aca="false">IFERROR(INDEX(Calendar!$E$2:$E$25,MATCH(B111,Calendar!$A$2:$A$25,0)),"UNMATCHED")</f>
        <v>Actual</v>
      </c>
      <c r="M111" s="42" t="n">
        <f aca="false">Sales_Transactions!F111</f>
        <v>132</v>
      </c>
      <c r="N111" s="52" t="n">
        <f aca="false">Sales_Transactions!I111</f>
        <v>26957.04</v>
      </c>
      <c r="O111" s="52" t="n">
        <f aca="false">Sales_Transactions!J111</f>
        <v>18461.52</v>
      </c>
      <c r="P111" s="52" t="n">
        <f aca="false">Sales_Transactions!K111</f>
        <v>8495.52</v>
      </c>
      <c r="Q111" s="42" t="n">
        <f aca="false">IF(ISNUMBER(MATCH(E111,Product_Master!$A$2:$A$9,0)),0,1)</f>
        <v>0</v>
      </c>
      <c r="R111" s="42" t="n">
        <f aca="false">IF(ISNUMBER(MATCH(D111,Customer_Master!$A$2:$A$49,0)),0,1)</f>
        <v>0</v>
      </c>
      <c r="S111" s="42" t="n">
        <f aca="false">IF(ISNUMBER(MATCH(B111,Calendar!$A$2:$A$25,0)),0,1)</f>
        <v>0</v>
      </c>
      <c r="T111" s="42" t="n">
        <f aca="false">IF(COUNTIF(Sales_Transactions!$A$2:$A$865,A111)&gt;1,1,0)</f>
        <v>0</v>
      </c>
      <c r="U111" s="42" t="n">
        <f aca="false">IF(OR(ABS(Sales_Transactions!F111*Sales_Transactions!G111-Sales_Transactions!I111)&gt;0.01,ABS(Sales_Transactions!F111*Sales_Transactions!H111-Sales_Transactions!J111)&gt;0.01,ABS(Sales_Transactions!I111-Sales_Transactions!J111-Sales_Transactions!K111)&gt;0.01),1,0)</f>
        <v>0</v>
      </c>
      <c r="V111" s="42" t="n">
        <f aca="false">IF(C111&lt;&gt;L111,1,0)</f>
        <v>0</v>
      </c>
      <c r="W111" s="42" t="n">
        <f aca="false">IF(SUM(Q111:V111)&gt;0,1,0)</f>
        <v>0</v>
      </c>
    </row>
    <row r="112" customFormat="false" ht="15" hidden="false" customHeight="false" outlineLevel="0" collapsed="false">
      <c r="A112" s="42" t="str">
        <f aca="false">Sales_Transactions!A112</f>
        <v>INV-04-003</v>
      </c>
      <c r="B112" s="42" t="str">
        <f aca="false">Sales_Transactions!B112</f>
        <v>2025-04</v>
      </c>
      <c r="C112" s="42" t="str">
        <f aca="false">Sales_Transactions!C112</f>
        <v>Actual</v>
      </c>
      <c r="D112" s="42" t="str">
        <f aca="false">Sales_Transactions!D112</f>
        <v>C024</v>
      </c>
      <c r="E112" s="42" t="str">
        <f aca="false">Sales_Transactions!E112</f>
        <v>P006</v>
      </c>
      <c r="F112" s="42" t="str">
        <f aca="false">IFERROR(INDEX(Customer_Master!$C$2:$C$49,MATCH(D112,Customer_Master!$A$2:$A$49,0)),"UNMATCHED")</f>
        <v>East</v>
      </c>
      <c r="G112" s="42" t="str">
        <f aca="false">IFERROR(INDEX(Customer_Master!$D$2:$D$49,MATCH(D112,Customer_Master!$A$2:$A$49,0)),"UNMATCHED")</f>
        <v>Retail</v>
      </c>
      <c r="H112" s="42" t="str">
        <f aca="false">IFERROR(INDEX(Product_Master!$C$2:$C$9,MATCH(E112,Product_Master!$A$2:$A$9,0)),"UNMATCHED")</f>
        <v>Foods</v>
      </c>
      <c r="I112" s="42" t="str">
        <f aca="false">IFERROR(INDEX(Product_Master!$B$2:$B$9,MATCH(E112,Product_Master!$A$2:$A$9,0)),"UNMATCHED")</f>
        <v>Breakfast Cereal</v>
      </c>
      <c r="J112" s="42" t="n">
        <f aca="false">IFERROR(INDEX(Calendar!$B$2:$B$25,MATCH(B112,Calendar!$A$2:$A$25,0)),0)</f>
        <v>2025</v>
      </c>
      <c r="K112" s="42" t="n">
        <f aca="false">IFERROR(VALUE(RIGHT(B112,2)),0)</f>
        <v>4</v>
      </c>
      <c r="L112" s="42" t="str">
        <f aca="false">IFERROR(INDEX(Calendar!$E$2:$E$25,MATCH(B112,Calendar!$A$2:$A$25,0)),"UNMATCHED")</f>
        <v>Actual</v>
      </c>
      <c r="M112" s="42" t="n">
        <f aca="false">Sales_Transactions!F112</f>
        <v>107</v>
      </c>
      <c r="N112" s="52" t="n">
        <f aca="false">Sales_Transactions!I112</f>
        <v>24296.49</v>
      </c>
      <c r="O112" s="52" t="n">
        <f aca="false">Sales_Transactions!J112</f>
        <v>17569.4</v>
      </c>
      <c r="P112" s="52" t="n">
        <f aca="false">Sales_Transactions!K112</f>
        <v>6727.09</v>
      </c>
      <c r="Q112" s="42" t="n">
        <f aca="false">IF(ISNUMBER(MATCH(E112,Product_Master!$A$2:$A$9,0)),0,1)</f>
        <v>0</v>
      </c>
      <c r="R112" s="42" t="n">
        <f aca="false">IF(ISNUMBER(MATCH(D112,Customer_Master!$A$2:$A$49,0)),0,1)</f>
        <v>0</v>
      </c>
      <c r="S112" s="42" t="n">
        <f aca="false">IF(ISNUMBER(MATCH(B112,Calendar!$A$2:$A$25,0)),0,1)</f>
        <v>0</v>
      </c>
      <c r="T112" s="42" t="n">
        <f aca="false">IF(COUNTIF(Sales_Transactions!$A$2:$A$865,A112)&gt;1,1,0)</f>
        <v>0</v>
      </c>
      <c r="U112" s="42" t="n">
        <f aca="false">IF(OR(ABS(Sales_Transactions!F112*Sales_Transactions!G112-Sales_Transactions!I112)&gt;0.01,ABS(Sales_Transactions!F112*Sales_Transactions!H112-Sales_Transactions!J112)&gt;0.01,ABS(Sales_Transactions!I112-Sales_Transactions!J112-Sales_Transactions!K112)&gt;0.01),1,0)</f>
        <v>0</v>
      </c>
      <c r="V112" s="42" t="n">
        <f aca="false">IF(C112&lt;&gt;L112,1,0)</f>
        <v>0</v>
      </c>
      <c r="W112" s="42" t="n">
        <f aca="false">IF(SUM(Q112:V112)&gt;0,1,0)</f>
        <v>0</v>
      </c>
    </row>
    <row r="113" customFormat="false" ht="15" hidden="false" customHeight="false" outlineLevel="0" collapsed="false">
      <c r="A113" s="42" t="str">
        <f aca="false">Sales_Transactions!A113</f>
        <v>INV-04-004</v>
      </c>
      <c r="B113" s="42" t="str">
        <f aca="false">Sales_Transactions!B113</f>
        <v>2025-04</v>
      </c>
      <c r="C113" s="42" t="str">
        <f aca="false">Sales_Transactions!C113</f>
        <v>Actual</v>
      </c>
      <c r="D113" s="42" t="str">
        <f aca="false">Sales_Transactions!D113</f>
        <v>C031</v>
      </c>
      <c r="E113" s="42" t="str">
        <f aca="false">Sales_Transactions!E113</f>
        <v>P003</v>
      </c>
      <c r="F113" s="42" t="str">
        <f aca="false">IFERROR(INDEX(Customer_Master!$C$2:$C$49,MATCH(D113,Customer_Master!$A$2:$A$49,0)),"UNMATCHED")</f>
        <v>West</v>
      </c>
      <c r="G113" s="42" t="str">
        <f aca="false">IFERROR(INDEX(Customer_Master!$D$2:$D$49,MATCH(D113,Customer_Master!$A$2:$A$49,0)),"UNMATCHED")</f>
        <v>Distributor</v>
      </c>
      <c r="H113" s="42" t="str">
        <f aca="false">IFERROR(INDEX(Product_Master!$C$2:$C$9,MATCH(E113,Product_Master!$A$2:$A$9,0)),"UNMATCHED")</f>
        <v>Personal Care</v>
      </c>
      <c r="I113" s="42" t="str">
        <f aca="false">IFERROR(INDEX(Product_Master!$B$2:$B$9,MATCH(E113,Product_Master!$A$2:$A$9,0)),"UNMATCHED")</f>
        <v>Shampoo 400ml</v>
      </c>
      <c r="J113" s="42" t="n">
        <f aca="false">IFERROR(INDEX(Calendar!$B$2:$B$25,MATCH(B113,Calendar!$A$2:$A$25,0)),0)</f>
        <v>2025</v>
      </c>
      <c r="K113" s="42" t="n">
        <f aca="false">IFERROR(VALUE(RIGHT(B113,2)),0)</f>
        <v>4</v>
      </c>
      <c r="L113" s="42" t="str">
        <f aca="false">IFERROR(INDEX(Calendar!$E$2:$E$25,MATCH(B113,Calendar!$A$2:$A$25,0)),"UNMATCHED")</f>
        <v>Actual</v>
      </c>
      <c r="M113" s="42" t="n">
        <f aca="false">Sales_Transactions!F113</f>
        <v>411</v>
      </c>
      <c r="N113" s="52" t="n">
        <f aca="false">Sales_Transactions!I113</f>
        <v>117077.46</v>
      </c>
      <c r="O113" s="52" t="n">
        <f aca="false">Sales_Transactions!J113</f>
        <v>68834.28</v>
      </c>
      <c r="P113" s="52" t="n">
        <f aca="false">Sales_Transactions!K113</f>
        <v>48243.18</v>
      </c>
      <c r="Q113" s="42" t="n">
        <f aca="false">IF(ISNUMBER(MATCH(E113,Product_Master!$A$2:$A$9,0)),0,1)</f>
        <v>0</v>
      </c>
      <c r="R113" s="42" t="n">
        <f aca="false">IF(ISNUMBER(MATCH(D113,Customer_Master!$A$2:$A$49,0)),0,1)</f>
        <v>0</v>
      </c>
      <c r="S113" s="42" t="n">
        <f aca="false">IF(ISNUMBER(MATCH(B113,Calendar!$A$2:$A$25,0)),0,1)</f>
        <v>0</v>
      </c>
      <c r="T113" s="42" t="n">
        <f aca="false">IF(COUNTIF(Sales_Transactions!$A$2:$A$865,A113)&gt;1,1,0)</f>
        <v>0</v>
      </c>
      <c r="U113" s="42" t="n">
        <f aca="false">IF(OR(ABS(Sales_Transactions!F113*Sales_Transactions!G113-Sales_Transactions!I113)&gt;0.01,ABS(Sales_Transactions!F113*Sales_Transactions!H113-Sales_Transactions!J113)&gt;0.01,ABS(Sales_Transactions!I113-Sales_Transactions!J113-Sales_Transactions!K113)&gt;0.01),1,0)</f>
        <v>0</v>
      </c>
      <c r="V113" s="42" t="n">
        <f aca="false">IF(C113&lt;&gt;L113,1,0)</f>
        <v>0</v>
      </c>
      <c r="W113" s="42" t="n">
        <f aca="false">IF(SUM(Q113:V113)&gt;0,1,0)</f>
        <v>0</v>
      </c>
    </row>
    <row r="114" customFormat="false" ht="15" hidden="false" customHeight="false" outlineLevel="0" collapsed="false">
      <c r="A114" s="42" t="str">
        <f aca="false">Sales_Transactions!A114</f>
        <v>INV-04-005</v>
      </c>
      <c r="B114" s="42" t="str">
        <f aca="false">Sales_Transactions!B114</f>
        <v>2025-04</v>
      </c>
      <c r="C114" s="42" t="str">
        <f aca="false">Sales_Transactions!C114</f>
        <v>Actual</v>
      </c>
      <c r="D114" s="42" t="str">
        <f aca="false">Sales_Transactions!D114</f>
        <v>C038</v>
      </c>
      <c r="E114" s="42" t="str">
        <f aca="false">Sales_Transactions!E114</f>
        <v>P008</v>
      </c>
      <c r="F114" s="42" t="str">
        <f aca="false">IFERROR(INDEX(Customer_Master!$C$2:$C$49,MATCH(D114,Customer_Master!$A$2:$A$49,0)),"UNMATCHED")</f>
        <v>North</v>
      </c>
      <c r="G114" s="42" t="str">
        <f aca="false">IFERROR(INDEX(Customer_Master!$D$2:$D$49,MATCH(D114,Customer_Master!$A$2:$A$49,0)),"UNMATCHED")</f>
        <v>Modern Trade</v>
      </c>
      <c r="H114" s="42" t="str">
        <f aca="false">IFERROR(INDEX(Product_Master!$C$2:$C$9,MATCH(E114,Product_Master!$A$2:$A$9,0)),"UNMATCHED")</f>
        <v>Personal Care</v>
      </c>
      <c r="I114" s="42" t="str">
        <f aca="false">IFERROR(INDEX(Product_Master!$B$2:$B$9,MATCH(E114,Product_Master!$A$2:$A$9,0)),"UNMATCHED")</f>
        <v>Body Lotion</v>
      </c>
      <c r="J114" s="42" t="n">
        <f aca="false">IFERROR(INDEX(Calendar!$B$2:$B$25,MATCH(B114,Calendar!$A$2:$A$25,0)),0)</f>
        <v>2025</v>
      </c>
      <c r="K114" s="42" t="n">
        <f aca="false">IFERROR(VALUE(RIGHT(B114,2)),0)</f>
        <v>4</v>
      </c>
      <c r="L114" s="42" t="str">
        <f aca="false">IFERROR(INDEX(Calendar!$E$2:$E$25,MATCH(B114,Calendar!$A$2:$A$25,0)),"UNMATCHED")</f>
        <v>Actual</v>
      </c>
      <c r="M114" s="42" t="n">
        <f aca="false">Sales_Transactions!F114</f>
        <v>311</v>
      </c>
      <c r="N114" s="52" t="n">
        <f aca="false">Sales_Transactions!I114</f>
        <v>97206.16</v>
      </c>
      <c r="O114" s="52" t="n">
        <f aca="false">Sales_Transactions!J114</f>
        <v>63534.19</v>
      </c>
      <c r="P114" s="52" t="n">
        <f aca="false">Sales_Transactions!K114</f>
        <v>33671.97</v>
      </c>
      <c r="Q114" s="42" t="n">
        <f aca="false">IF(ISNUMBER(MATCH(E114,Product_Master!$A$2:$A$9,0)),0,1)</f>
        <v>0</v>
      </c>
      <c r="R114" s="42" t="n">
        <f aca="false">IF(ISNUMBER(MATCH(D114,Customer_Master!$A$2:$A$49,0)),0,1)</f>
        <v>0</v>
      </c>
      <c r="S114" s="42" t="n">
        <f aca="false">IF(ISNUMBER(MATCH(B114,Calendar!$A$2:$A$25,0)),0,1)</f>
        <v>0</v>
      </c>
      <c r="T114" s="42" t="n">
        <f aca="false">IF(COUNTIF(Sales_Transactions!$A$2:$A$865,A114)&gt;1,1,0)</f>
        <v>0</v>
      </c>
      <c r="U114" s="42" t="n">
        <f aca="false">IF(OR(ABS(Sales_Transactions!F114*Sales_Transactions!G114-Sales_Transactions!I114)&gt;0.01,ABS(Sales_Transactions!F114*Sales_Transactions!H114-Sales_Transactions!J114)&gt;0.01,ABS(Sales_Transactions!I114-Sales_Transactions!J114-Sales_Transactions!K114)&gt;0.01),1,0)</f>
        <v>0</v>
      </c>
      <c r="V114" s="42" t="n">
        <f aca="false">IF(C114&lt;&gt;L114,1,0)</f>
        <v>0</v>
      </c>
      <c r="W114" s="42" t="n">
        <f aca="false">IF(SUM(Q114:V114)&gt;0,1,0)</f>
        <v>0</v>
      </c>
    </row>
    <row r="115" customFormat="false" ht="15" hidden="false" customHeight="false" outlineLevel="0" collapsed="false">
      <c r="A115" s="42" t="str">
        <f aca="false">Sales_Transactions!A115</f>
        <v>INV-04-006</v>
      </c>
      <c r="B115" s="42" t="str">
        <f aca="false">Sales_Transactions!B115</f>
        <v>2025-04</v>
      </c>
      <c r="C115" s="42" t="str">
        <f aca="false">Sales_Transactions!C115</f>
        <v>Actual</v>
      </c>
      <c r="D115" s="42" t="str">
        <f aca="false">Sales_Transactions!D115</f>
        <v>C045</v>
      </c>
      <c r="E115" s="42" t="str">
        <f aca="false">Sales_Transactions!E115</f>
        <v>P005</v>
      </c>
      <c r="F115" s="42" t="str">
        <f aca="false">IFERROR(INDEX(Customer_Master!$C$2:$C$49,MATCH(D115,Customer_Master!$A$2:$A$49,0)),"UNMATCHED")</f>
        <v>South</v>
      </c>
      <c r="G115" s="42" t="str">
        <f aca="false">IFERROR(INDEX(Customer_Master!$D$2:$D$49,MATCH(D115,Customer_Master!$A$2:$A$49,0)),"UNMATCHED")</f>
        <v>Retail</v>
      </c>
      <c r="H115" s="42" t="str">
        <f aca="false">IFERROR(INDEX(Product_Master!$C$2:$C$9,MATCH(E115,Product_Master!$A$2:$A$9,0)),"UNMATCHED")</f>
        <v>Foods</v>
      </c>
      <c r="I115" s="42" t="str">
        <f aca="false">IFERROR(INDEX(Product_Master!$B$2:$B$9,MATCH(E115,Product_Master!$A$2:$A$9,0)),"UNMATCHED")</f>
        <v>Biscuits 500g</v>
      </c>
      <c r="J115" s="42" t="n">
        <f aca="false">IFERROR(INDEX(Calendar!$B$2:$B$25,MATCH(B115,Calendar!$A$2:$A$25,0)),0)</f>
        <v>2025</v>
      </c>
      <c r="K115" s="42" t="n">
        <f aca="false">IFERROR(VALUE(RIGHT(B115,2)),0)</f>
        <v>4</v>
      </c>
      <c r="L115" s="42" t="str">
        <f aca="false">IFERROR(INDEX(Calendar!$E$2:$E$25,MATCH(B115,Calendar!$A$2:$A$25,0)),"UNMATCHED")</f>
        <v>Actual</v>
      </c>
      <c r="M115" s="42" t="n">
        <f aca="false">Sales_Transactions!F115</f>
        <v>89</v>
      </c>
      <c r="N115" s="52" t="n">
        <f aca="false">Sales_Transactions!I115</f>
        <v>8855.5</v>
      </c>
      <c r="O115" s="52" t="n">
        <f aca="false">Sales_Transactions!J115</f>
        <v>6400.88</v>
      </c>
      <c r="P115" s="52" t="n">
        <f aca="false">Sales_Transactions!K115</f>
        <v>2454.62</v>
      </c>
      <c r="Q115" s="42" t="n">
        <f aca="false">IF(ISNUMBER(MATCH(E115,Product_Master!$A$2:$A$9,0)),0,1)</f>
        <v>0</v>
      </c>
      <c r="R115" s="42" t="n">
        <f aca="false">IF(ISNUMBER(MATCH(D115,Customer_Master!$A$2:$A$49,0)),0,1)</f>
        <v>0</v>
      </c>
      <c r="S115" s="42" t="n">
        <f aca="false">IF(ISNUMBER(MATCH(B115,Calendar!$A$2:$A$25,0)),0,1)</f>
        <v>0</v>
      </c>
      <c r="T115" s="42" t="n">
        <f aca="false">IF(COUNTIF(Sales_Transactions!$A$2:$A$865,A115)&gt;1,1,0)</f>
        <v>0</v>
      </c>
      <c r="U115" s="42" t="n">
        <f aca="false">IF(OR(ABS(Sales_Transactions!F115*Sales_Transactions!G115-Sales_Transactions!I115)&gt;0.01,ABS(Sales_Transactions!F115*Sales_Transactions!H115-Sales_Transactions!J115)&gt;0.01,ABS(Sales_Transactions!I115-Sales_Transactions!J115-Sales_Transactions!K115)&gt;0.01),1,0)</f>
        <v>0</v>
      </c>
      <c r="V115" s="42" t="n">
        <f aca="false">IF(C115&lt;&gt;L115,1,0)</f>
        <v>0</v>
      </c>
      <c r="W115" s="42" t="n">
        <f aca="false">IF(SUM(Q115:V115)&gt;0,1,0)</f>
        <v>0</v>
      </c>
    </row>
    <row r="116" customFormat="false" ht="15" hidden="false" customHeight="false" outlineLevel="0" collapsed="false">
      <c r="A116" s="42" t="str">
        <f aca="false">Sales_Transactions!A116</f>
        <v>INV-04-007</v>
      </c>
      <c r="B116" s="42" t="str">
        <f aca="false">Sales_Transactions!B116</f>
        <v>2025-04</v>
      </c>
      <c r="C116" s="42" t="str">
        <f aca="false">Sales_Transactions!C116</f>
        <v>Actual</v>
      </c>
      <c r="D116" s="42" t="str">
        <f aca="false">Sales_Transactions!D116</f>
        <v>C004</v>
      </c>
      <c r="E116" s="42" t="str">
        <f aca="false">Sales_Transactions!E116</f>
        <v>P002</v>
      </c>
      <c r="F116" s="42" t="str">
        <f aca="false">IFERROR(INDEX(Customer_Master!$C$2:$C$49,MATCH(D116,Customer_Master!$A$2:$A$49,0)),"UNMATCHED")</f>
        <v>East</v>
      </c>
      <c r="G116" s="42" t="str">
        <f aca="false">IFERROR(INDEX(Customer_Master!$D$2:$D$49,MATCH(D116,Customer_Master!$A$2:$A$49,0)),"UNMATCHED")</f>
        <v>Distributor</v>
      </c>
      <c r="H116" s="42" t="str">
        <f aca="false">IFERROR(INDEX(Product_Master!$C$2:$C$9,MATCH(E116,Product_Master!$A$2:$A$9,0)),"UNMATCHED")</f>
        <v>Home Care</v>
      </c>
      <c r="I116" s="42" t="str">
        <f aca="false">IFERROR(INDEX(Product_Master!$B$2:$B$9,MATCH(E116,Product_Master!$A$2:$A$9,0)),"UNMATCHED")</f>
        <v>Dishwash Gel</v>
      </c>
      <c r="J116" s="42" t="n">
        <f aca="false">IFERROR(INDEX(Calendar!$B$2:$B$25,MATCH(B116,Calendar!$A$2:$A$25,0)),0)</f>
        <v>2025</v>
      </c>
      <c r="K116" s="42" t="n">
        <f aca="false">IFERROR(VALUE(RIGHT(B116,2)),0)</f>
        <v>4</v>
      </c>
      <c r="L116" s="42" t="str">
        <f aca="false">IFERROR(INDEX(Calendar!$E$2:$E$25,MATCH(B116,Calendar!$A$2:$A$25,0)),"UNMATCHED")</f>
        <v>Actual</v>
      </c>
      <c r="M116" s="42" t="n">
        <f aca="false">Sales_Transactions!F116</f>
        <v>438</v>
      </c>
      <c r="N116" s="52" t="n">
        <f aca="false">Sales_Transactions!I116</f>
        <v>63987.42</v>
      </c>
      <c r="O116" s="52" t="n">
        <f aca="false">Sales_Transactions!J116</f>
        <v>36831.42</v>
      </c>
      <c r="P116" s="52" t="n">
        <f aca="false">Sales_Transactions!K116</f>
        <v>27156</v>
      </c>
      <c r="Q116" s="42" t="n">
        <f aca="false">IF(ISNUMBER(MATCH(E116,Product_Master!$A$2:$A$9,0)),0,1)</f>
        <v>0</v>
      </c>
      <c r="R116" s="42" t="n">
        <f aca="false">IF(ISNUMBER(MATCH(D116,Customer_Master!$A$2:$A$49,0)),0,1)</f>
        <v>0</v>
      </c>
      <c r="S116" s="42" t="n">
        <f aca="false">IF(ISNUMBER(MATCH(B116,Calendar!$A$2:$A$25,0)),0,1)</f>
        <v>0</v>
      </c>
      <c r="T116" s="42" t="n">
        <f aca="false">IF(COUNTIF(Sales_Transactions!$A$2:$A$865,A116)&gt;1,1,0)</f>
        <v>0</v>
      </c>
      <c r="U116" s="42" t="n">
        <f aca="false">IF(OR(ABS(Sales_Transactions!F116*Sales_Transactions!G116-Sales_Transactions!I116)&gt;0.01,ABS(Sales_Transactions!F116*Sales_Transactions!H116-Sales_Transactions!J116)&gt;0.01,ABS(Sales_Transactions!I116-Sales_Transactions!J116-Sales_Transactions!K116)&gt;0.01),1,0)</f>
        <v>0</v>
      </c>
      <c r="V116" s="42" t="n">
        <f aca="false">IF(C116&lt;&gt;L116,1,0)</f>
        <v>0</v>
      </c>
      <c r="W116" s="42" t="n">
        <f aca="false">IF(SUM(Q116:V116)&gt;0,1,0)</f>
        <v>0</v>
      </c>
    </row>
    <row r="117" customFormat="false" ht="15" hidden="false" customHeight="false" outlineLevel="0" collapsed="false">
      <c r="A117" s="42" t="str">
        <f aca="false">Sales_Transactions!A117</f>
        <v>INV-04-008</v>
      </c>
      <c r="B117" s="42" t="str">
        <f aca="false">Sales_Transactions!B117</f>
        <v>2025-04</v>
      </c>
      <c r="C117" s="42" t="str">
        <f aca="false">Sales_Transactions!C117</f>
        <v>Actual</v>
      </c>
      <c r="D117" s="42" t="str">
        <f aca="false">Sales_Transactions!D117</f>
        <v>C011</v>
      </c>
      <c r="E117" s="42" t="str">
        <f aca="false">Sales_Transactions!E117</f>
        <v>P007</v>
      </c>
      <c r="F117" s="42" t="str">
        <f aca="false">IFERROR(INDEX(Customer_Master!$C$2:$C$49,MATCH(D117,Customer_Master!$A$2:$A$49,0)),"UNMATCHED")</f>
        <v>West</v>
      </c>
      <c r="G117" s="42" t="str">
        <f aca="false">IFERROR(INDEX(Customer_Master!$D$2:$D$49,MATCH(D117,Customer_Master!$A$2:$A$49,0)),"UNMATCHED")</f>
        <v>Modern Trade</v>
      </c>
      <c r="H117" s="42" t="str">
        <f aca="false">IFERROR(INDEX(Product_Master!$C$2:$C$9,MATCH(E117,Product_Master!$A$2:$A$9,0)),"UNMATCHED")</f>
        <v>Home Care</v>
      </c>
      <c r="I117" s="42" t="str">
        <f aca="false">IFERROR(INDEX(Product_Master!$B$2:$B$9,MATCH(E117,Product_Master!$A$2:$A$9,0)),"UNMATCHED")</f>
        <v>Floor Cleaner</v>
      </c>
      <c r="J117" s="42" t="n">
        <f aca="false">IFERROR(INDEX(Calendar!$B$2:$B$25,MATCH(B117,Calendar!$A$2:$A$25,0)),0)</f>
        <v>2025</v>
      </c>
      <c r="K117" s="42" t="n">
        <f aca="false">IFERROR(VALUE(RIGHT(B117,2)),0)</f>
        <v>4</v>
      </c>
      <c r="L117" s="42" t="str">
        <f aca="false">IFERROR(INDEX(Calendar!$E$2:$E$25,MATCH(B117,Calendar!$A$2:$A$25,0)),"UNMATCHED")</f>
        <v>Actual</v>
      </c>
      <c r="M117" s="42" t="n">
        <f aca="false">Sales_Transactions!F117</f>
        <v>274</v>
      </c>
      <c r="N117" s="52" t="n">
        <f aca="false">Sales_Transactions!I117</f>
        <v>50276.26</v>
      </c>
      <c r="O117" s="52" t="n">
        <f aca="false">Sales_Transactions!J117</f>
        <v>30005.74</v>
      </c>
      <c r="P117" s="52" t="n">
        <f aca="false">Sales_Transactions!K117</f>
        <v>20270.52</v>
      </c>
      <c r="Q117" s="42" t="n">
        <f aca="false">IF(ISNUMBER(MATCH(E117,Product_Master!$A$2:$A$9,0)),0,1)</f>
        <v>0</v>
      </c>
      <c r="R117" s="42" t="n">
        <f aca="false">IF(ISNUMBER(MATCH(D117,Customer_Master!$A$2:$A$49,0)),0,1)</f>
        <v>0</v>
      </c>
      <c r="S117" s="42" t="n">
        <f aca="false">IF(ISNUMBER(MATCH(B117,Calendar!$A$2:$A$25,0)),0,1)</f>
        <v>0</v>
      </c>
      <c r="T117" s="42" t="n">
        <f aca="false">IF(COUNTIF(Sales_Transactions!$A$2:$A$865,A117)&gt;1,1,0)</f>
        <v>0</v>
      </c>
      <c r="U117" s="42" t="n">
        <f aca="false">IF(OR(ABS(Sales_Transactions!F117*Sales_Transactions!G117-Sales_Transactions!I117)&gt;0.01,ABS(Sales_Transactions!F117*Sales_Transactions!H117-Sales_Transactions!J117)&gt;0.01,ABS(Sales_Transactions!I117-Sales_Transactions!J117-Sales_Transactions!K117)&gt;0.01),1,0)</f>
        <v>0</v>
      </c>
      <c r="V117" s="42" t="n">
        <f aca="false">IF(C117&lt;&gt;L117,1,0)</f>
        <v>0</v>
      </c>
      <c r="W117" s="42" t="n">
        <f aca="false">IF(SUM(Q117:V117)&gt;0,1,0)</f>
        <v>0</v>
      </c>
    </row>
    <row r="118" customFormat="false" ht="15" hidden="false" customHeight="false" outlineLevel="0" collapsed="false">
      <c r="A118" s="42" t="str">
        <f aca="false">Sales_Transactions!A118</f>
        <v>INV-04-009</v>
      </c>
      <c r="B118" s="42" t="str">
        <f aca="false">Sales_Transactions!B118</f>
        <v>2025-04</v>
      </c>
      <c r="C118" s="42" t="str">
        <f aca="false">Sales_Transactions!C118</f>
        <v>Actual</v>
      </c>
      <c r="D118" s="42" t="str">
        <f aca="false">Sales_Transactions!D118</f>
        <v>C018</v>
      </c>
      <c r="E118" s="42" t="str">
        <f aca="false">Sales_Transactions!E118</f>
        <v>P004</v>
      </c>
      <c r="F118" s="42" t="str">
        <f aca="false">IFERROR(INDEX(Customer_Master!$C$2:$C$49,MATCH(D118,Customer_Master!$A$2:$A$49,0)),"UNMATCHED")</f>
        <v>North</v>
      </c>
      <c r="G118" s="42" t="str">
        <f aca="false">IFERROR(INDEX(Customer_Master!$D$2:$D$49,MATCH(D118,Customer_Master!$A$2:$A$49,0)),"UNMATCHED")</f>
        <v>Retail</v>
      </c>
      <c r="H118" s="42" t="str">
        <f aca="false">IFERROR(INDEX(Product_Master!$C$2:$C$9,MATCH(E118,Product_Master!$A$2:$A$9,0)),"UNMATCHED")</f>
        <v>Personal Care</v>
      </c>
      <c r="I118" s="42" t="str">
        <f aca="false">IFERROR(INDEX(Product_Master!$B$2:$B$9,MATCH(E118,Product_Master!$A$2:$A$9,0)),"UNMATCHED")</f>
        <v>Soap 4-pack</v>
      </c>
      <c r="J118" s="42" t="n">
        <f aca="false">IFERROR(INDEX(Calendar!$B$2:$B$25,MATCH(B118,Calendar!$A$2:$A$25,0)),0)</f>
        <v>2025</v>
      </c>
      <c r="K118" s="42" t="n">
        <f aca="false">IFERROR(VALUE(RIGHT(B118,2)),0)</f>
        <v>4</v>
      </c>
      <c r="L118" s="42" t="str">
        <f aca="false">IFERROR(INDEX(Calendar!$E$2:$E$25,MATCH(B118,Calendar!$A$2:$A$25,0)),"UNMATCHED")</f>
        <v>Actual</v>
      </c>
      <c r="M118" s="42" t="n">
        <f aca="false">Sales_Transactions!F118</f>
        <v>150</v>
      </c>
      <c r="N118" s="52" t="n">
        <f aca="false">Sales_Transactions!I118</f>
        <v>23505</v>
      </c>
      <c r="O118" s="52" t="n">
        <f aca="false">Sales_Transactions!J118</f>
        <v>14454</v>
      </c>
      <c r="P118" s="52" t="n">
        <f aca="false">Sales_Transactions!K118</f>
        <v>9051</v>
      </c>
      <c r="Q118" s="42" t="n">
        <f aca="false">IF(ISNUMBER(MATCH(E118,Product_Master!$A$2:$A$9,0)),0,1)</f>
        <v>0</v>
      </c>
      <c r="R118" s="42" t="n">
        <f aca="false">IF(ISNUMBER(MATCH(D118,Customer_Master!$A$2:$A$49,0)),0,1)</f>
        <v>0</v>
      </c>
      <c r="S118" s="42" t="n">
        <f aca="false">IF(ISNUMBER(MATCH(B118,Calendar!$A$2:$A$25,0)),0,1)</f>
        <v>0</v>
      </c>
      <c r="T118" s="42" t="n">
        <f aca="false">IF(COUNTIF(Sales_Transactions!$A$2:$A$865,A118)&gt;1,1,0)</f>
        <v>0</v>
      </c>
      <c r="U118" s="42" t="n">
        <f aca="false">IF(OR(ABS(Sales_Transactions!F118*Sales_Transactions!G118-Sales_Transactions!I118)&gt;0.01,ABS(Sales_Transactions!F118*Sales_Transactions!H118-Sales_Transactions!J118)&gt;0.01,ABS(Sales_Transactions!I118-Sales_Transactions!J118-Sales_Transactions!K118)&gt;0.01),1,0)</f>
        <v>0</v>
      </c>
      <c r="V118" s="42" t="n">
        <f aca="false">IF(C118&lt;&gt;L118,1,0)</f>
        <v>0</v>
      </c>
      <c r="W118" s="42" t="n">
        <f aca="false">IF(SUM(Q118:V118)&gt;0,1,0)</f>
        <v>0</v>
      </c>
    </row>
    <row r="119" customFormat="false" ht="15" hidden="false" customHeight="false" outlineLevel="0" collapsed="false">
      <c r="A119" s="42" t="str">
        <f aca="false">Sales_Transactions!A119</f>
        <v>INV-04-010</v>
      </c>
      <c r="B119" s="42" t="str">
        <f aca="false">Sales_Transactions!B119</f>
        <v>2025-04</v>
      </c>
      <c r="C119" s="42" t="str">
        <f aca="false">Sales_Transactions!C119</f>
        <v>Actual</v>
      </c>
      <c r="D119" s="42" t="str">
        <f aca="false">Sales_Transactions!D119</f>
        <v>C025</v>
      </c>
      <c r="E119" s="42" t="str">
        <f aca="false">Sales_Transactions!E119</f>
        <v>P001</v>
      </c>
      <c r="F119" s="42" t="str">
        <f aca="false">IFERROR(INDEX(Customer_Master!$C$2:$C$49,MATCH(D119,Customer_Master!$A$2:$A$49,0)),"UNMATCHED")</f>
        <v>South</v>
      </c>
      <c r="G119" s="42" t="str">
        <f aca="false">IFERROR(INDEX(Customer_Master!$D$2:$D$49,MATCH(D119,Customer_Master!$A$2:$A$49,0)),"UNMATCHED")</f>
        <v>Distributor</v>
      </c>
      <c r="H119" s="42" t="str">
        <f aca="false">IFERROR(INDEX(Product_Master!$C$2:$C$9,MATCH(E119,Product_Master!$A$2:$A$9,0)),"UNMATCHED")</f>
        <v>Home Care</v>
      </c>
      <c r="I119" s="42" t="str">
        <f aca="false">IFERROR(INDEX(Product_Master!$B$2:$B$9,MATCH(E119,Product_Master!$A$2:$A$9,0)),"UNMATCHED")</f>
        <v>Detergent 1kg</v>
      </c>
      <c r="J119" s="42" t="n">
        <f aca="false">IFERROR(INDEX(Calendar!$B$2:$B$25,MATCH(B119,Calendar!$A$2:$A$25,0)),0)</f>
        <v>2025</v>
      </c>
      <c r="K119" s="42" t="n">
        <f aca="false">IFERROR(VALUE(RIGHT(B119,2)),0)</f>
        <v>4</v>
      </c>
      <c r="L119" s="42" t="str">
        <f aca="false">IFERROR(INDEX(Calendar!$E$2:$E$25,MATCH(B119,Calendar!$A$2:$A$25,0)),"UNMATCHED")</f>
        <v>Actual</v>
      </c>
      <c r="M119" s="42" t="n">
        <f aca="false">Sales_Transactions!F119</f>
        <v>105</v>
      </c>
      <c r="N119" s="52" t="n">
        <f aca="false">Sales_Transactions!I119</f>
        <v>22201.2</v>
      </c>
      <c r="O119" s="52" t="n">
        <f aca="false">Sales_Transactions!J119</f>
        <v>13655.25</v>
      </c>
      <c r="P119" s="52" t="n">
        <f aca="false">Sales_Transactions!K119</f>
        <v>8545.95</v>
      </c>
      <c r="Q119" s="42" t="n">
        <f aca="false">IF(ISNUMBER(MATCH(E119,Product_Master!$A$2:$A$9,0)),0,1)</f>
        <v>0</v>
      </c>
      <c r="R119" s="42" t="n">
        <f aca="false">IF(ISNUMBER(MATCH(D119,Customer_Master!$A$2:$A$49,0)),0,1)</f>
        <v>0</v>
      </c>
      <c r="S119" s="42" t="n">
        <f aca="false">IF(ISNUMBER(MATCH(B119,Calendar!$A$2:$A$25,0)),0,1)</f>
        <v>0</v>
      </c>
      <c r="T119" s="42" t="n">
        <f aca="false">IF(COUNTIF(Sales_Transactions!$A$2:$A$865,A119)&gt;1,1,0)</f>
        <v>0</v>
      </c>
      <c r="U119" s="42" t="n">
        <f aca="false">IF(OR(ABS(Sales_Transactions!F119*Sales_Transactions!G119-Sales_Transactions!I119)&gt;0.01,ABS(Sales_Transactions!F119*Sales_Transactions!H119-Sales_Transactions!J119)&gt;0.01,ABS(Sales_Transactions!I119-Sales_Transactions!J119-Sales_Transactions!K119)&gt;0.01),1,0)</f>
        <v>0</v>
      </c>
      <c r="V119" s="42" t="n">
        <f aca="false">IF(C119&lt;&gt;L119,1,0)</f>
        <v>0</v>
      </c>
      <c r="W119" s="42" t="n">
        <f aca="false">IF(SUM(Q119:V119)&gt;0,1,0)</f>
        <v>0</v>
      </c>
    </row>
    <row r="120" customFormat="false" ht="15" hidden="false" customHeight="false" outlineLevel="0" collapsed="false">
      <c r="A120" s="42" t="str">
        <f aca="false">Sales_Transactions!A120</f>
        <v>INV-04-011</v>
      </c>
      <c r="B120" s="42" t="str">
        <f aca="false">Sales_Transactions!B120</f>
        <v>2025-04</v>
      </c>
      <c r="C120" s="42" t="str">
        <f aca="false">Sales_Transactions!C120</f>
        <v>Actual</v>
      </c>
      <c r="D120" s="42" t="str">
        <f aca="false">Sales_Transactions!D120</f>
        <v>C032</v>
      </c>
      <c r="E120" s="42" t="str">
        <f aca="false">Sales_Transactions!E120</f>
        <v>P006</v>
      </c>
      <c r="F120" s="42" t="str">
        <f aca="false">IFERROR(INDEX(Customer_Master!$C$2:$C$49,MATCH(D120,Customer_Master!$A$2:$A$49,0)),"UNMATCHED")</f>
        <v>East</v>
      </c>
      <c r="G120" s="42" t="str">
        <f aca="false">IFERROR(INDEX(Customer_Master!$D$2:$D$49,MATCH(D120,Customer_Master!$A$2:$A$49,0)),"UNMATCHED")</f>
        <v>Modern Trade</v>
      </c>
      <c r="H120" s="42" t="str">
        <f aca="false">IFERROR(INDEX(Product_Master!$C$2:$C$9,MATCH(E120,Product_Master!$A$2:$A$9,0)),"UNMATCHED")</f>
        <v>Foods</v>
      </c>
      <c r="I120" s="42" t="str">
        <f aca="false">IFERROR(INDEX(Product_Master!$B$2:$B$9,MATCH(E120,Product_Master!$A$2:$A$9,0)),"UNMATCHED")</f>
        <v>Breakfast Cereal</v>
      </c>
      <c r="J120" s="42" t="n">
        <f aca="false">IFERROR(INDEX(Calendar!$B$2:$B$25,MATCH(B120,Calendar!$A$2:$A$25,0)),0)</f>
        <v>2025</v>
      </c>
      <c r="K120" s="42" t="n">
        <f aca="false">IFERROR(VALUE(RIGHT(B120,2)),0)</f>
        <v>4</v>
      </c>
      <c r="L120" s="42" t="str">
        <f aca="false">IFERROR(INDEX(Calendar!$E$2:$E$25,MATCH(B120,Calendar!$A$2:$A$25,0)),"UNMATCHED")</f>
        <v>Actual</v>
      </c>
      <c r="M120" s="42" t="n">
        <f aca="false">Sales_Transactions!F120</f>
        <v>212</v>
      </c>
      <c r="N120" s="52" t="n">
        <f aca="false">Sales_Transactions!I120</f>
        <v>52800.72</v>
      </c>
      <c r="O120" s="52" t="n">
        <f aca="false">Sales_Transactions!J120</f>
        <v>33152.56</v>
      </c>
      <c r="P120" s="52" t="n">
        <f aca="false">Sales_Transactions!K120</f>
        <v>19648.16</v>
      </c>
      <c r="Q120" s="42" t="n">
        <f aca="false">IF(ISNUMBER(MATCH(E120,Product_Master!$A$2:$A$9,0)),0,1)</f>
        <v>0</v>
      </c>
      <c r="R120" s="42" t="n">
        <f aca="false">IF(ISNUMBER(MATCH(D120,Customer_Master!$A$2:$A$49,0)),0,1)</f>
        <v>0</v>
      </c>
      <c r="S120" s="42" t="n">
        <f aca="false">IF(ISNUMBER(MATCH(B120,Calendar!$A$2:$A$25,0)),0,1)</f>
        <v>0</v>
      </c>
      <c r="T120" s="42" t="n">
        <f aca="false">IF(COUNTIF(Sales_Transactions!$A$2:$A$865,A120)&gt;1,1,0)</f>
        <v>0</v>
      </c>
      <c r="U120" s="42" t="n">
        <f aca="false">IF(OR(ABS(Sales_Transactions!F120*Sales_Transactions!G120-Sales_Transactions!I120)&gt;0.01,ABS(Sales_Transactions!F120*Sales_Transactions!H120-Sales_Transactions!J120)&gt;0.01,ABS(Sales_Transactions!I120-Sales_Transactions!J120-Sales_Transactions!K120)&gt;0.01),1,0)</f>
        <v>0</v>
      </c>
      <c r="V120" s="42" t="n">
        <f aca="false">IF(C120&lt;&gt;L120,1,0)</f>
        <v>0</v>
      </c>
      <c r="W120" s="42" t="n">
        <f aca="false">IF(SUM(Q120:V120)&gt;0,1,0)</f>
        <v>0</v>
      </c>
    </row>
    <row r="121" customFormat="false" ht="15" hidden="false" customHeight="false" outlineLevel="0" collapsed="false">
      <c r="A121" s="42" t="str">
        <f aca="false">Sales_Transactions!A121</f>
        <v>INV-04-012</v>
      </c>
      <c r="B121" s="42" t="str">
        <f aca="false">Sales_Transactions!B121</f>
        <v>2025-04</v>
      </c>
      <c r="C121" s="42" t="str">
        <f aca="false">Sales_Transactions!C121</f>
        <v>Actual</v>
      </c>
      <c r="D121" s="42" t="str">
        <f aca="false">Sales_Transactions!D121</f>
        <v>C039</v>
      </c>
      <c r="E121" s="42" t="str">
        <f aca="false">Sales_Transactions!E121</f>
        <v>P003</v>
      </c>
      <c r="F121" s="42" t="str">
        <f aca="false">IFERROR(INDEX(Customer_Master!$C$2:$C$49,MATCH(D121,Customer_Master!$A$2:$A$49,0)),"UNMATCHED")</f>
        <v>West</v>
      </c>
      <c r="G121" s="42" t="str">
        <f aca="false">IFERROR(INDEX(Customer_Master!$D$2:$D$49,MATCH(D121,Customer_Master!$A$2:$A$49,0)),"UNMATCHED")</f>
        <v>Retail</v>
      </c>
      <c r="H121" s="42" t="str">
        <f aca="false">IFERROR(INDEX(Product_Master!$C$2:$C$9,MATCH(E121,Product_Master!$A$2:$A$9,0)),"UNMATCHED")</f>
        <v>Personal Care</v>
      </c>
      <c r="I121" s="42" t="str">
        <f aca="false">IFERROR(INDEX(Product_Master!$B$2:$B$9,MATCH(E121,Product_Master!$A$2:$A$9,0)),"UNMATCHED")</f>
        <v>Shampoo 400ml</v>
      </c>
      <c r="J121" s="42" t="n">
        <f aca="false">IFERROR(INDEX(Calendar!$B$2:$B$25,MATCH(B121,Calendar!$A$2:$A$25,0)),0)</f>
        <v>2025</v>
      </c>
      <c r="K121" s="42" t="n">
        <f aca="false">IFERROR(VALUE(RIGHT(B121,2)),0)</f>
        <v>4</v>
      </c>
      <c r="L121" s="42" t="str">
        <f aca="false">IFERROR(INDEX(Calendar!$E$2:$E$25,MATCH(B121,Calendar!$A$2:$A$25,0)),"UNMATCHED")</f>
        <v>Actual</v>
      </c>
      <c r="M121" s="42" t="n">
        <f aca="false">Sales_Transactions!F121</f>
        <v>371</v>
      </c>
      <c r="N121" s="52" t="n">
        <f aca="false">Sales_Transactions!I121</f>
        <v>104391.98</v>
      </c>
      <c r="O121" s="52" t="n">
        <f aca="false">Sales_Transactions!J121</f>
        <v>63997.5</v>
      </c>
      <c r="P121" s="52" t="n">
        <f aca="false">Sales_Transactions!K121</f>
        <v>40394.48</v>
      </c>
      <c r="Q121" s="42" t="n">
        <f aca="false">IF(ISNUMBER(MATCH(E121,Product_Master!$A$2:$A$9,0)),0,1)</f>
        <v>0</v>
      </c>
      <c r="R121" s="42" t="n">
        <f aca="false">IF(ISNUMBER(MATCH(D121,Customer_Master!$A$2:$A$49,0)),0,1)</f>
        <v>0</v>
      </c>
      <c r="S121" s="42" t="n">
        <f aca="false">IF(ISNUMBER(MATCH(B121,Calendar!$A$2:$A$25,0)),0,1)</f>
        <v>0</v>
      </c>
      <c r="T121" s="42" t="n">
        <f aca="false">IF(COUNTIF(Sales_Transactions!$A$2:$A$865,A121)&gt;1,1,0)</f>
        <v>0</v>
      </c>
      <c r="U121" s="42" t="n">
        <f aca="false">IF(OR(ABS(Sales_Transactions!F121*Sales_Transactions!G121-Sales_Transactions!I121)&gt;0.01,ABS(Sales_Transactions!F121*Sales_Transactions!H121-Sales_Transactions!J121)&gt;0.01,ABS(Sales_Transactions!I121-Sales_Transactions!J121-Sales_Transactions!K121)&gt;0.01),1,0)</f>
        <v>0</v>
      </c>
      <c r="V121" s="42" t="n">
        <f aca="false">IF(C121&lt;&gt;L121,1,0)</f>
        <v>0</v>
      </c>
      <c r="W121" s="42" t="n">
        <f aca="false">IF(SUM(Q121:V121)&gt;0,1,0)</f>
        <v>0</v>
      </c>
    </row>
    <row r="122" customFormat="false" ht="15" hidden="false" customHeight="false" outlineLevel="0" collapsed="false">
      <c r="A122" s="42" t="str">
        <f aca="false">Sales_Transactions!A122</f>
        <v>INV-04-013</v>
      </c>
      <c r="B122" s="42" t="str">
        <f aca="false">Sales_Transactions!B122</f>
        <v>2025-04</v>
      </c>
      <c r="C122" s="42" t="str">
        <f aca="false">Sales_Transactions!C122</f>
        <v>Actual</v>
      </c>
      <c r="D122" s="42" t="str">
        <f aca="false">Sales_Transactions!D122</f>
        <v>C046</v>
      </c>
      <c r="E122" s="42" t="str">
        <f aca="false">Sales_Transactions!E122</f>
        <v>P008</v>
      </c>
      <c r="F122" s="42" t="str">
        <f aca="false">IFERROR(INDEX(Customer_Master!$C$2:$C$49,MATCH(D122,Customer_Master!$A$2:$A$49,0)),"UNMATCHED")</f>
        <v>North</v>
      </c>
      <c r="G122" s="42" t="str">
        <f aca="false">IFERROR(INDEX(Customer_Master!$D$2:$D$49,MATCH(D122,Customer_Master!$A$2:$A$49,0)),"UNMATCHED")</f>
        <v>Distributor</v>
      </c>
      <c r="H122" s="42" t="str">
        <f aca="false">IFERROR(INDEX(Product_Master!$C$2:$C$9,MATCH(E122,Product_Master!$A$2:$A$9,0)),"UNMATCHED")</f>
        <v>Personal Care</v>
      </c>
      <c r="I122" s="42" t="str">
        <f aca="false">IFERROR(INDEX(Product_Master!$B$2:$B$9,MATCH(E122,Product_Master!$A$2:$A$9,0)),"UNMATCHED")</f>
        <v>Body Lotion</v>
      </c>
      <c r="J122" s="42" t="n">
        <f aca="false">IFERROR(INDEX(Calendar!$B$2:$B$25,MATCH(B122,Calendar!$A$2:$A$25,0)),0)</f>
        <v>2025</v>
      </c>
      <c r="K122" s="42" t="n">
        <f aca="false">IFERROR(VALUE(RIGHT(B122,2)),0)</f>
        <v>4</v>
      </c>
      <c r="L122" s="42" t="str">
        <f aca="false">IFERROR(INDEX(Calendar!$E$2:$E$25,MATCH(B122,Calendar!$A$2:$A$25,0)),"UNMATCHED")</f>
        <v>Actual</v>
      </c>
      <c r="M122" s="42" t="n">
        <f aca="false">Sales_Transactions!F122</f>
        <v>402</v>
      </c>
      <c r="N122" s="52" t="n">
        <f aca="false">Sales_Transactions!I122</f>
        <v>129009.84</v>
      </c>
      <c r="O122" s="52" t="n">
        <f aca="false">Sales_Transactions!J122</f>
        <v>86976.72</v>
      </c>
      <c r="P122" s="52" t="n">
        <f aca="false">Sales_Transactions!K122</f>
        <v>42033.12</v>
      </c>
      <c r="Q122" s="42" t="n">
        <f aca="false">IF(ISNUMBER(MATCH(E122,Product_Master!$A$2:$A$9,0)),0,1)</f>
        <v>0</v>
      </c>
      <c r="R122" s="42" t="n">
        <f aca="false">IF(ISNUMBER(MATCH(D122,Customer_Master!$A$2:$A$49,0)),0,1)</f>
        <v>0</v>
      </c>
      <c r="S122" s="42" t="n">
        <f aca="false">IF(ISNUMBER(MATCH(B122,Calendar!$A$2:$A$25,0)),0,1)</f>
        <v>0</v>
      </c>
      <c r="T122" s="42" t="n">
        <f aca="false">IF(COUNTIF(Sales_Transactions!$A$2:$A$865,A122)&gt;1,1,0)</f>
        <v>0</v>
      </c>
      <c r="U122" s="42" t="n">
        <f aca="false">IF(OR(ABS(Sales_Transactions!F122*Sales_Transactions!G122-Sales_Transactions!I122)&gt;0.01,ABS(Sales_Transactions!F122*Sales_Transactions!H122-Sales_Transactions!J122)&gt;0.01,ABS(Sales_Transactions!I122-Sales_Transactions!J122-Sales_Transactions!K122)&gt;0.01),1,0)</f>
        <v>0</v>
      </c>
      <c r="V122" s="42" t="n">
        <f aca="false">IF(C122&lt;&gt;L122,1,0)</f>
        <v>0</v>
      </c>
      <c r="W122" s="42" t="n">
        <f aca="false">IF(SUM(Q122:V122)&gt;0,1,0)</f>
        <v>0</v>
      </c>
    </row>
    <row r="123" customFormat="false" ht="15" hidden="false" customHeight="false" outlineLevel="0" collapsed="false">
      <c r="A123" s="42" t="str">
        <f aca="false">Sales_Transactions!A123</f>
        <v>INV-04-014</v>
      </c>
      <c r="B123" s="42" t="str">
        <f aca="false">Sales_Transactions!B123</f>
        <v>2025-04</v>
      </c>
      <c r="C123" s="42" t="str">
        <f aca="false">Sales_Transactions!C123</f>
        <v>Actual</v>
      </c>
      <c r="D123" s="42" t="str">
        <f aca="false">Sales_Transactions!D123</f>
        <v>C005</v>
      </c>
      <c r="E123" s="42" t="str">
        <f aca="false">Sales_Transactions!E123</f>
        <v>P005</v>
      </c>
      <c r="F123" s="42" t="str">
        <f aca="false">IFERROR(INDEX(Customer_Master!$C$2:$C$49,MATCH(D123,Customer_Master!$A$2:$A$49,0)),"UNMATCHED")</f>
        <v>South</v>
      </c>
      <c r="G123" s="42" t="str">
        <f aca="false">IFERROR(INDEX(Customer_Master!$D$2:$D$49,MATCH(D123,Customer_Master!$A$2:$A$49,0)),"UNMATCHED")</f>
        <v>Modern Trade</v>
      </c>
      <c r="H123" s="42" t="str">
        <f aca="false">IFERROR(INDEX(Product_Master!$C$2:$C$9,MATCH(E123,Product_Master!$A$2:$A$9,0)),"UNMATCHED")</f>
        <v>Foods</v>
      </c>
      <c r="I123" s="42" t="str">
        <f aca="false">IFERROR(INDEX(Product_Master!$B$2:$B$9,MATCH(E123,Product_Master!$A$2:$A$9,0)),"UNMATCHED")</f>
        <v>Biscuits 500g</v>
      </c>
      <c r="J123" s="42" t="n">
        <f aca="false">IFERROR(INDEX(Calendar!$B$2:$B$25,MATCH(B123,Calendar!$A$2:$A$25,0)),0)</f>
        <v>2025</v>
      </c>
      <c r="K123" s="42" t="n">
        <f aca="false">IFERROR(VALUE(RIGHT(B123,2)),0)</f>
        <v>4</v>
      </c>
      <c r="L123" s="42" t="str">
        <f aca="false">IFERROR(INDEX(Calendar!$E$2:$E$25,MATCH(B123,Calendar!$A$2:$A$25,0)),"UNMATCHED")</f>
        <v>Actual</v>
      </c>
      <c r="M123" s="42" t="n">
        <f aca="false">Sales_Transactions!F123</f>
        <v>206</v>
      </c>
      <c r="N123" s="52" t="n">
        <f aca="false">Sales_Transactions!I123</f>
        <v>22713.56</v>
      </c>
      <c r="O123" s="52" t="n">
        <f aca="false">Sales_Transactions!J123</f>
        <v>14867.02</v>
      </c>
      <c r="P123" s="52" t="n">
        <f aca="false">Sales_Transactions!K123</f>
        <v>7846.54</v>
      </c>
      <c r="Q123" s="42" t="n">
        <f aca="false">IF(ISNUMBER(MATCH(E123,Product_Master!$A$2:$A$9,0)),0,1)</f>
        <v>0</v>
      </c>
      <c r="R123" s="42" t="n">
        <f aca="false">IF(ISNUMBER(MATCH(D123,Customer_Master!$A$2:$A$49,0)),0,1)</f>
        <v>0</v>
      </c>
      <c r="S123" s="42" t="n">
        <f aca="false">IF(ISNUMBER(MATCH(B123,Calendar!$A$2:$A$25,0)),0,1)</f>
        <v>0</v>
      </c>
      <c r="T123" s="42" t="n">
        <f aca="false">IF(COUNTIF(Sales_Transactions!$A$2:$A$865,A123)&gt;1,1,0)</f>
        <v>0</v>
      </c>
      <c r="U123" s="42" t="n">
        <f aca="false">IF(OR(ABS(Sales_Transactions!F123*Sales_Transactions!G123-Sales_Transactions!I123)&gt;0.01,ABS(Sales_Transactions!F123*Sales_Transactions!H123-Sales_Transactions!J123)&gt;0.01,ABS(Sales_Transactions!I123-Sales_Transactions!J123-Sales_Transactions!K123)&gt;0.01),1,0)</f>
        <v>0</v>
      </c>
      <c r="V123" s="42" t="n">
        <f aca="false">IF(C123&lt;&gt;L123,1,0)</f>
        <v>0</v>
      </c>
      <c r="W123" s="42" t="n">
        <f aca="false">IF(SUM(Q123:V123)&gt;0,1,0)</f>
        <v>0</v>
      </c>
    </row>
    <row r="124" customFormat="false" ht="15" hidden="false" customHeight="false" outlineLevel="0" collapsed="false">
      <c r="A124" s="42" t="str">
        <f aca="false">Sales_Transactions!A124</f>
        <v>INV-04-015</v>
      </c>
      <c r="B124" s="42" t="str">
        <f aca="false">Sales_Transactions!B124</f>
        <v>2025-04</v>
      </c>
      <c r="C124" s="42" t="str">
        <f aca="false">Sales_Transactions!C124</f>
        <v>Actual</v>
      </c>
      <c r="D124" s="42" t="str">
        <f aca="false">Sales_Transactions!D124</f>
        <v>C012</v>
      </c>
      <c r="E124" s="42" t="str">
        <f aca="false">Sales_Transactions!E124</f>
        <v>P002</v>
      </c>
      <c r="F124" s="42" t="str">
        <f aca="false">IFERROR(INDEX(Customer_Master!$C$2:$C$49,MATCH(D124,Customer_Master!$A$2:$A$49,0)),"UNMATCHED")</f>
        <v>East</v>
      </c>
      <c r="G124" s="42" t="str">
        <f aca="false">IFERROR(INDEX(Customer_Master!$D$2:$D$49,MATCH(D124,Customer_Master!$A$2:$A$49,0)),"UNMATCHED")</f>
        <v>Retail</v>
      </c>
      <c r="H124" s="42" t="str">
        <f aca="false">IFERROR(INDEX(Product_Master!$C$2:$C$9,MATCH(E124,Product_Master!$A$2:$A$9,0)),"UNMATCHED")</f>
        <v>Home Care</v>
      </c>
      <c r="I124" s="42" t="str">
        <f aca="false">IFERROR(INDEX(Product_Master!$B$2:$B$9,MATCH(E124,Product_Master!$A$2:$A$9,0)),"UNMATCHED")</f>
        <v>Dishwash Gel</v>
      </c>
      <c r="J124" s="42" t="n">
        <f aca="false">IFERROR(INDEX(Calendar!$B$2:$B$25,MATCH(B124,Calendar!$A$2:$A$25,0)),0)</f>
        <v>2025</v>
      </c>
      <c r="K124" s="42" t="n">
        <f aca="false">IFERROR(VALUE(RIGHT(B124,2)),0)</f>
        <v>4</v>
      </c>
      <c r="L124" s="42" t="str">
        <f aca="false">IFERROR(INDEX(Calendar!$E$2:$E$25,MATCH(B124,Calendar!$A$2:$A$25,0)),"UNMATCHED")</f>
        <v>Actual</v>
      </c>
      <c r="M124" s="42" t="n">
        <f aca="false">Sales_Transactions!F124</f>
        <v>175</v>
      </c>
      <c r="N124" s="52" t="n">
        <f aca="false">Sales_Transactions!I124</f>
        <v>25490.5</v>
      </c>
      <c r="O124" s="52" t="n">
        <f aca="false">Sales_Transactions!J124</f>
        <v>13818</v>
      </c>
      <c r="P124" s="52" t="n">
        <f aca="false">Sales_Transactions!K124</f>
        <v>11672.5</v>
      </c>
      <c r="Q124" s="42" t="n">
        <f aca="false">IF(ISNUMBER(MATCH(E124,Product_Master!$A$2:$A$9,0)),0,1)</f>
        <v>0</v>
      </c>
      <c r="R124" s="42" t="n">
        <f aca="false">IF(ISNUMBER(MATCH(D124,Customer_Master!$A$2:$A$49,0)),0,1)</f>
        <v>0</v>
      </c>
      <c r="S124" s="42" t="n">
        <f aca="false">IF(ISNUMBER(MATCH(B124,Calendar!$A$2:$A$25,0)),0,1)</f>
        <v>0</v>
      </c>
      <c r="T124" s="42" t="n">
        <f aca="false">IF(COUNTIF(Sales_Transactions!$A$2:$A$865,A124)&gt;1,1,0)</f>
        <v>0</v>
      </c>
      <c r="U124" s="42" t="n">
        <f aca="false">IF(OR(ABS(Sales_Transactions!F124*Sales_Transactions!G124-Sales_Transactions!I124)&gt;0.01,ABS(Sales_Transactions!F124*Sales_Transactions!H124-Sales_Transactions!J124)&gt;0.01,ABS(Sales_Transactions!I124-Sales_Transactions!J124-Sales_Transactions!K124)&gt;0.01),1,0)</f>
        <v>0</v>
      </c>
      <c r="V124" s="42" t="n">
        <f aca="false">IF(C124&lt;&gt;L124,1,0)</f>
        <v>0</v>
      </c>
      <c r="W124" s="42" t="n">
        <f aca="false">IF(SUM(Q124:V124)&gt;0,1,0)</f>
        <v>0</v>
      </c>
    </row>
    <row r="125" customFormat="false" ht="15" hidden="false" customHeight="false" outlineLevel="0" collapsed="false">
      <c r="A125" s="42" t="str">
        <f aca="false">Sales_Transactions!A125</f>
        <v>INV-04-016</v>
      </c>
      <c r="B125" s="42" t="str">
        <f aca="false">Sales_Transactions!B125</f>
        <v>2025-04</v>
      </c>
      <c r="C125" s="42" t="str">
        <f aca="false">Sales_Transactions!C125</f>
        <v>Actual</v>
      </c>
      <c r="D125" s="42" t="str">
        <f aca="false">Sales_Transactions!D125</f>
        <v>C019</v>
      </c>
      <c r="E125" s="42" t="str">
        <f aca="false">Sales_Transactions!E125</f>
        <v>P007</v>
      </c>
      <c r="F125" s="42" t="str">
        <f aca="false">IFERROR(INDEX(Customer_Master!$C$2:$C$49,MATCH(D125,Customer_Master!$A$2:$A$49,0)),"UNMATCHED")</f>
        <v>West</v>
      </c>
      <c r="G125" s="42" t="str">
        <f aca="false">IFERROR(INDEX(Customer_Master!$D$2:$D$49,MATCH(D125,Customer_Master!$A$2:$A$49,0)),"UNMATCHED")</f>
        <v>Distributor</v>
      </c>
      <c r="H125" s="42" t="str">
        <f aca="false">IFERROR(INDEX(Product_Master!$C$2:$C$9,MATCH(E125,Product_Master!$A$2:$A$9,0)),"UNMATCHED")</f>
        <v>Home Care</v>
      </c>
      <c r="I125" s="42" t="str">
        <f aca="false">IFERROR(INDEX(Product_Master!$B$2:$B$9,MATCH(E125,Product_Master!$A$2:$A$9,0)),"UNMATCHED")</f>
        <v>Floor Cleaner</v>
      </c>
      <c r="J125" s="42" t="n">
        <f aca="false">IFERROR(INDEX(Calendar!$B$2:$B$25,MATCH(B125,Calendar!$A$2:$A$25,0)),0)</f>
        <v>2025</v>
      </c>
      <c r="K125" s="42" t="n">
        <f aca="false">IFERROR(VALUE(RIGHT(B125,2)),0)</f>
        <v>4</v>
      </c>
      <c r="L125" s="42" t="str">
        <f aca="false">IFERROR(INDEX(Calendar!$E$2:$E$25,MATCH(B125,Calendar!$A$2:$A$25,0)),"UNMATCHED")</f>
        <v>Actual</v>
      </c>
      <c r="M125" s="42" t="n">
        <f aca="false">Sales_Transactions!F125</f>
        <v>255</v>
      </c>
      <c r="N125" s="52" t="n">
        <f aca="false">Sales_Transactions!I125</f>
        <v>48047.1</v>
      </c>
      <c r="O125" s="52" t="n">
        <f aca="false">Sales_Transactions!J125</f>
        <v>28827.75</v>
      </c>
      <c r="P125" s="52" t="n">
        <f aca="false">Sales_Transactions!K125</f>
        <v>19219.35</v>
      </c>
      <c r="Q125" s="42" t="n">
        <f aca="false">IF(ISNUMBER(MATCH(E125,Product_Master!$A$2:$A$9,0)),0,1)</f>
        <v>0</v>
      </c>
      <c r="R125" s="42" t="n">
        <f aca="false">IF(ISNUMBER(MATCH(D125,Customer_Master!$A$2:$A$49,0)),0,1)</f>
        <v>0</v>
      </c>
      <c r="S125" s="42" t="n">
        <f aca="false">IF(ISNUMBER(MATCH(B125,Calendar!$A$2:$A$25,0)),0,1)</f>
        <v>0</v>
      </c>
      <c r="T125" s="42" t="n">
        <f aca="false">IF(COUNTIF(Sales_Transactions!$A$2:$A$865,A125)&gt;1,1,0)</f>
        <v>0</v>
      </c>
      <c r="U125" s="42" t="n">
        <f aca="false">IF(OR(ABS(Sales_Transactions!F125*Sales_Transactions!G125-Sales_Transactions!I125)&gt;0.01,ABS(Sales_Transactions!F125*Sales_Transactions!H125-Sales_Transactions!J125)&gt;0.01,ABS(Sales_Transactions!I125-Sales_Transactions!J125-Sales_Transactions!K125)&gt;0.01),1,0)</f>
        <v>0</v>
      </c>
      <c r="V125" s="42" t="n">
        <f aca="false">IF(C125&lt;&gt;L125,1,0)</f>
        <v>0</v>
      </c>
      <c r="W125" s="42" t="n">
        <f aca="false">IF(SUM(Q125:V125)&gt;0,1,0)</f>
        <v>0</v>
      </c>
    </row>
    <row r="126" customFormat="false" ht="15" hidden="false" customHeight="false" outlineLevel="0" collapsed="false">
      <c r="A126" s="42" t="str">
        <f aca="false">Sales_Transactions!A126</f>
        <v>INV-04-017</v>
      </c>
      <c r="B126" s="42" t="str">
        <f aca="false">Sales_Transactions!B126</f>
        <v>2025-04</v>
      </c>
      <c r="C126" s="42" t="str">
        <f aca="false">Sales_Transactions!C126</f>
        <v>Actual</v>
      </c>
      <c r="D126" s="42" t="str">
        <f aca="false">Sales_Transactions!D126</f>
        <v>C026</v>
      </c>
      <c r="E126" s="42" t="str">
        <f aca="false">Sales_Transactions!E126</f>
        <v>P004</v>
      </c>
      <c r="F126" s="42" t="str">
        <f aca="false">IFERROR(INDEX(Customer_Master!$C$2:$C$49,MATCH(D126,Customer_Master!$A$2:$A$49,0)),"UNMATCHED")</f>
        <v>North</v>
      </c>
      <c r="G126" s="42" t="str">
        <f aca="false">IFERROR(INDEX(Customer_Master!$D$2:$D$49,MATCH(D126,Customer_Master!$A$2:$A$49,0)),"UNMATCHED")</f>
        <v>Modern Trade</v>
      </c>
      <c r="H126" s="42" t="str">
        <f aca="false">IFERROR(INDEX(Product_Master!$C$2:$C$9,MATCH(E126,Product_Master!$A$2:$A$9,0)),"UNMATCHED")</f>
        <v>Personal Care</v>
      </c>
      <c r="I126" s="42" t="str">
        <f aca="false">IFERROR(INDEX(Product_Master!$B$2:$B$9,MATCH(E126,Product_Master!$A$2:$A$9,0)),"UNMATCHED")</f>
        <v>Soap 4-pack</v>
      </c>
      <c r="J126" s="42" t="n">
        <f aca="false">IFERROR(INDEX(Calendar!$B$2:$B$25,MATCH(B126,Calendar!$A$2:$A$25,0)),0)</f>
        <v>2025</v>
      </c>
      <c r="K126" s="42" t="n">
        <f aca="false">IFERROR(VALUE(RIGHT(B126,2)),0)</f>
        <v>4</v>
      </c>
      <c r="L126" s="42" t="str">
        <f aca="false">IFERROR(INDEX(Calendar!$E$2:$E$25,MATCH(B126,Calendar!$A$2:$A$25,0)),"UNMATCHED")</f>
        <v>Actual</v>
      </c>
      <c r="M126" s="42" t="n">
        <f aca="false">Sales_Transactions!F126</f>
        <v>427</v>
      </c>
      <c r="N126" s="52" t="n">
        <f aca="false">Sales_Transactions!I126</f>
        <v>74900.07</v>
      </c>
      <c r="O126" s="52" t="n">
        <f aca="false">Sales_Transactions!J126</f>
        <v>43340.5</v>
      </c>
      <c r="P126" s="52" t="n">
        <f aca="false">Sales_Transactions!K126</f>
        <v>31559.57</v>
      </c>
      <c r="Q126" s="42" t="n">
        <f aca="false">IF(ISNUMBER(MATCH(E126,Product_Master!$A$2:$A$9,0)),0,1)</f>
        <v>0</v>
      </c>
      <c r="R126" s="42" t="n">
        <f aca="false">IF(ISNUMBER(MATCH(D126,Customer_Master!$A$2:$A$49,0)),0,1)</f>
        <v>0</v>
      </c>
      <c r="S126" s="42" t="n">
        <f aca="false">IF(ISNUMBER(MATCH(B126,Calendar!$A$2:$A$25,0)),0,1)</f>
        <v>0</v>
      </c>
      <c r="T126" s="42" t="n">
        <f aca="false">IF(COUNTIF(Sales_Transactions!$A$2:$A$865,A126)&gt;1,1,0)</f>
        <v>0</v>
      </c>
      <c r="U126" s="42" t="n">
        <f aca="false">IF(OR(ABS(Sales_Transactions!F126*Sales_Transactions!G126-Sales_Transactions!I126)&gt;0.01,ABS(Sales_Transactions!F126*Sales_Transactions!H126-Sales_Transactions!J126)&gt;0.01,ABS(Sales_Transactions!I126-Sales_Transactions!J126-Sales_Transactions!K126)&gt;0.01),1,0)</f>
        <v>0</v>
      </c>
      <c r="V126" s="42" t="n">
        <f aca="false">IF(C126&lt;&gt;L126,1,0)</f>
        <v>0</v>
      </c>
      <c r="W126" s="42" t="n">
        <f aca="false">IF(SUM(Q126:V126)&gt;0,1,0)</f>
        <v>0</v>
      </c>
    </row>
    <row r="127" customFormat="false" ht="15" hidden="false" customHeight="false" outlineLevel="0" collapsed="false">
      <c r="A127" s="42" t="str">
        <f aca="false">Sales_Transactions!A127</f>
        <v>INV-04-018</v>
      </c>
      <c r="B127" s="42" t="str">
        <f aca="false">Sales_Transactions!B127</f>
        <v>2025-04</v>
      </c>
      <c r="C127" s="42" t="str">
        <f aca="false">Sales_Transactions!C127</f>
        <v>Actual</v>
      </c>
      <c r="D127" s="42" t="str">
        <f aca="false">Sales_Transactions!D127</f>
        <v>C033</v>
      </c>
      <c r="E127" s="42" t="str">
        <f aca="false">Sales_Transactions!E127</f>
        <v>P001</v>
      </c>
      <c r="F127" s="42" t="str">
        <f aca="false">IFERROR(INDEX(Customer_Master!$C$2:$C$49,MATCH(D127,Customer_Master!$A$2:$A$49,0)),"UNMATCHED")</f>
        <v>South</v>
      </c>
      <c r="G127" s="42" t="str">
        <f aca="false">IFERROR(INDEX(Customer_Master!$D$2:$D$49,MATCH(D127,Customer_Master!$A$2:$A$49,0)),"UNMATCHED")</f>
        <v>Retail</v>
      </c>
      <c r="H127" s="42" t="str">
        <f aca="false">IFERROR(INDEX(Product_Master!$C$2:$C$9,MATCH(E127,Product_Master!$A$2:$A$9,0)),"UNMATCHED")</f>
        <v>Home Care</v>
      </c>
      <c r="I127" s="42" t="str">
        <f aca="false">IFERROR(INDEX(Product_Master!$B$2:$B$9,MATCH(E127,Product_Master!$A$2:$A$9,0)),"UNMATCHED")</f>
        <v>Detergent 1kg</v>
      </c>
      <c r="J127" s="42" t="n">
        <f aca="false">IFERROR(INDEX(Calendar!$B$2:$B$25,MATCH(B127,Calendar!$A$2:$A$25,0)),0)</f>
        <v>2025</v>
      </c>
      <c r="K127" s="42" t="n">
        <f aca="false">IFERROR(VALUE(RIGHT(B127,2)),0)</f>
        <v>4</v>
      </c>
      <c r="L127" s="42" t="str">
        <f aca="false">IFERROR(INDEX(Calendar!$E$2:$E$25,MATCH(B127,Calendar!$A$2:$A$25,0)),"UNMATCHED")</f>
        <v>Actual</v>
      </c>
      <c r="M127" s="42" t="n">
        <f aca="false">Sales_Transactions!F127</f>
        <v>221</v>
      </c>
      <c r="N127" s="52" t="n">
        <f aca="false">Sales_Transactions!I127</f>
        <v>42266.25</v>
      </c>
      <c r="O127" s="52" t="n">
        <f aca="false">Sales_Transactions!J127</f>
        <v>30460.43</v>
      </c>
      <c r="P127" s="52" t="n">
        <f aca="false">Sales_Transactions!K127</f>
        <v>11805.82</v>
      </c>
      <c r="Q127" s="42" t="n">
        <f aca="false">IF(ISNUMBER(MATCH(E127,Product_Master!$A$2:$A$9,0)),0,1)</f>
        <v>0</v>
      </c>
      <c r="R127" s="42" t="n">
        <f aca="false">IF(ISNUMBER(MATCH(D127,Customer_Master!$A$2:$A$49,0)),0,1)</f>
        <v>0</v>
      </c>
      <c r="S127" s="42" t="n">
        <f aca="false">IF(ISNUMBER(MATCH(B127,Calendar!$A$2:$A$25,0)),0,1)</f>
        <v>0</v>
      </c>
      <c r="T127" s="42" t="n">
        <f aca="false">IF(COUNTIF(Sales_Transactions!$A$2:$A$865,A127)&gt;1,1,0)</f>
        <v>0</v>
      </c>
      <c r="U127" s="42" t="n">
        <f aca="false">IF(OR(ABS(Sales_Transactions!F127*Sales_Transactions!G127-Sales_Transactions!I127)&gt;0.01,ABS(Sales_Transactions!F127*Sales_Transactions!H127-Sales_Transactions!J127)&gt;0.01,ABS(Sales_Transactions!I127-Sales_Transactions!J127-Sales_Transactions!K127)&gt;0.01),1,0)</f>
        <v>0</v>
      </c>
      <c r="V127" s="42" t="n">
        <f aca="false">IF(C127&lt;&gt;L127,1,0)</f>
        <v>0</v>
      </c>
      <c r="W127" s="42" t="n">
        <f aca="false">IF(SUM(Q127:V127)&gt;0,1,0)</f>
        <v>0</v>
      </c>
    </row>
    <row r="128" customFormat="false" ht="15" hidden="false" customHeight="false" outlineLevel="0" collapsed="false">
      <c r="A128" s="42" t="str">
        <f aca="false">Sales_Transactions!A128</f>
        <v>INV-04-019</v>
      </c>
      <c r="B128" s="42" t="str">
        <f aca="false">Sales_Transactions!B128</f>
        <v>2025-04</v>
      </c>
      <c r="C128" s="42" t="str">
        <f aca="false">Sales_Transactions!C128</f>
        <v>Actual</v>
      </c>
      <c r="D128" s="42" t="str">
        <f aca="false">Sales_Transactions!D128</f>
        <v>C040</v>
      </c>
      <c r="E128" s="42" t="str">
        <f aca="false">Sales_Transactions!E128</f>
        <v>P006</v>
      </c>
      <c r="F128" s="42" t="str">
        <f aca="false">IFERROR(INDEX(Customer_Master!$C$2:$C$49,MATCH(D128,Customer_Master!$A$2:$A$49,0)),"UNMATCHED")</f>
        <v>East</v>
      </c>
      <c r="G128" s="42" t="str">
        <f aca="false">IFERROR(INDEX(Customer_Master!$D$2:$D$49,MATCH(D128,Customer_Master!$A$2:$A$49,0)),"UNMATCHED")</f>
        <v>Distributor</v>
      </c>
      <c r="H128" s="42" t="str">
        <f aca="false">IFERROR(INDEX(Product_Master!$C$2:$C$9,MATCH(E128,Product_Master!$A$2:$A$9,0)),"UNMATCHED")</f>
        <v>Foods</v>
      </c>
      <c r="I128" s="42" t="str">
        <f aca="false">IFERROR(INDEX(Product_Master!$B$2:$B$9,MATCH(E128,Product_Master!$A$2:$A$9,0)),"UNMATCHED")</f>
        <v>Breakfast Cereal</v>
      </c>
      <c r="J128" s="42" t="n">
        <f aca="false">IFERROR(INDEX(Calendar!$B$2:$B$25,MATCH(B128,Calendar!$A$2:$A$25,0)),0)</f>
        <v>2025</v>
      </c>
      <c r="K128" s="42" t="n">
        <f aca="false">IFERROR(VALUE(RIGHT(B128,2)),0)</f>
        <v>4</v>
      </c>
      <c r="L128" s="42" t="str">
        <f aca="false">IFERROR(INDEX(Calendar!$E$2:$E$25,MATCH(B128,Calendar!$A$2:$A$25,0)),"UNMATCHED")</f>
        <v>Actual</v>
      </c>
      <c r="M128" s="42" t="n">
        <f aca="false">Sales_Transactions!F128</f>
        <v>280</v>
      </c>
      <c r="N128" s="52" t="n">
        <f aca="false">Sales_Transactions!I128</f>
        <v>71640.8</v>
      </c>
      <c r="O128" s="52" t="n">
        <f aca="false">Sales_Transactions!J128</f>
        <v>46432.4</v>
      </c>
      <c r="P128" s="52" t="n">
        <f aca="false">Sales_Transactions!K128</f>
        <v>25208.4</v>
      </c>
      <c r="Q128" s="42" t="n">
        <f aca="false">IF(ISNUMBER(MATCH(E128,Product_Master!$A$2:$A$9,0)),0,1)</f>
        <v>0</v>
      </c>
      <c r="R128" s="42" t="n">
        <f aca="false">IF(ISNUMBER(MATCH(D128,Customer_Master!$A$2:$A$49,0)),0,1)</f>
        <v>0</v>
      </c>
      <c r="S128" s="42" t="n">
        <f aca="false">IF(ISNUMBER(MATCH(B128,Calendar!$A$2:$A$25,0)),0,1)</f>
        <v>0</v>
      </c>
      <c r="T128" s="42" t="n">
        <f aca="false">IF(COUNTIF(Sales_Transactions!$A$2:$A$865,A128)&gt;1,1,0)</f>
        <v>0</v>
      </c>
      <c r="U128" s="42" t="n">
        <f aca="false">IF(OR(ABS(Sales_Transactions!F128*Sales_Transactions!G128-Sales_Transactions!I128)&gt;0.01,ABS(Sales_Transactions!F128*Sales_Transactions!H128-Sales_Transactions!J128)&gt;0.01,ABS(Sales_Transactions!I128-Sales_Transactions!J128-Sales_Transactions!K128)&gt;0.01),1,0)</f>
        <v>0</v>
      </c>
      <c r="V128" s="42" t="n">
        <f aca="false">IF(C128&lt;&gt;L128,1,0)</f>
        <v>0</v>
      </c>
      <c r="W128" s="42" t="n">
        <f aca="false">IF(SUM(Q128:V128)&gt;0,1,0)</f>
        <v>0</v>
      </c>
    </row>
    <row r="129" customFormat="false" ht="15" hidden="false" customHeight="false" outlineLevel="0" collapsed="false">
      <c r="A129" s="42" t="str">
        <f aca="false">Sales_Transactions!A129</f>
        <v>INV-04-020</v>
      </c>
      <c r="B129" s="42" t="str">
        <f aca="false">Sales_Transactions!B129</f>
        <v>2025-04</v>
      </c>
      <c r="C129" s="42" t="str">
        <f aca="false">Sales_Transactions!C129</f>
        <v>Actual</v>
      </c>
      <c r="D129" s="42" t="str">
        <f aca="false">Sales_Transactions!D129</f>
        <v>C047</v>
      </c>
      <c r="E129" s="42" t="str">
        <f aca="false">Sales_Transactions!E129</f>
        <v>P003</v>
      </c>
      <c r="F129" s="42" t="str">
        <f aca="false">IFERROR(INDEX(Customer_Master!$C$2:$C$49,MATCH(D129,Customer_Master!$A$2:$A$49,0)),"UNMATCHED")</f>
        <v>West</v>
      </c>
      <c r="G129" s="42" t="str">
        <f aca="false">IFERROR(INDEX(Customer_Master!$D$2:$D$49,MATCH(D129,Customer_Master!$A$2:$A$49,0)),"UNMATCHED")</f>
        <v>Modern Trade</v>
      </c>
      <c r="H129" s="42" t="str">
        <f aca="false">IFERROR(INDEX(Product_Master!$C$2:$C$9,MATCH(E129,Product_Master!$A$2:$A$9,0)),"UNMATCHED")</f>
        <v>Personal Care</v>
      </c>
      <c r="I129" s="42" t="str">
        <f aca="false">IFERROR(INDEX(Product_Master!$B$2:$B$9,MATCH(E129,Product_Master!$A$2:$A$9,0)),"UNMATCHED")</f>
        <v>Shampoo 400ml</v>
      </c>
      <c r="J129" s="42" t="n">
        <f aca="false">IFERROR(INDEX(Calendar!$B$2:$B$25,MATCH(B129,Calendar!$A$2:$A$25,0)),0)</f>
        <v>2025</v>
      </c>
      <c r="K129" s="42" t="n">
        <f aca="false">IFERROR(VALUE(RIGHT(B129,2)),0)</f>
        <v>4</v>
      </c>
      <c r="L129" s="42" t="str">
        <f aca="false">IFERROR(INDEX(Calendar!$E$2:$E$25,MATCH(B129,Calendar!$A$2:$A$25,0)),"UNMATCHED")</f>
        <v>Actual</v>
      </c>
      <c r="M129" s="42" t="n">
        <f aca="false">Sales_Transactions!F129</f>
        <v>198</v>
      </c>
      <c r="N129" s="52" t="n">
        <f aca="false">Sales_Transactions!I129</f>
        <v>50779.08</v>
      </c>
      <c r="O129" s="52" t="n">
        <f aca="false">Sales_Transactions!J129</f>
        <v>36235.98</v>
      </c>
      <c r="P129" s="52" t="n">
        <f aca="false">Sales_Transactions!K129</f>
        <v>14543.1</v>
      </c>
      <c r="Q129" s="42" t="n">
        <f aca="false">IF(ISNUMBER(MATCH(E129,Product_Master!$A$2:$A$9,0)),0,1)</f>
        <v>0</v>
      </c>
      <c r="R129" s="42" t="n">
        <f aca="false">IF(ISNUMBER(MATCH(D129,Customer_Master!$A$2:$A$49,0)),0,1)</f>
        <v>0</v>
      </c>
      <c r="S129" s="42" t="n">
        <f aca="false">IF(ISNUMBER(MATCH(B129,Calendar!$A$2:$A$25,0)),0,1)</f>
        <v>0</v>
      </c>
      <c r="T129" s="42" t="n">
        <f aca="false">IF(COUNTIF(Sales_Transactions!$A$2:$A$865,A129)&gt;1,1,0)</f>
        <v>0</v>
      </c>
      <c r="U129" s="42" t="n">
        <f aca="false">IF(OR(ABS(Sales_Transactions!F129*Sales_Transactions!G129-Sales_Transactions!I129)&gt;0.01,ABS(Sales_Transactions!F129*Sales_Transactions!H129-Sales_Transactions!J129)&gt;0.01,ABS(Sales_Transactions!I129-Sales_Transactions!J129-Sales_Transactions!K129)&gt;0.01),1,0)</f>
        <v>0</v>
      </c>
      <c r="V129" s="42" t="n">
        <f aca="false">IF(C129&lt;&gt;L129,1,0)</f>
        <v>0</v>
      </c>
      <c r="W129" s="42" t="n">
        <f aca="false">IF(SUM(Q129:V129)&gt;0,1,0)</f>
        <v>0</v>
      </c>
    </row>
    <row r="130" customFormat="false" ht="15" hidden="false" customHeight="false" outlineLevel="0" collapsed="false">
      <c r="A130" s="42" t="str">
        <f aca="false">Sales_Transactions!A130</f>
        <v>INV-04-021</v>
      </c>
      <c r="B130" s="42" t="str">
        <f aca="false">Sales_Transactions!B130</f>
        <v>2025-04</v>
      </c>
      <c r="C130" s="42" t="str">
        <f aca="false">Sales_Transactions!C130</f>
        <v>Actual</v>
      </c>
      <c r="D130" s="42" t="str">
        <f aca="false">Sales_Transactions!D130</f>
        <v>C006</v>
      </c>
      <c r="E130" s="42" t="str">
        <f aca="false">Sales_Transactions!E130</f>
        <v>P008</v>
      </c>
      <c r="F130" s="42" t="str">
        <f aca="false">IFERROR(INDEX(Customer_Master!$C$2:$C$49,MATCH(D130,Customer_Master!$A$2:$A$49,0)),"UNMATCHED")</f>
        <v>North</v>
      </c>
      <c r="G130" s="42" t="str">
        <f aca="false">IFERROR(INDEX(Customer_Master!$D$2:$D$49,MATCH(D130,Customer_Master!$A$2:$A$49,0)),"UNMATCHED")</f>
        <v>Retail</v>
      </c>
      <c r="H130" s="42" t="str">
        <f aca="false">IFERROR(INDEX(Product_Master!$C$2:$C$9,MATCH(E130,Product_Master!$A$2:$A$9,0)),"UNMATCHED")</f>
        <v>Personal Care</v>
      </c>
      <c r="I130" s="42" t="str">
        <f aca="false">IFERROR(INDEX(Product_Master!$B$2:$B$9,MATCH(E130,Product_Master!$A$2:$A$9,0)),"UNMATCHED")</f>
        <v>Body Lotion</v>
      </c>
      <c r="J130" s="42" t="n">
        <f aca="false">IFERROR(INDEX(Calendar!$B$2:$B$25,MATCH(B130,Calendar!$A$2:$A$25,0)),0)</f>
        <v>2025</v>
      </c>
      <c r="K130" s="42" t="n">
        <f aca="false">IFERROR(VALUE(RIGHT(B130,2)),0)</f>
        <v>4</v>
      </c>
      <c r="L130" s="42" t="str">
        <f aca="false">IFERROR(INDEX(Calendar!$E$2:$E$25,MATCH(B130,Calendar!$A$2:$A$25,0)),"UNMATCHED")</f>
        <v>Actual</v>
      </c>
      <c r="M130" s="42" t="n">
        <f aca="false">Sales_Transactions!F130</f>
        <v>264</v>
      </c>
      <c r="N130" s="52" t="n">
        <f aca="false">Sales_Transactions!I130</f>
        <v>79764.96</v>
      </c>
      <c r="O130" s="52" t="n">
        <f aca="false">Sales_Transactions!J130</f>
        <v>56284.8</v>
      </c>
      <c r="P130" s="52" t="n">
        <f aca="false">Sales_Transactions!K130</f>
        <v>23480.16</v>
      </c>
      <c r="Q130" s="42" t="n">
        <f aca="false">IF(ISNUMBER(MATCH(E130,Product_Master!$A$2:$A$9,0)),0,1)</f>
        <v>0</v>
      </c>
      <c r="R130" s="42" t="n">
        <f aca="false">IF(ISNUMBER(MATCH(D130,Customer_Master!$A$2:$A$49,0)),0,1)</f>
        <v>0</v>
      </c>
      <c r="S130" s="42" t="n">
        <f aca="false">IF(ISNUMBER(MATCH(B130,Calendar!$A$2:$A$25,0)),0,1)</f>
        <v>0</v>
      </c>
      <c r="T130" s="42" t="n">
        <f aca="false">IF(COUNTIF(Sales_Transactions!$A$2:$A$865,A130)&gt;1,1,0)</f>
        <v>0</v>
      </c>
      <c r="U130" s="42" t="n">
        <f aca="false">IF(OR(ABS(Sales_Transactions!F130*Sales_Transactions!G130-Sales_Transactions!I130)&gt;0.01,ABS(Sales_Transactions!F130*Sales_Transactions!H130-Sales_Transactions!J130)&gt;0.01,ABS(Sales_Transactions!I130-Sales_Transactions!J130-Sales_Transactions!K130)&gt;0.01),1,0)</f>
        <v>0</v>
      </c>
      <c r="V130" s="42" t="n">
        <f aca="false">IF(C130&lt;&gt;L130,1,0)</f>
        <v>0</v>
      </c>
      <c r="W130" s="42" t="n">
        <f aca="false">IF(SUM(Q130:V130)&gt;0,1,0)</f>
        <v>0</v>
      </c>
    </row>
    <row r="131" customFormat="false" ht="15" hidden="false" customHeight="false" outlineLevel="0" collapsed="false">
      <c r="A131" s="42" t="str">
        <f aca="false">Sales_Transactions!A131</f>
        <v>INV-04-022</v>
      </c>
      <c r="B131" s="42" t="str">
        <f aca="false">Sales_Transactions!B131</f>
        <v>2025-04</v>
      </c>
      <c r="C131" s="42" t="str">
        <f aca="false">Sales_Transactions!C131</f>
        <v>Actual</v>
      </c>
      <c r="D131" s="42" t="str">
        <f aca="false">Sales_Transactions!D131</f>
        <v>C013</v>
      </c>
      <c r="E131" s="42" t="str">
        <f aca="false">Sales_Transactions!E131</f>
        <v>P005</v>
      </c>
      <c r="F131" s="42" t="str">
        <f aca="false">IFERROR(INDEX(Customer_Master!$C$2:$C$49,MATCH(D131,Customer_Master!$A$2:$A$49,0)),"UNMATCHED")</f>
        <v>South</v>
      </c>
      <c r="G131" s="42" t="str">
        <f aca="false">IFERROR(INDEX(Customer_Master!$D$2:$D$49,MATCH(D131,Customer_Master!$A$2:$A$49,0)),"UNMATCHED")</f>
        <v>Distributor</v>
      </c>
      <c r="H131" s="42" t="str">
        <f aca="false">IFERROR(INDEX(Product_Master!$C$2:$C$9,MATCH(E131,Product_Master!$A$2:$A$9,0)),"UNMATCHED")</f>
        <v>Foods</v>
      </c>
      <c r="I131" s="42" t="str">
        <f aca="false">IFERROR(INDEX(Product_Master!$B$2:$B$9,MATCH(E131,Product_Master!$A$2:$A$9,0)),"UNMATCHED")</f>
        <v>Biscuits 500g</v>
      </c>
      <c r="J131" s="42" t="n">
        <f aca="false">IFERROR(INDEX(Calendar!$B$2:$B$25,MATCH(B131,Calendar!$A$2:$A$25,0)),0)</f>
        <v>2025</v>
      </c>
      <c r="K131" s="42" t="n">
        <f aca="false">IFERROR(VALUE(RIGHT(B131,2)),0)</f>
        <v>4</v>
      </c>
      <c r="L131" s="42" t="str">
        <f aca="false">IFERROR(INDEX(Calendar!$E$2:$E$25,MATCH(B131,Calendar!$A$2:$A$25,0)),"UNMATCHED")</f>
        <v>Actual</v>
      </c>
      <c r="M131" s="42" t="n">
        <f aca="false">Sales_Transactions!F131</f>
        <v>201</v>
      </c>
      <c r="N131" s="52" t="n">
        <f aca="false">Sales_Transactions!I131</f>
        <v>20319.09</v>
      </c>
      <c r="O131" s="52" t="n">
        <f aca="false">Sales_Transactions!J131</f>
        <v>13995.63</v>
      </c>
      <c r="P131" s="52" t="n">
        <f aca="false">Sales_Transactions!K131</f>
        <v>6323.46</v>
      </c>
      <c r="Q131" s="42" t="n">
        <f aca="false">IF(ISNUMBER(MATCH(E131,Product_Master!$A$2:$A$9,0)),0,1)</f>
        <v>0</v>
      </c>
      <c r="R131" s="42" t="n">
        <f aca="false">IF(ISNUMBER(MATCH(D131,Customer_Master!$A$2:$A$49,0)),0,1)</f>
        <v>0</v>
      </c>
      <c r="S131" s="42" t="n">
        <f aca="false">IF(ISNUMBER(MATCH(B131,Calendar!$A$2:$A$25,0)),0,1)</f>
        <v>0</v>
      </c>
      <c r="T131" s="42" t="n">
        <f aca="false">IF(COUNTIF(Sales_Transactions!$A$2:$A$865,A131)&gt;1,1,0)</f>
        <v>0</v>
      </c>
      <c r="U131" s="42" t="n">
        <f aca="false">IF(OR(ABS(Sales_Transactions!F131*Sales_Transactions!G131-Sales_Transactions!I131)&gt;0.01,ABS(Sales_Transactions!F131*Sales_Transactions!H131-Sales_Transactions!J131)&gt;0.01,ABS(Sales_Transactions!I131-Sales_Transactions!J131-Sales_Transactions!K131)&gt;0.01),1,0)</f>
        <v>0</v>
      </c>
      <c r="V131" s="42" t="n">
        <f aca="false">IF(C131&lt;&gt;L131,1,0)</f>
        <v>0</v>
      </c>
      <c r="W131" s="42" t="n">
        <f aca="false">IF(SUM(Q131:V131)&gt;0,1,0)</f>
        <v>0</v>
      </c>
    </row>
    <row r="132" customFormat="false" ht="15" hidden="false" customHeight="false" outlineLevel="0" collapsed="false">
      <c r="A132" s="42" t="str">
        <f aca="false">Sales_Transactions!A132</f>
        <v>INV-04-023</v>
      </c>
      <c r="B132" s="42" t="str">
        <f aca="false">Sales_Transactions!B132</f>
        <v>2025-04</v>
      </c>
      <c r="C132" s="42" t="str">
        <f aca="false">Sales_Transactions!C132</f>
        <v>Actual</v>
      </c>
      <c r="D132" s="42" t="str">
        <f aca="false">Sales_Transactions!D132</f>
        <v>C020</v>
      </c>
      <c r="E132" s="42" t="str">
        <f aca="false">Sales_Transactions!E132</f>
        <v>P002</v>
      </c>
      <c r="F132" s="42" t="str">
        <f aca="false">IFERROR(INDEX(Customer_Master!$C$2:$C$49,MATCH(D132,Customer_Master!$A$2:$A$49,0)),"UNMATCHED")</f>
        <v>East</v>
      </c>
      <c r="G132" s="42" t="str">
        <f aca="false">IFERROR(INDEX(Customer_Master!$D$2:$D$49,MATCH(D132,Customer_Master!$A$2:$A$49,0)),"UNMATCHED")</f>
        <v>Modern Trade</v>
      </c>
      <c r="H132" s="42" t="str">
        <f aca="false">IFERROR(INDEX(Product_Master!$C$2:$C$9,MATCH(E132,Product_Master!$A$2:$A$9,0)),"UNMATCHED")</f>
        <v>Home Care</v>
      </c>
      <c r="I132" s="42" t="str">
        <f aca="false">IFERROR(INDEX(Product_Master!$B$2:$B$9,MATCH(E132,Product_Master!$A$2:$A$9,0)),"UNMATCHED")</f>
        <v>Dishwash Gel</v>
      </c>
      <c r="J132" s="42" t="n">
        <f aca="false">IFERROR(INDEX(Calendar!$B$2:$B$25,MATCH(B132,Calendar!$A$2:$A$25,0)),0)</f>
        <v>2025</v>
      </c>
      <c r="K132" s="42" t="n">
        <f aca="false">IFERROR(VALUE(RIGHT(B132,2)),0)</f>
        <v>4</v>
      </c>
      <c r="L132" s="42" t="str">
        <f aca="false">IFERROR(INDEX(Calendar!$E$2:$E$25,MATCH(B132,Calendar!$A$2:$A$25,0)),"UNMATCHED")</f>
        <v>Actual</v>
      </c>
      <c r="M132" s="42" t="n">
        <f aca="false">Sales_Transactions!F132</f>
        <v>289</v>
      </c>
      <c r="N132" s="52" t="n">
        <f aca="false">Sales_Transactions!I132</f>
        <v>39084.36</v>
      </c>
      <c r="O132" s="52" t="n">
        <f aca="false">Sales_Transactions!J132</f>
        <v>25209.47</v>
      </c>
      <c r="P132" s="52" t="n">
        <f aca="false">Sales_Transactions!K132</f>
        <v>13874.89</v>
      </c>
      <c r="Q132" s="42" t="n">
        <f aca="false">IF(ISNUMBER(MATCH(E132,Product_Master!$A$2:$A$9,0)),0,1)</f>
        <v>0</v>
      </c>
      <c r="R132" s="42" t="n">
        <f aca="false">IF(ISNUMBER(MATCH(D132,Customer_Master!$A$2:$A$49,0)),0,1)</f>
        <v>0</v>
      </c>
      <c r="S132" s="42" t="n">
        <f aca="false">IF(ISNUMBER(MATCH(B132,Calendar!$A$2:$A$25,0)),0,1)</f>
        <v>0</v>
      </c>
      <c r="T132" s="42" t="n">
        <f aca="false">IF(COUNTIF(Sales_Transactions!$A$2:$A$865,A132)&gt;1,1,0)</f>
        <v>0</v>
      </c>
      <c r="U132" s="42" t="n">
        <f aca="false">IF(OR(ABS(Sales_Transactions!F132*Sales_Transactions!G132-Sales_Transactions!I132)&gt;0.01,ABS(Sales_Transactions!F132*Sales_Transactions!H132-Sales_Transactions!J132)&gt;0.01,ABS(Sales_Transactions!I132-Sales_Transactions!J132-Sales_Transactions!K132)&gt;0.01),1,0)</f>
        <v>0</v>
      </c>
      <c r="V132" s="42" t="n">
        <f aca="false">IF(C132&lt;&gt;L132,1,0)</f>
        <v>0</v>
      </c>
      <c r="W132" s="42" t="n">
        <f aca="false">IF(SUM(Q132:V132)&gt;0,1,0)</f>
        <v>0</v>
      </c>
    </row>
    <row r="133" customFormat="false" ht="15" hidden="false" customHeight="false" outlineLevel="0" collapsed="false">
      <c r="A133" s="42" t="str">
        <f aca="false">Sales_Transactions!A133</f>
        <v>INV-04-024</v>
      </c>
      <c r="B133" s="42" t="str">
        <f aca="false">Sales_Transactions!B133</f>
        <v>2025-04</v>
      </c>
      <c r="C133" s="42" t="str">
        <f aca="false">Sales_Transactions!C133</f>
        <v>Actual</v>
      </c>
      <c r="D133" s="42" t="str">
        <f aca="false">Sales_Transactions!D133</f>
        <v>C027</v>
      </c>
      <c r="E133" s="42" t="str">
        <f aca="false">Sales_Transactions!E133</f>
        <v>P007</v>
      </c>
      <c r="F133" s="42" t="str">
        <f aca="false">IFERROR(INDEX(Customer_Master!$C$2:$C$49,MATCH(D133,Customer_Master!$A$2:$A$49,0)),"UNMATCHED")</f>
        <v>West</v>
      </c>
      <c r="G133" s="42" t="str">
        <f aca="false">IFERROR(INDEX(Customer_Master!$D$2:$D$49,MATCH(D133,Customer_Master!$A$2:$A$49,0)),"UNMATCHED")</f>
        <v>Retail</v>
      </c>
      <c r="H133" s="42" t="str">
        <f aca="false">IFERROR(INDEX(Product_Master!$C$2:$C$9,MATCH(E133,Product_Master!$A$2:$A$9,0)),"UNMATCHED")</f>
        <v>Home Care</v>
      </c>
      <c r="I133" s="42" t="str">
        <f aca="false">IFERROR(INDEX(Product_Master!$B$2:$B$9,MATCH(E133,Product_Master!$A$2:$A$9,0)),"UNMATCHED")</f>
        <v>Floor Cleaner</v>
      </c>
      <c r="J133" s="42" t="n">
        <f aca="false">IFERROR(INDEX(Calendar!$B$2:$B$25,MATCH(B133,Calendar!$A$2:$A$25,0)),0)</f>
        <v>2025</v>
      </c>
      <c r="K133" s="42" t="n">
        <f aca="false">IFERROR(VALUE(RIGHT(B133,2)),0)</f>
        <v>4</v>
      </c>
      <c r="L133" s="42" t="str">
        <f aca="false">IFERROR(INDEX(Calendar!$E$2:$E$25,MATCH(B133,Calendar!$A$2:$A$25,0)),"UNMATCHED")</f>
        <v>Actual</v>
      </c>
      <c r="M133" s="42" t="n">
        <f aca="false">Sales_Transactions!F133</f>
        <v>227</v>
      </c>
      <c r="N133" s="52" t="n">
        <f aca="false">Sales_Transactions!I133</f>
        <v>40353.79</v>
      </c>
      <c r="O133" s="52" t="n">
        <f aca="false">Sales_Transactions!J133</f>
        <v>25961.99</v>
      </c>
      <c r="P133" s="52" t="n">
        <f aca="false">Sales_Transactions!K133</f>
        <v>14391.8</v>
      </c>
      <c r="Q133" s="42" t="n">
        <f aca="false">IF(ISNUMBER(MATCH(E133,Product_Master!$A$2:$A$9,0)),0,1)</f>
        <v>0</v>
      </c>
      <c r="R133" s="42" t="n">
        <f aca="false">IF(ISNUMBER(MATCH(D133,Customer_Master!$A$2:$A$49,0)),0,1)</f>
        <v>0</v>
      </c>
      <c r="S133" s="42" t="n">
        <f aca="false">IF(ISNUMBER(MATCH(B133,Calendar!$A$2:$A$25,0)),0,1)</f>
        <v>0</v>
      </c>
      <c r="T133" s="42" t="n">
        <f aca="false">IF(COUNTIF(Sales_Transactions!$A$2:$A$865,A133)&gt;1,1,0)</f>
        <v>0</v>
      </c>
      <c r="U133" s="42" t="n">
        <f aca="false">IF(OR(ABS(Sales_Transactions!F133*Sales_Transactions!G133-Sales_Transactions!I133)&gt;0.01,ABS(Sales_Transactions!F133*Sales_Transactions!H133-Sales_Transactions!J133)&gt;0.01,ABS(Sales_Transactions!I133-Sales_Transactions!J133-Sales_Transactions!K133)&gt;0.01),1,0)</f>
        <v>0</v>
      </c>
      <c r="V133" s="42" t="n">
        <f aca="false">IF(C133&lt;&gt;L133,1,0)</f>
        <v>0</v>
      </c>
      <c r="W133" s="42" t="n">
        <f aca="false">IF(SUM(Q133:V133)&gt;0,1,0)</f>
        <v>0</v>
      </c>
    </row>
    <row r="134" customFormat="false" ht="15" hidden="false" customHeight="false" outlineLevel="0" collapsed="false">
      <c r="A134" s="42" t="str">
        <f aca="false">Sales_Transactions!A134</f>
        <v>INV-04-025</v>
      </c>
      <c r="B134" s="42" t="str">
        <f aca="false">Sales_Transactions!B134</f>
        <v>2025-04</v>
      </c>
      <c r="C134" s="42" t="str">
        <f aca="false">Sales_Transactions!C134</f>
        <v>Actual</v>
      </c>
      <c r="D134" s="42" t="str">
        <f aca="false">Sales_Transactions!D134</f>
        <v>C034</v>
      </c>
      <c r="E134" s="42" t="str">
        <f aca="false">Sales_Transactions!E134</f>
        <v>P004</v>
      </c>
      <c r="F134" s="42" t="str">
        <f aca="false">IFERROR(INDEX(Customer_Master!$C$2:$C$49,MATCH(D134,Customer_Master!$A$2:$A$49,0)),"UNMATCHED")</f>
        <v>North</v>
      </c>
      <c r="G134" s="42" t="str">
        <f aca="false">IFERROR(INDEX(Customer_Master!$D$2:$D$49,MATCH(D134,Customer_Master!$A$2:$A$49,0)),"UNMATCHED")</f>
        <v>Distributor</v>
      </c>
      <c r="H134" s="42" t="str">
        <f aca="false">IFERROR(INDEX(Product_Master!$C$2:$C$9,MATCH(E134,Product_Master!$A$2:$A$9,0)),"UNMATCHED")</f>
        <v>Personal Care</v>
      </c>
      <c r="I134" s="42" t="str">
        <f aca="false">IFERROR(INDEX(Product_Master!$B$2:$B$9,MATCH(E134,Product_Master!$A$2:$A$9,0)),"UNMATCHED")</f>
        <v>Soap 4-pack</v>
      </c>
      <c r="J134" s="42" t="n">
        <f aca="false">IFERROR(INDEX(Calendar!$B$2:$B$25,MATCH(B134,Calendar!$A$2:$A$25,0)),0)</f>
        <v>2025</v>
      </c>
      <c r="K134" s="42" t="n">
        <f aca="false">IFERROR(VALUE(RIGHT(B134,2)),0)</f>
        <v>4</v>
      </c>
      <c r="L134" s="42" t="str">
        <f aca="false">IFERROR(INDEX(Calendar!$E$2:$E$25,MATCH(B134,Calendar!$A$2:$A$25,0)),"UNMATCHED")</f>
        <v>Actual</v>
      </c>
      <c r="M134" s="42" t="n">
        <f aca="false">Sales_Transactions!F134</f>
        <v>432</v>
      </c>
      <c r="N134" s="52" t="n">
        <f aca="false">Sales_Transactions!I134</f>
        <v>76926.24</v>
      </c>
      <c r="O134" s="52" t="n">
        <f aca="false">Sales_Transactions!J134</f>
        <v>42482.88</v>
      </c>
      <c r="P134" s="52" t="n">
        <f aca="false">Sales_Transactions!K134</f>
        <v>34443.36</v>
      </c>
      <c r="Q134" s="42" t="n">
        <f aca="false">IF(ISNUMBER(MATCH(E134,Product_Master!$A$2:$A$9,0)),0,1)</f>
        <v>0</v>
      </c>
      <c r="R134" s="42" t="n">
        <f aca="false">IF(ISNUMBER(MATCH(D134,Customer_Master!$A$2:$A$49,0)),0,1)</f>
        <v>0</v>
      </c>
      <c r="S134" s="42" t="n">
        <f aca="false">IF(ISNUMBER(MATCH(B134,Calendar!$A$2:$A$25,0)),0,1)</f>
        <v>0</v>
      </c>
      <c r="T134" s="42" t="n">
        <f aca="false">IF(COUNTIF(Sales_Transactions!$A$2:$A$865,A134)&gt;1,1,0)</f>
        <v>0</v>
      </c>
      <c r="U134" s="42" t="n">
        <f aca="false">IF(OR(ABS(Sales_Transactions!F134*Sales_Transactions!G134-Sales_Transactions!I134)&gt;0.01,ABS(Sales_Transactions!F134*Sales_Transactions!H134-Sales_Transactions!J134)&gt;0.01,ABS(Sales_Transactions!I134-Sales_Transactions!J134-Sales_Transactions!K134)&gt;0.01),1,0)</f>
        <v>0</v>
      </c>
      <c r="V134" s="42" t="n">
        <f aca="false">IF(C134&lt;&gt;L134,1,0)</f>
        <v>0</v>
      </c>
      <c r="W134" s="42" t="n">
        <f aca="false">IF(SUM(Q134:V134)&gt;0,1,0)</f>
        <v>0</v>
      </c>
    </row>
    <row r="135" customFormat="false" ht="15" hidden="false" customHeight="false" outlineLevel="0" collapsed="false">
      <c r="A135" s="42" t="str">
        <f aca="false">Sales_Transactions!A135</f>
        <v>INV-04-026</v>
      </c>
      <c r="B135" s="42" t="str">
        <f aca="false">Sales_Transactions!B135</f>
        <v>2025-04</v>
      </c>
      <c r="C135" s="42" t="str">
        <f aca="false">Sales_Transactions!C135</f>
        <v>Actual</v>
      </c>
      <c r="D135" s="42" t="str">
        <f aca="false">Sales_Transactions!D135</f>
        <v>C041</v>
      </c>
      <c r="E135" s="42" t="str">
        <f aca="false">Sales_Transactions!E135</f>
        <v>P001</v>
      </c>
      <c r="F135" s="42" t="str">
        <f aca="false">IFERROR(INDEX(Customer_Master!$C$2:$C$49,MATCH(D135,Customer_Master!$A$2:$A$49,0)),"UNMATCHED")</f>
        <v>South</v>
      </c>
      <c r="G135" s="42" t="str">
        <f aca="false">IFERROR(INDEX(Customer_Master!$D$2:$D$49,MATCH(D135,Customer_Master!$A$2:$A$49,0)),"UNMATCHED")</f>
        <v>Modern Trade</v>
      </c>
      <c r="H135" s="42" t="str">
        <f aca="false">IFERROR(INDEX(Product_Master!$C$2:$C$9,MATCH(E135,Product_Master!$A$2:$A$9,0)),"UNMATCHED")</f>
        <v>Home Care</v>
      </c>
      <c r="I135" s="42" t="str">
        <f aca="false">IFERROR(INDEX(Product_Master!$B$2:$B$9,MATCH(E135,Product_Master!$A$2:$A$9,0)),"UNMATCHED")</f>
        <v>Detergent 1kg</v>
      </c>
      <c r="J135" s="42" t="n">
        <f aca="false">IFERROR(INDEX(Calendar!$B$2:$B$25,MATCH(B135,Calendar!$A$2:$A$25,0)),0)</f>
        <v>2025</v>
      </c>
      <c r="K135" s="42" t="n">
        <f aca="false">IFERROR(VALUE(RIGHT(B135,2)),0)</f>
        <v>4</v>
      </c>
      <c r="L135" s="42" t="str">
        <f aca="false">IFERROR(INDEX(Calendar!$E$2:$E$25,MATCH(B135,Calendar!$A$2:$A$25,0)),"UNMATCHED")</f>
        <v>Actual</v>
      </c>
      <c r="M135" s="42" t="n">
        <f aca="false">Sales_Transactions!F135</f>
        <v>99</v>
      </c>
      <c r="N135" s="52" t="n">
        <f aca="false">Sales_Transactions!I135</f>
        <v>18814.95</v>
      </c>
      <c r="O135" s="52" t="n">
        <f aca="false">Sales_Transactions!J135</f>
        <v>14066.91</v>
      </c>
      <c r="P135" s="52" t="n">
        <f aca="false">Sales_Transactions!K135</f>
        <v>4748.04</v>
      </c>
      <c r="Q135" s="42" t="n">
        <f aca="false">IF(ISNUMBER(MATCH(E135,Product_Master!$A$2:$A$9,0)),0,1)</f>
        <v>0</v>
      </c>
      <c r="R135" s="42" t="n">
        <f aca="false">IF(ISNUMBER(MATCH(D135,Customer_Master!$A$2:$A$49,0)),0,1)</f>
        <v>0</v>
      </c>
      <c r="S135" s="42" t="n">
        <f aca="false">IF(ISNUMBER(MATCH(B135,Calendar!$A$2:$A$25,0)),0,1)</f>
        <v>0</v>
      </c>
      <c r="T135" s="42" t="n">
        <f aca="false">IF(COUNTIF(Sales_Transactions!$A$2:$A$865,A135)&gt;1,1,0)</f>
        <v>0</v>
      </c>
      <c r="U135" s="42" t="n">
        <f aca="false">IF(OR(ABS(Sales_Transactions!F135*Sales_Transactions!G135-Sales_Transactions!I135)&gt;0.01,ABS(Sales_Transactions!F135*Sales_Transactions!H135-Sales_Transactions!J135)&gt;0.01,ABS(Sales_Transactions!I135-Sales_Transactions!J135-Sales_Transactions!K135)&gt;0.01),1,0)</f>
        <v>0</v>
      </c>
      <c r="V135" s="42" t="n">
        <f aca="false">IF(C135&lt;&gt;L135,1,0)</f>
        <v>0</v>
      </c>
      <c r="W135" s="42" t="n">
        <f aca="false">IF(SUM(Q135:V135)&gt;0,1,0)</f>
        <v>0</v>
      </c>
    </row>
    <row r="136" customFormat="false" ht="15" hidden="false" customHeight="false" outlineLevel="0" collapsed="false">
      <c r="A136" s="42" t="str">
        <f aca="false">Sales_Transactions!A136</f>
        <v>INV-04-027</v>
      </c>
      <c r="B136" s="42" t="str">
        <f aca="false">Sales_Transactions!B136</f>
        <v>2025-04</v>
      </c>
      <c r="C136" s="42" t="str">
        <f aca="false">Sales_Transactions!C136</f>
        <v>Actual</v>
      </c>
      <c r="D136" s="42" t="str">
        <f aca="false">Sales_Transactions!D136</f>
        <v>C048</v>
      </c>
      <c r="E136" s="42" t="str">
        <f aca="false">Sales_Transactions!E136</f>
        <v>P006</v>
      </c>
      <c r="F136" s="42" t="str">
        <f aca="false">IFERROR(INDEX(Customer_Master!$C$2:$C$49,MATCH(D136,Customer_Master!$A$2:$A$49,0)),"UNMATCHED")</f>
        <v>East</v>
      </c>
      <c r="G136" s="42" t="str">
        <f aca="false">IFERROR(INDEX(Customer_Master!$D$2:$D$49,MATCH(D136,Customer_Master!$A$2:$A$49,0)),"UNMATCHED")</f>
        <v>Retail</v>
      </c>
      <c r="H136" s="42" t="str">
        <f aca="false">IFERROR(INDEX(Product_Master!$C$2:$C$9,MATCH(E136,Product_Master!$A$2:$A$9,0)),"UNMATCHED")</f>
        <v>Foods</v>
      </c>
      <c r="I136" s="42" t="str">
        <f aca="false">IFERROR(INDEX(Product_Master!$B$2:$B$9,MATCH(E136,Product_Master!$A$2:$A$9,0)),"UNMATCHED")</f>
        <v>Breakfast Cereal</v>
      </c>
      <c r="J136" s="42" t="n">
        <f aca="false">IFERROR(INDEX(Calendar!$B$2:$B$25,MATCH(B136,Calendar!$A$2:$A$25,0)),0)</f>
        <v>2025</v>
      </c>
      <c r="K136" s="42" t="n">
        <f aca="false">IFERROR(VALUE(RIGHT(B136,2)),0)</f>
        <v>4</v>
      </c>
      <c r="L136" s="42" t="str">
        <f aca="false">IFERROR(INDEX(Calendar!$E$2:$E$25,MATCH(B136,Calendar!$A$2:$A$25,0)),"UNMATCHED")</f>
        <v>Actual</v>
      </c>
      <c r="M136" s="42" t="n">
        <f aca="false">Sales_Transactions!F136</f>
        <v>176</v>
      </c>
      <c r="N136" s="52" t="n">
        <f aca="false">Sales_Transactions!I136</f>
        <v>43331.2</v>
      </c>
      <c r="O136" s="52" t="n">
        <f aca="false">Sales_Transactions!J136</f>
        <v>29597.92</v>
      </c>
      <c r="P136" s="52" t="n">
        <f aca="false">Sales_Transactions!K136</f>
        <v>13733.28</v>
      </c>
      <c r="Q136" s="42" t="n">
        <f aca="false">IF(ISNUMBER(MATCH(E136,Product_Master!$A$2:$A$9,0)),0,1)</f>
        <v>0</v>
      </c>
      <c r="R136" s="42" t="n">
        <f aca="false">IF(ISNUMBER(MATCH(D136,Customer_Master!$A$2:$A$49,0)),0,1)</f>
        <v>0</v>
      </c>
      <c r="S136" s="42" t="n">
        <f aca="false">IF(ISNUMBER(MATCH(B136,Calendar!$A$2:$A$25,0)),0,1)</f>
        <v>0</v>
      </c>
      <c r="T136" s="42" t="n">
        <f aca="false">IF(COUNTIF(Sales_Transactions!$A$2:$A$865,A136)&gt;1,1,0)</f>
        <v>0</v>
      </c>
      <c r="U136" s="42" t="n">
        <f aca="false">IF(OR(ABS(Sales_Transactions!F136*Sales_Transactions!G136-Sales_Transactions!I136)&gt;0.01,ABS(Sales_Transactions!F136*Sales_Transactions!H136-Sales_Transactions!J136)&gt;0.01,ABS(Sales_Transactions!I136-Sales_Transactions!J136-Sales_Transactions!K136)&gt;0.01),1,0)</f>
        <v>0</v>
      </c>
      <c r="V136" s="42" t="n">
        <f aca="false">IF(C136&lt;&gt;L136,1,0)</f>
        <v>0</v>
      </c>
      <c r="W136" s="42" t="n">
        <f aca="false">IF(SUM(Q136:V136)&gt;0,1,0)</f>
        <v>0</v>
      </c>
    </row>
    <row r="137" customFormat="false" ht="15" hidden="false" customHeight="false" outlineLevel="0" collapsed="false">
      <c r="A137" s="42" t="str">
        <f aca="false">Sales_Transactions!A137</f>
        <v>INV-04-028</v>
      </c>
      <c r="B137" s="42" t="str">
        <f aca="false">Sales_Transactions!B137</f>
        <v>2025-04</v>
      </c>
      <c r="C137" s="42" t="str">
        <f aca="false">Sales_Transactions!C137</f>
        <v>Actual</v>
      </c>
      <c r="D137" s="42" t="str">
        <f aca="false">Sales_Transactions!D137</f>
        <v>C007</v>
      </c>
      <c r="E137" s="42" t="str">
        <f aca="false">Sales_Transactions!E137</f>
        <v>P003</v>
      </c>
      <c r="F137" s="42" t="str">
        <f aca="false">IFERROR(INDEX(Customer_Master!$C$2:$C$49,MATCH(D137,Customer_Master!$A$2:$A$49,0)),"UNMATCHED")</f>
        <v>West</v>
      </c>
      <c r="G137" s="42" t="str">
        <f aca="false">IFERROR(INDEX(Customer_Master!$D$2:$D$49,MATCH(D137,Customer_Master!$A$2:$A$49,0)),"UNMATCHED")</f>
        <v>Distributor</v>
      </c>
      <c r="H137" s="42" t="str">
        <f aca="false">IFERROR(INDEX(Product_Master!$C$2:$C$9,MATCH(E137,Product_Master!$A$2:$A$9,0)),"UNMATCHED")</f>
        <v>Personal Care</v>
      </c>
      <c r="I137" s="42" t="str">
        <f aca="false">IFERROR(INDEX(Product_Master!$B$2:$B$9,MATCH(E137,Product_Master!$A$2:$A$9,0)),"UNMATCHED")</f>
        <v>Shampoo 400ml</v>
      </c>
      <c r="J137" s="42" t="n">
        <f aca="false">IFERROR(INDEX(Calendar!$B$2:$B$25,MATCH(B137,Calendar!$A$2:$A$25,0)),0)</f>
        <v>2025</v>
      </c>
      <c r="K137" s="42" t="n">
        <f aca="false">IFERROR(VALUE(RIGHT(B137,2)),0)</f>
        <v>4</v>
      </c>
      <c r="L137" s="42" t="str">
        <f aca="false">IFERROR(INDEX(Calendar!$E$2:$E$25,MATCH(B137,Calendar!$A$2:$A$25,0)),"UNMATCHED")</f>
        <v>Actual</v>
      </c>
      <c r="M137" s="42" t="n">
        <f aca="false">Sales_Transactions!F137</f>
        <v>104</v>
      </c>
      <c r="N137" s="52" t="n">
        <f aca="false">Sales_Transactions!I137</f>
        <v>26327.6</v>
      </c>
      <c r="O137" s="52" t="n">
        <f aca="false">Sales_Transactions!J137</f>
        <v>18000.32</v>
      </c>
      <c r="P137" s="52" t="n">
        <f aca="false">Sales_Transactions!K137</f>
        <v>8327.28</v>
      </c>
      <c r="Q137" s="42" t="n">
        <f aca="false">IF(ISNUMBER(MATCH(E137,Product_Master!$A$2:$A$9,0)),0,1)</f>
        <v>0</v>
      </c>
      <c r="R137" s="42" t="n">
        <f aca="false">IF(ISNUMBER(MATCH(D137,Customer_Master!$A$2:$A$49,0)),0,1)</f>
        <v>0</v>
      </c>
      <c r="S137" s="42" t="n">
        <f aca="false">IF(ISNUMBER(MATCH(B137,Calendar!$A$2:$A$25,0)),0,1)</f>
        <v>0</v>
      </c>
      <c r="T137" s="42" t="n">
        <f aca="false">IF(COUNTIF(Sales_Transactions!$A$2:$A$865,A137)&gt;1,1,0)</f>
        <v>0</v>
      </c>
      <c r="U137" s="42" t="n">
        <f aca="false">IF(OR(ABS(Sales_Transactions!F137*Sales_Transactions!G137-Sales_Transactions!I137)&gt;0.01,ABS(Sales_Transactions!F137*Sales_Transactions!H137-Sales_Transactions!J137)&gt;0.01,ABS(Sales_Transactions!I137-Sales_Transactions!J137-Sales_Transactions!K137)&gt;0.01),1,0)</f>
        <v>0</v>
      </c>
      <c r="V137" s="42" t="n">
        <f aca="false">IF(C137&lt;&gt;L137,1,0)</f>
        <v>0</v>
      </c>
      <c r="W137" s="42" t="n">
        <f aca="false">IF(SUM(Q137:V137)&gt;0,1,0)</f>
        <v>0</v>
      </c>
    </row>
    <row r="138" customFormat="false" ht="15" hidden="false" customHeight="false" outlineLevel="0" collapsed="false">
      <c r="A138" s="42" t="str">
        <f aca="false">Sales_Transactions!A138</f>
        <v>INV-04-029</v>
      </c>
      <c r="B138" s="42" t="str">
        <f aca="false">Sales_Transactions!B138</f>
        <v>2025-04</v>
      </c>
      <c r="C138" s="42" t="str">
        <f aca="false">Sales_Transactions!C138</f>
        <v>Actual</v>
      </c>
      <c r="D138" s="42" t="str">
        <f aca="false">Sales_Transactions!D138</f>
        <v>C014</v>
      </c>
      <c r="E138" s="42" t="str">
        <f aca="false">Sales_Transactions!E138</f>
        <v>P008</v>
      </c>
      <c r="F138" s="42" t="str">
        <f aca="false">IFERROR(INDEX(Customer_Master!$C$2:$C$49,MATCH(D138,Customer_Master!$A$2:$A$49,0)),"UNMATCHED")</f>
        <v>North</v>
      </c>
      <c r="G138" s="42" t="str">
        <f aca="false">IFERROR(INDEX(Customer_Master!$D$2:$D$49,MATCH(D138,Customer_Master!$A$2:$A$49,0)),"UNMATCHED")</f>
        <v>Modern Trade</v>
      </c>
      <c r="H138" s="42" t="str">
        <f aca="false">IFERROR(INDEX(Product_Master!$C$2:$C$9,MATCH(E138,Product_Master!$A$2:$A$9,0)),"UNMATCHED")</f>
        <v>Personal Care</v>
      </c>
      <c r="I138" s="42" t="str">
        <f aca="false">IFERROR(INDEX(Product_Master!$B$2:$B$9,MATCH(E138,Product_Master!$A$2:$A$9,0)),"UNMATCHED")</f>
        <v>Body Lotion</v>
      </c>
      <c r="J138" s="42" t="n">
        <f aca="false">IFERROR(INDEX(Calendar!$B$2:$B$25,MATCH(B138,Calendar!$A$2:$A$25,0)),0)</f>
        <v>2025</v>
      </c>
      <c r="K138" s="42" t="n">
        <f aca="false">IFERROR(VALUE(RIGHT(B138,2)),0)</f>
        <v>4</v>
      </c>
      <c r="L138" s="42" t="str">
        <f aca="false">IFERROR(INDEX(Calendar!$E$2:$E$25,MATCH(B138,Calendar!$A$2:$A$25,0)),"UNMATCHED")</f>
        <v>Actual</v>
      </c>
      <c r="M138" s="42" t="n">
        <f aca="false">Sales_Transactions!F138</f>
        <v>458</v>
      </c>
      <c r="N138" s="52" t="n">
        <f aca="false">Sales_Transactions!I138</f>
        <v>147695.84</v>
      </c>
      <c r="O138" s="52" t="n">
        <f aca="false">Sales_Transactions!J138</f>
        <v>93661</v>
      </c>
      <c r="P138" s="52" t="n">
        <f aca="false">Sales_Transactions!K138</f>
        <v>54034.84</v>
      </c>
      <c r="Q138" s="42" t="n">
        <f aca="false">IF(ISNUMBER(MATCH(E138,Product_Master!$A$2:$A$9,0)),0,1)</f>
        <v>0</v>
      </c>
      <c r="R138" s="42" t="n">
        <f aca="false">IF(ISNUMBER(MATCH(D138,Customer_Master!$A$2:$A$49,0)),0,1)</f>
        <v>0</v>
      </c>
      <c r="S138" s="42" t="n">
        <f aca="false">IF(ISNUMBER(MATCH(B138,Calendar!$A$2:$A$25,0)),0,1)</f>
        <v>0</v>
      </c>
      <c r="T138" s="42" t="n">
        <f aca="false">IF(COUNTIF(Sales_Transactions!$A$2:$A$865,A138)&gt;1,1,0)</f>
        <v>0</v>
      </c>
      <c r="U138" s="42" t="n">
        <f aca="false">IF(OR(ABS(Sales_Transactions!F138*Sales_Transactions!G138-Sales_Transactions!I138)&gt;0.01,ABS(Sales_Transactions!F138*Sales_Transactions!H138-Sales_Transactions!J138)&gt;0.01,ABS(Sales_Transactions!I138-Sales_Transactions!J138-Sales_Transactions!K138)&gt;0.01),1,0)</f>
        <v>0</v>
      </c>
      <c r="V138" s="42" t="n">
        <f aca="false">IF(C138&lt;&gt;L138,1,0)</f>
        <v>0</v>
      </c>
      <c r="W138" s="42" t="n">
        <f aca="false">IF(SUM(Q138:V138)&gt;0,1,0)</f>
        <v>0</v>
      </c>
    </row>
    <row r="139" customFormat="false" ht="15" hidden="false" customHeight="false" outlineLevel="0" collapsed="false">
      <c r="A139" s="42" t="str">
        <f aca="false">Sales_Transactions!A139</f>
        <v>INV-04-030</v>
      </c>
      <c r="B139" s="42" t="str">
        <f aca="false">Sales_Transactions!B139</f>
        <v>2025-04</v>
      </c>
      <c r="C139" s="42" t="str">
        <f aca="false">Sales_Transactions!C139</f>
        <v>Actual</v>
      </c>
      <c r="D139" s="42" t="str">
        <f aca="false">Sales_Transactions!D139</f>
        <v>C021</v>
      </c>
      <c r="E139" s="42" t="str">
        <f aca="false">Sales_Transactions!E139</f>
        <v>P005</v>
      </c>
      <c r="F139" s="42" t="str">
        <f aca="false">IFERROR(INDEX(Customer_Master!$C$2:$C$49,MATCH(D139,Customer_Master!$A$2:$A$49,0)),"UNMATCHED")</f>
        <v>South</v>
      </c>
      <c r="G139" s="42" t="str">
        <f aca="false">IFERROR(INDEX(Customer_Master!$D$2:$D$49,MATCH(D139,Customer_Master!$A$2:$A$49,0)),"UNMATCHED")</f>
        <v>Retail</v>
      </c>
      <c r="H139" s="42" t="str">
        <f aca="false">IFERROR(INDEX(Product_Master!$C$2:$C$9,MATCH(E139,Product_Master!$A$2:$A$9,0)),"UNMATCHED")</f>
        <v>Foods</v>
      </c>
      <c r="I139" s="42" t="str">
        <f aca="false">IFERROR(INDEX(Product_Master!$B$2:$B$9,MATCH(E139,Product_Master!$A$2:$A$9,0)),"UNMATCHED")</f>
        <v>Biscuits 500g</v>
      </c>
      <c r="J139" s="42" t="n">
        <f aca="false">IFERROR(INDEX(Calendar!$B$2:$B$25,MATCH(B139,Calendar!$A$2:$A$25,0)),0)</f>
        <v>2025</v>
      </c>
      <c r="K139" s="42" t="n">
        <f aca="false">IFERROR(VALUE(RIGHT(B139,2)),0)</f>
        <v>4</v>
      </c>
      <c r="L139" s="42" t="str">
        <f aca="false">IFERROR(INDEX(Calendar!$E$2:$E$25,MATCH(B139,Calendar!$A$2:$A$25,0)),"UNMATCHED")</f>
        <v>Actual</v>
      </c>
      <c r="M139" s="42" t="n">
        <f aca="false">Sales_Transactions!F139</f>
        <v>346</v>
      </c>
      <c r="N139" s="52" t="n">
        <f aca="false">Sales_Transactions!I139</f>
        <v>34444.3</v>
      </c>
      <c r="O139" s="52" t="n">
        <f aca="false">Sales_Transactions!J139</f>
        <v>24756.3</v>
      </c>
      <c r="P139" s="52" t="n">
        <f aca="false">Sales_Transactions!K139</f>
        <v>9688</v>
      </c>
      <c r="Q139" s="42" t="n">
        <f aca="false">IF(ISNUMBER(MATCH(E139,Product_Master!$A$2:$A$9,0)),0,1)</f>
        <v>0</v>
      </c>
      <c r="R139" s="42" t="n">
        <f aca="false">IF(ISNUMBER(MATCH(D139,Customer_Master!$A$2:$A$49,0)),0,1)</f>
        <v>0</v>
      </c>
      <c r="S139" s="42" t="n">
        <f aca="false">IF(ISNUMBER(MATCH(B139,Calendar!$A$2:$A$25,0)),0,1)</f>
        <v>0</v>
      </c>
      <c r="T139" s="42" t="n">
        <f aca="false">IF(COUNTIF(Sales_Transactions!$A$2:$A$865,A139)&gt;1,1,0)</f>
        <v>0</v>
      </c>
      <c r="U139" s="42" t="n">
        <f aca="false">IF(OR(ABS(Sales_Transactions!F139*Sales_Transactions!G139-Sales_Transactions!I139)&gt;0.01,ABS(Sales_Transactions!F139*Sales_Transactions!H139-Sales_Transactions!J139)&gt;0.01,ABS(Sales_Transactions!I139-Sales_Transactions!J139-Sales_Transactions!K139)&gt;0.01),1,0)</f>
        <v>0</v>
      </c>
      <c r="V139" s="42" t="n">
        <f aca="false">IF(C139&lt;&gt;L139,1,0)</f>
        <v>0</v>
      </c>
      <c r="W139" s="42" t="n">
        <f aca="false">IF(SUM(Q139:V139)&gt;0,1,0)</f>
        <v>0</v>
      </c>
    </row>
    <row r="140" customFormat="false" ht="15" hidden="false" customHeight="false" outlineLevel="0" collapsed="false">
      <c r="A140" s="42" t="str">
        <f aca="false">Sales_Transactions!A140</f>
        <v>INV-04-031</v>
      </c>
      <c r="B140" s="42" t="str">
        <f aca="false">Sales_Transactions!B140</f>
        <v>2025-04</v>
      </c>
      <c r="C140" s="42" t="str">
        <f aca="false">Sales_Transactions!C140</f>
        <v>Actual</v>
      </c>
      <c r="D140" s="42" t="str">
        <f aca="false">Sales_Transactions!D140</f>
        <v>C028</v>
      </c>
      <c r="E140" s="42" t="str">
        <f aca="false">Sales_Transactions!E140</f>
        <v>P002</v>
      </c>
      <c r="F140" s="42" t="str">
        <f aca="false">IFERROR(INDEX(Customer_Master!$C$2:$C$49,MATCH(D140,Customer_Master!$A$2:$A$49,0)),"UNMATCHED")</f>
        <v>East</v>
      </c>
      <c r="G140" s="42" t="str">
        <f aca="false">IFERROR(INDEX(Customer_Master!$D$2:$D$49,MATCH(D140,Customer_Master!$A$2:$A$49,0)),"UNMATCHED")</f>
        <v>Distributor</v>
      </c>
      <c r="H140" s="42" t="str">
        <f aca="false">IFERROR(INDEX(Product_Master!$C$2:$C$9,MATCH(E140,Product_Master!$A$2:$A$9,0)),"UNMATCHED")</f>
        <v>Home Care</v>
      </c>
      <c r="I140" s="42" t="str">
        <f aca="false">IFERROR(INDEX(Product_Master!$B$2:$B$9,MATCH(E140,Product_Master!$A$2:$A$9,0)),"UNMATCHED")</f>
        <v>Dishwash Gel</v>
      </c>
      <c r="J140" s="42" t="n">
        <f aca="false">IFERROR(INDEX(Calendar!$B$2:$B$25,MATCH(B140,Calendar!$A$2:$A$25,0)),0)</f>
        <v>2025</v>
      </c>
      <c r="K140" s="42" t="n">
        <f aca="false">IFERROR(VALUE(RIGHT(B140,2)),0)</f>
        <v>4</v>
      </c>
      <c r="L140" s="42" t="str">
        <f aca="false">IFERROR(INDEX(Calendar!$E$2:$E$25,MATCH(B140,Calendar!$A$2:$A$25,0)),"UNMATCHED")</f>
        <v>Actual</v>
      </c>
      <c r="M140" s="42" t="n">
        <f aca="false">Sales_Transactions!F140</f>
        <v>182</v>
      </c>
      <c r="N140" s="52" t="n">
        <f aca="false">Sales_Transactions!I140</f>
        <v>24360.7</v>
      </c>
      <c r="O140" s="52" t="n">
        <f aca="false">Sales_Transactions!J140</f>
        <v>15595.58</v>
      </c>
      <c r="P140" s="52" t="n">
        <f aca="false">Sales_Transactions!K140</f>
        <v>8765.12</v>
      </c>
      <c r="Q140" s="42" t="n">
        <f aca="false">IF(ISNUMBER(MATCH(E140,Product_Master!$A$2:$A$9,0)),0,1)</f>
        <v>0</v>
      </c>
      <c r="R140" s="42" t="n">
        <f aca="false">IF(ISNUMBER(MATCH(D140,Customer_Master!$A$2:$A$49,0)),0,1)</f>
        <v>0</v>
      </c>
      <c r="S140" s="42" t="n">
        <f aca="false">IF(ISNUMBER(MATCH(B140,Calendar!$A$2:$A$25,0)),0,1)</f>
        <v>0</v>
      </c>
      <c r="T140" s="42" t="n">
        <f aca="false">IF(COUNTIF(Sales_Transactions!$A$2:$A$865,A140)&gt;1,1,0)</f>
        <v>0</v>
      </c>
      <c r="U140" s="42" t="n">
        <f aca="false">IF(OR(ABS(Sales_Transactions!F140*Sales_Transactions!G140-Sales_Transactions!I140)&gt;0.01,ABS(Sales_Transactions!F140*Sales_Transactions!H140-Sales_Transactions!J140)&gt;0.01,ABS(Sales_Transactions!I140-Sales_Transactions!J140-Sales_Transactions!K140)&gt;0.01),1,0)</f>
        <v>0</v>
      </c>
      <c r="V140" s="42" t="n">
        <f aca="false">IF(C140&lt;&gt;L140,1,0)</f>
        <v>0</v>
      </c>
      <c r="W140" s="42" t="n">
        <f aca="false">IF(SUM(Q140:V140)&gt;0,1,0)</f>
        <v>0</v>
      </c>
    </row>
    <row r="141" customFormat="false" ht="15" hidden="false" customHeight="false" outlineLevel="0" collapsed="false">
      <c r="A141" s="42" t="str">
        <f aca="false">Sales_Transactions!A141</f>
        <v>INV-04-032</v>
      </c>
      <c r="B141" s="42" t="str">
        <f aca="false">Sales_Transactions!B141</f>
        <v>2025-04</v>
      </c>
      <c r="C141" s="42" t="str">
        <f aca="false">Sales_Transactions!C141</f>
        <v>Actual</v>
      </c>
      <c r="D141" s="42" t="str">
        <f aca="false">Sales_Transactions!D141</f>
        <v>C035</v>
      </c>
      <c r="E141" s="42" t="str">
        <f aca="false">Sales_Transactions!E141</f>
        <v>P007</v>
      </c>
      <c r="F141" s="42" t="str">
        <f aca="false">IFERROR(INDEX(Customer_Master!$C$2:$C$49,MATCH(D141,Customer_Master!$A$2:$A$49,0)),"UNMATCHED")</f>
        <v>West</v>
      </c>
      <c r="G141" s="42" t="str">
        <f aca="false">IFERROR(INDEX(Customer_Master!$D$2:$D$49,MATCH(D141,Customer_Master!$A$2:$A$49,0)),"UNMATCHED")</f>
        <v>Modern Trade</v>
      </c>
      <c r="H141" s="42" t="str">
        <f aca="false">IFERROR(INDEX(Product_Master!$C$2:$C$9,MATCH(E141,Product_Master!$A$2:$A$9,0)),"UNMATCHED")</f>
        <v>Home Care</v>
      </c>
      <c r="I141" s="42" t="str">
        <f aca="false">IFERROR(INDEX(Product_Master!$B$2:$B$9,MATCH(E141,Product_Master!$A$2:$A$9,0)),"UNMATCHED")</f>
        <v>Floor Cleaner</v>
      </c>
      <c r="J141" s="42" t="n">
        <f aca="false">IFERROR(INDEX(Calendar!$B$2:$B$25,MATCH(B141,Calendar!$A$2:$A$25,0)),0)</f>
        <v>2025</v>
      </c>
      <c r="K141" s="42" t="n">
        <f aca="false">IFERROR(VALUE(RIGHT(B141,2)),0)</f>
        <v>4</v>
      </c>
      <c r="L141" s="42" t="str">
        <f aca="false">IFERROR(INDEX(Calendar!$E$2:$E$25,MATCH(B141,Calendar!$A$2:$A$25,0)),"UNMATCHED")</f>
        <v>Actual</v>
      </c>
      <c r="M141" s="42" t="n">
        <f aca="false">Sales_Transactions!F141</f>
        <v>85</v>
      </c>
      <c r="N141" s="52" t="n">
        <f aca="false">Sales_Transactions!I141</f>
        <v>15464.9</v>
      </c>
      <c r="O141" s="52" t="n">
        <f aca="false">Sales_Transactions!J141</f>
        <v>10060.6</v>
      </c>
      <c r="P141" s="52" t="n">
        <f aca="false">Sales_Transactions!K141</f>
        <v>5404.3</v>
      </c>
      <c r="Q141" s="42" t="n">
        <f aca="false">IF(ISNUMBER(MATCH(E141,Product_Master!$A$2:$A$9,0)),0,1)</f>
        <v>0</v>
      </c>
      <c r="R141" s="42" t="n">
        <f aca="false">IF(ISNUMBER(MATCH(D141,Customer_Master!$A$2:$A$49,0)),0,1)</f>
        <v>0</v>
      </c>
      <c r="S141" s="42" t="n">
        <f aca="false">IF(ISNUMBER(MATCH(B141,Calendar!$A$2:$A$25,0)),0,1)</f>
        <v>0</v>
      </c>
      <c r="T141" s="42" t="n">
        <f aca="false">IF(COUNTIF(Sales_Transactions!$A$2:$A$865,A141)&gt;1,1,0)</f>
        <v>0</v>
      </c>
      <c r="U141" s="42" t="n">
        <f aca="false">IF(OR(ABS(Sales_Transactions!F141*Sales_Transactions!G141-Sales_Transactions!I141)&gt;0.01,ABS(Sales_Transactions!F141*Sales_Transactions!H141-Sales_Transactions!J141)&gt;0.01,ABS(Sales_Transactions!I141-Sales_Transactions!J141-Sales_Transactions!K141)&gt;0.01),1,0)</f>
        <v>0</v>
      </c>
      <c r="V141" s="42" t="n">
        <f aca="false">IF(C141&lt;&gt;L141,1,0)</f>
        <v>0</v>
      </c>
      <c r="W141" s="42" t="n">
        <f aca="false">IF(SUM(Q141:V141)&gt;0,1,0)</f>
        <v>0</v>
      </c>
    </row>
    <row r="142" customFormat="false" ht="15" hidden="false" customHeight="false" outlineLevel="0" collapsed="false">
      <c r="A142" s="42" t="str">
        <f aca="false">Sales_Transactions!A142</f>
        <v>INV-04-033</v>
      </c>
      <c r="B142" s="42" t="str">
        <f aca="false">Sales_Transactions!B142</f>
        <v>2025-04</v>
      </c>
      <c r="C142" s="42" t="str">
        <f aca="false">Sales_Transactions!C142</f>
        <v>Actual</v>
      </c>
      <c r="D142" s="42" t="str">
        <f aca="false">Sales_Transactions!D142</f>
        <v>C042</v>
      </c>
      <c r="E142" s="42" t="str">
        <f aca="false">Sales_Transactions!E142</f>
        <v>P004</v>
      </c>
      <c r="F142" s="42" t="str">
        <f aca="false">IFERROR(INDEX(Customer_Master!$C$2:$C$49,MATCH(D142,Customer_Master!$A$2:$A$49,0)),"UNMATCHED")</f>
        <v>North</v>
      </c>
      <c r="G142" s="42" t="str">
        <f aca="false">IFERROR(INDEX(Customer_Master!$D$2:$D$49,MATCH(D142,Customer_Master!$A$2:$A$49,0)),"UNMATCHED")</f>
        <v>Retail</v>
      </c>
      <c r="H142" s="42" t="str">
        <f aca="false">IFERROR(INDEX(Product_Master!$C$2:$C$9,MATCH(E142,Product_Master!$A$2:$A$9,0)),"UNMATCHED")</f>
        <v>Personal Care</v>
      </c>
      <c r="I142" s="42" t="str">
        <f aca="false">IFERROR(INDEX(Product_Master!$B$2:$B$9,MATCH(E142,Product_Master!$A$2:$A$9,0)),"UNMATCHED")</f>
        <v>Soap 4-pack</v>
      </c>
      <c r="J142" s="42" t="n">
        <f aca="false">IFERROR(INDEX(Calendar!$B$2:$B$25,MATCH(B142,Calendar!$A$2:$A$25,0)),0)</f>
        <v>2025</v>
      </c>
      <c r="K142" s="42" t="n">
        <f aca="false">IFERROR(VALUE(RIGHT(B142,2)),0)</f>
        <v>4</v>
      </c>
      <c r="L142" s="42" t="str">
        <f aca="false">IFERROR(INDEX(Calendar!$E$2:$E$25,MATCH(B142,Calendar!$A$2:$A$25,0)),"UNMATCHED")</f>
        <v>Actual</v>
      </c>
      <c r="M142" s="42" t="n">
        <f aca="false">Sales_Transactions!F142</f>
        <v>436</v>
      </c>
      <c r="N142" s="52" t="n">
        <f aca="false">Sales_Transactions!I142</f>
        <v>75044.32</v>
      </c>
      <c r="O142" s="52" t="n">
        <f aca="false">Sales_Transactions!J142</f>
        <v>43909.56</v>
      </c>
      <c r="P142" s="52" t="n">
        <f aca="false">Sales_Transactions!K142</f>
        <v>31134.76</v>
      </c>
      <c r="Q142" s="42" t="n">
        <f aca="false">IF(ISNUMBER(MATCH(E142,Product_Master!$A$2:$A$9,0)),0,1)</f>
        <v>0</v>
      </c>
      <c r="R142" s="42" t="n">
        <f aca="false">IF(ISNUMBER(MATCH(D142,Customer_Master!$A$2:$A$49,0)),0,1)</f>
        <v>0</v>
      </c>
      <c r="S142" s="42" t="n">
        <f aca="false">IF(ISNUMBER(MATCH(B142,Calendar!$A$2:$A$25,0)),0,1)</f>
        <v>0</v>
      </c>
      <c r="T142" s="42" t="n">
        <f aca="false">IF(COUNTIF(Sales_Transactions!$A$2:$A$865,A142)&gt;1,1,0)</f>
        <v>0</v>
      </c>
      <c r="U142" s="42" t="n">
        <f aca="false">IF(OR(ABS(Sales_Transactions!F142*Sales_Transactions!G142-Sales_Transactions!I142)&gt;0.01,ABS(Sales_Transactions!F142*Sales_Transactions!H142-Sales_Transactions!J142)&gt;0.01,ABS(Sales_Transactions!I142-Sales_Transactions!J142-Sales_Transactions!K142)&gt;0.01),1,0)</f>
        <v>0</v>
      </c>
      <c r="V142" s="42" t="n">
        <f aca="false">IF(C142&lt;&gt;L142,1,0)</f>
        <v>0</v>
      </c>
      <c r="W142" s="42" t="n">
        <f aca="false">IF(SUM(Q142:V142)&gt;0,1,0)</f>
        <v>0</v>
      </c>
    </row>
    <row r="143" customFormat="false" ht="15" hidden="false" customHeight="false" outlineLevel="0" collapsed="false">
      <c r="A143" s="42" t="str">
        <f aca="false">Sales_Transactions!A143</f>
        <v>INV-04-034</v>
      </c>
      <c r="B143" s="42" t="str">
        <f aca="false">Sales_Transactions!B143</f>
        <v>2025-04</v>
      </c>
      <c r="C143" s="42" t="str">
        <f aca="false">Sales_Transactions!C143</f>
        <v>Actual</v>
      </c>
      <c r="D143" s="42" t="str">
        <f aca="false">Sales_Transactions!D143</f>
        <v>C001</v>
      </c>
      <c r="E143" s="42" t="str">
        <f aca="false">Sales_Transactions!E143</f>
        <v>P001</v>
      </c>
      <c r="F143" s="42" t="str">
        <f aca="false">IFERROR(INDEX(Customer_Master!$C$2:$C$49,MATCH(D143,Customer_Master!$A$2:$A$49,0)),"UNMATCHED")</f>
        <v>South</v>
      </c>
      <c r="G143" s="42" t="str">
        <f aca="false">IFERROR(INDEX(Customer_Master!$D$2:$D$49,MATCH(D143,Customer_Master!$A$2:$A$49,0)),"UNMATCHED")</f>
        <v>Distributor</v>
      </c>
      <c r="H143" s="42" t="str">
        <f aca="false">IFERROR(INDEX(Product_Master!$C$2:$C$9,MATCH(E143,Product_Master!$A$2:$A$9,0)),"UNMATCHED")</f>
        <v>Home Care</v>
      </c>
      <c r="I143" s="42" t="str">
        <f aca="false">IFERROR(INDEX(Product_Master!$B$2:$B$9,MATCH(E143,Product_Master!$A$2:$A$9,0)),"UNMATCHED")</f>
        <v>Detergent 1kg</v>
      </c>
      <c r="J143" s="42" t="n">
        <f aca="false">IFERROR(INDEX(Calendar!$B$2:$B$25,MATCH(B143,Calendar!$A$2:$A$25,0)),0)</f>
        <v>2025</v>
      </c>
      <c r="K143" s="42" t="n">
        <f aca="false">IFERROR(VALUE(RIGHT(B143,2)),0)</f>
        <v>4</v>
      </c>
      <c r="L143" s="42" t="str">
        <f aca="false">IFERROR(INDEX(Calendar!$E$2:$E$25,MATCH(B143,Calendar!$A$2:$A$25,0)),"UNMATCHED")</f>
        <v>Actual</v>
      </c>
      <c r="M143" s="42" t="n">
        <f aca="false">Sales_Transactions!F143</f>
        <v>428</v>
      </c>
      <c r="N143" s="52" t="n">
        <f aca="false">Sales_Transactions!I143</f>
        <v>82295.84</v>
      </c>
      <c r="O143" s="52" t="n">
        <f aca="false">Sales_Transactions!J143</f>
        <v>57159.4</v>
      </c>
      <c r="P143" s="52" t="n">
        <f aca="false">Sales_Transactions!K143</f>
        <v>25136.44</v>
      </c>
      <c r="Q143" s="42" t="n">
        <f aca="false">IF(ISNUMBER(MATCH(E143,Product_Master!$A$2:$A$9,0)),0,1)</f>
        <v>0</v>
      </c>
      <c r="R143" s="42" t="n">
        <f aca="false">IF(ISNUMBER(MATCH(D143,Customer_Master!$A$2:$A$49,0)),0,1)</f>
        <v>0</v>
      </c>
      <c r="S143" s="42" t="n">
        <f aca="false">IF(ISNUMBER(MATCH(B143,Calendar!$A$2:$A$25,0)),0,1)</f>
        <v>0</v>
      </c>
      <c r="T143" s="42" t="n">
        <f aca="false">IF(COUNTIF(Sales_Transactions!$A$2:$A$865,A143)&gt;1,1,0)</f>
        <v>0</v>
      </c>
      <c r="U143" s="42" t="n">
        <f aca="false">IF(OR(ABS(Sales_Transactions!F143*Sales_Transactions!G143-Sales_Transactions!I143)&gt;0.01,ABS(Sales_Transactions!F143*Sales_Transactions!H143-Sales_Transactions!J143)&gt;0.01,ABS(Sales_Transactions!I143-Sales_Transactions!J143-Sales_Transactions!K143)&gt;0.01),1,0)</f>
        <v>0</v>
      </c>
      <c r="V143" s="42" t="n">
        <f aca="false">IF(C143&lt;&gt;L143,1,0)</f>
        <v>0</v>
      </c>
      <c r="W143" s="42" t="n">
        <f aca="false">IF(SUM(Q143:V143)&gt;0,1,0)</f>
        <v>0</v>
      </c>
    </row>
    <row r="144" customFormat="false" ht="15" hidden="false" customHeight="false" outlineLevel="0" collapsed="false">
      <c r="A144" s="42" t="str">
        <f aca="false">Sales_Transactions!A144</f>
        <v>INV-04-035</v>
      </c>
      <c r="B144" s="42" t="str">
        <f aca="false">Sales_Transactions!B144</f>
        <v>2025-04</v>
      </c>
      <c r="C144" s="42" t="str">
        <f aca="false">Sales_Transactions!C144</f>
        <v>Actual</v>
      </c>
      <c r="D144" s="42" t="str">
        <f aca="false">Sales_Transactions!D144</f>
        <v>C008</v>
      </c>
      <c r="E144" s="42" t="str">
        <f aca="false">Sales_Transactions!E144</f>
        <v>P006</v>
      </c>
      <c r="F144" s="42" t="str">
        <f aca="false">IFERROR(INDEX(Customer_Master!$C$2:$C$49,MATCH(D144,Customer_Master!$A$2:$A$49,0)),"UNMATCHED")</f>
        <v>East</v>
      </c>
      <c r="G144" s="42" t="str">
        <f aca="false">IFERROR(INDEX(Customer_Master!$D$2:$D$49,MATCH(D144,Customer_Master!$A$2:$A$49,0)),"UNMATCHED")</f>
        <v>Modern Trade</v>
      </c>
      <c r="H144" s="42" t="str">
        <f aca="false">IFERROR(INDEX(Product_Master!$C$2:$C$9,MATCH(E144,Product_Master!$A$2:$A$9,0)),"UNMATCHED")</f>
        <v>Foods</v>
      </c>
      <c r="I144" s="42" t="str">
        <f aca="false">IFERROR(INDEX(Product_Master!$B$2:$B$9,MATCH(E144,Product_Master!$A$2:$A$9,0)),"UNMATCHED")</f>
        <v>Breakfast Cereal</v>
      </c>
      <c r="J144" s="42" t="n">
        <f aca="false">IFERROR(INDEX(Calendar!$B$2:$B$25,MATCH(B144,Calendar!$A$2:$A$25,0)),0)</f>
        <v>2025</v>
      </c>
      <c r="K144" s="42" t="n">
        <f aca="false">IFERROR(VALUE(RIGHT(B144,2)),0)</f>
        <v>4</v>
      </c>
      <c r="L144" s="42" t="str">
        <f aca="false">IFERROR(INDEX(Calendar!$E$2:$E$25,MATCH(B144,Calendar!$A$2:$A$25,0)),"UNMATCHED")</f>
        <v>Actual</v>
      </c>
      <c r="M144" s="42" t="n">
        <f aca="false">Sales_Transactions!F144</f>
        <v>425</v>
      </c>
      <c r="N144" s="52" t="n">
        <f aca="false">Sales_Transactions!I144</f>
        <v>109424.75</v>
      </c>
      <c r="O144" s="52" t="n">
        <f aca="false">Sales_Transactions!J144</f>
        <v>68607.75</v>
      </c>
      <c r="P144" s="52" t="n">
        <f aca="false">Sales_Transactions!K144</f>
        <v>40817</v>
      </c>
      <c r="Q144" s="42" t="n">
        <f aca="false">IF(ISNUMBER(MATCH(E144,Product_Master!$A$2:$A$9,0)),0,1)</f>
        <v>0</v>
      </c>
      <c r="R144" s="42" t="n">
        <f aca="false">IF(ISNUMBER(MATCH(D144,Customer_Master!$A$2:$A$49,0)),0,1)</f>
        <v>0</v>
      </c>
      <c r="S144" s="42" t="n">
        <f aca="false">IF(ISNUMBER(MATCH(B144,Calendar!$A$2:$A$25,0)),0,1)</f>
        <v>0</v>
      </c>
      <c r="T144" s="42" t="n">
        <f aca="false">IF(COUNTIF(Sales_Transactions!$A$2:$A$865,A144)&gt;1,1,0)</f>
        <v>0</v>
      </c>
      <c r="U144" s="42" t="n">
        <f aca="false">IF(OR(ABS(Sales_Transactions!F144*Sales_Transactions!G144-Sales_Transactions!I144)&gt;0.01,ABS(Sales_Transactions!F144*Sales_Transactions!H144-Sales_Transactions!J144)&gt;0.01,ABS(Sales_Transactions!I144-Sales_Transactions!J144-Sales_Transactions!K144)&gt;0.01),1,0)</f>
        <v>0</v>
      </c>
      <c r="V144" s="42" t="n">
        <f aca="false">IF(C144&lt;&gt;L144,1,0)</f>
        <v>0</v>
      </c>
      <c r="W144" s="42" t="n">
        <f aca="false">IF(SUM(Q144:V144)&gt;0,1,0)</f>
        <v>0</v>
      </c>
    </row>
    <row r="145" customFormat="false" ht="15" hidden="false" customHeight="false" outlineLevel="0" collapsed="false">
      <c r="A145" s="42" t="str">
        <f aca="false">Sales_Transactions!A145</f>
        <v>INV-04-036</v>
      </c>
      <c r="B145" s="42" t="str">
        <f aca="false">Sales_Transactions!B145</f>
        <v>2025-04</v>
      </c>
      <c r="C145" s="42" t="str">
        <f aca="false">Sales_Transactions!C145</f>
        <v>Actual</v>
      </c>
      <c r="D145" s="42" t="str">
        <f aca="false">Sales_Transactions!D145</f>
        <v>C015</v>
      </c>
      <c r="E145" s="42" t="str">
        <f aca="false">Sales_Transactions!E145</f>
        <v>P003</v>
      </c>
      <c r="F145" s="42" t="str">
        <f aca="false">IFERROR(INDEX(Customer_Master!$C$2:$C$49,MATCH(D145,Customer_Master!$A$2:$A$49,0)),"UNMATCHED")</f>
        <v>West</v>
      </c>
      <c r="G145" s="42" t="str">
        <f aca="false">IFERROR(INDEX(Customer_Master!$D$2:$D$49,MATCH(D145,Customer_Master!$A$2:$A$49,0)),"UNMATCHED")</f>
        <v>Retail</v>
      </c>
      <c r="H145" s="42" t="str">
        <f aca="false">IFERROR(INDEX(Product_Master!$C$2:$C$9,MATCH(E145,Product_Master!$A$2:$A$9,0)),"UNMATCHED")</f>
        <v>Personal Care</v>
      </c>
      <c r="I145" s="42" t="str">
        <f aca="false">IFERROR(INDEX(Product_Master!$B$2:$B$9,MATCH(E145,Product_Master!$A$2:$A$9,0)),"UNMATCHED")</f>
        <v>Shampoo 400ml</v>
      </c>
      <c r="J145" s="42" t="n">
        <f aca="false">IFERROR(INDEX(Calendar!$B$2:$B$25,MATCH(B145,Calendar!$A$2:$A$25,0)),0)</f>
        <v>2025</v>
      </c>
      <c r="K145" s="42" t="n">
        <f aca="false">IFERROR(VALUE(RIGHT(B145,2)),0)</f>
        <v>4</v>
      </c>
      <c r="L145" s="42" t="str">
        <f aca="false">IFERROR(INDEX(Calendar!$E$2:$E$25,MATCH(B145,Calendar!$A$2:$A$25,0)),"UNMATCHED")</f>
        <v>Actual</v>
      </c>
      <c r="M145" s="42" t="n">
        <f aca="false">Sales_Transactions!F145</f>
        <v>424</v>
      </c>
      <c r="N145" s="52" t="n">
        <f aca="false">Sales_Transactions!I145</f>
        <v>118749.68</v>
      </c>
      <c r="O145" s="52" t="n">
        <f aca="false">Sales_Transactions!J145</f>
        <v>75866.32</v>
      </c>
      <c r="P145" s="52" t="n">
        <f aca="false">Sales_Transactions!K145</f>
        <v>42883.36</v>
      </c>
      <c r="Q145" s="42" t="n">
        <f aca="false">IF(ISNUMBER(MATCH(E145,Product_Master!$A$2:$A$9,0)),0,1)</f>
        <v>0</v>
      </c>
      <c r="R145" s="42" t="n">
        <f aca="false">IF(ISNUMBER(MATCH(D145,Customer_Master!$A$2:$A$49,0)),0,1)</f>
        <v>0</v>
      </c>
      <c r="S145" s="42" t="n">
        <f aca="false">IF(ISNUMBER(MATCH(B145,Calendar!$A$2:$A$25,0)),0,1)</f>
        <v>0</v>
      </c>
      <c r="T145" s="42" t="n">
        <f aca="false">IF(COUNTIF(Sales_Transactions!$A$2:$A$865,A145)&gt;1,1,0)</f>
        <v>0</v>
      </c>
      <c r="U145" s="42" t="n">
        <f aca="false">IF(OR(ABS(Sales_Transactions!F145*Sales_Transactions!G145-Sales_Transactions!I145)&gt;0.01,ABS(Sales_Transactions!F145*Sales_Transactions!H145-Sales_Transactions!J145)&gt;0.01,ABS(Sales_Transactions!I145-Sales_Transactions!J145-Sales_Transactions!K145)&gt;0.01),1,0)</f>
        <v>0</v>
      </c>
      <c r="V145" s="42" t="n">
        <f aca="false">IF(C145&lt;&gt;L145,1,0)</f>
        <v>0</v>
      </c>
      <c r="W145" s="42" t="n">
        <f aca="false">IF(SUM(Q145:V145)&gt;0,1,0)</f>
        <v>0</v>
      </c>
    </row>
    <row r="146" customFormat="false" ht="15" hidden="false" customHeight="false" outlineLevel="0" collapsed="false">
      <c r="A146" s="42" t="str">
        <f aca="false">Sales_Transactions!A146</f>
        <v>INV-05-001</v>
      </c>
      <c r="B146" s="42" t="str">
        <f aca="false">Sales_Transactions!B146</f>
        <v>2025-05</v>
      </c>
      <c r="C146" s="42" t="str">
        <f aca="false">Sales_Transactions!C146</f>
        <v>Actual</v>
      </c>
      <c r="D146" s="42" t="str">
        <f aca="false">Sales_Transactions!D146</f>
        <v>C013</v>
      </c>
      <c r="E146" s="42" t="str">
        <f aca="false">Sales_Transactions!E146</f>
        <v>P005</v>
      </c>
      <c r="F146" s="42" t="str">
        <f aca="false">IFERROR(INDEX(Customer_Master!$C$2:$C$49,MATCH(D146,Customer_Master!$A$2:$A$49,0)),"UNMATCHED")</f>
        <v>South</v>
      </c>
      <c r="G146" s="42" t="str">
        <f aca="false">IFERROR(INDEX(Customer_Master!$D$2:$D$49,MATCH(D146,Customer_Master!$A$2:$A$49,0)),"UNMATCHED")</f>
        <v>Distributor</v>
      </c>
      <c r="H146" s="42" t="str">
        <f aca="false">IFERROR(INDEX(Product_Master!$C$2:$C$9,MATCH(E146,Product_Master!$A$2:$A$9,0)),"UNMATCHED")</f>
        <v>Foods</v>
      </c>
      <c r="I146" s="42" t="str">
        <f aca="false">IFERROR(INDEX(Product_Master!$B$2:$B$9,MATCH(E146,Product_Master!$A$2:$A$9,0)),"UNMATCHED")</f>
        <v>Biscuits 500g</v>
      </c>
      <c r="J146" s="42" t="n">
        <f aca="false">IFERROR(INDEX(Calendar!$B$2:$B$25,MATCH(B146,Calendar!$A$2:$A$25,0)),0)</f>
        <v>2025</v>
      </c>
      <c r="K146" s="42" t="n">
        <f aca="false">IFERROR(VALUE(RIGHT(B146,2)),0)</f>
        <v>5</v>
      </c>
      <c r="L146" s="42" t="str">
        <f aca="false">IFERROR(INDEX(Calendar!$E$2:$E$25,MATCH(B146,Calendar!$A$2:$A$25,0)),"UNMATCHED")</f>
        <v>Actual</v>
      </c>
      <c r="M146" s="42" t="n">
        <f aca="false">Sales_Transactions!F146</f>
        <v>238</v>
      </c>
      <c r="N146" s="52" t="n">
        <f aca="false">Sales_Transactions!I146</f>
        <v>25025.7</v>
      </c>
      <c r="O146" s="52" t="n">
        <f aca="false">Sales_Transactions!J146</f>
        <v>16583.84</v>
      </c>
      <c r="P146" s="52" t="n">
        <f aca="false">Sales_Transactions!K146</f>
        <v>8441.86</v>
      </c>
      <c r="Q146" s="42" t="n">
        <f aca="false">IF(ISNUMBER(MATCH(E146,Product_Master!$A$2:$A$9,0)),0,1)</f>
        <v>0</v>
      </c>
      <c r="R146" s="42" t="n">
        <f aca="false">IF(ISNUMBER(MATCH(D146,Customer_Master!$A$2:$A$49,0)),0,1)</f>
        <v>0</v>
      </c>
      <c r="S146" s="42" t="n">
        <f aca="false">IF(ISNUMBER(MATCH(B146,Calendar!$A$2:$A$25,0)),0,1)</f>
        <v>0</v>
      </c>
      <c r="T146" s="42" t="n">
        <f aca="false">IF(COUNTIF(Sales_Transactions!$A$2:$A$865,A146)&gt;1,1,0)</f>
        <v>0</v>
      </c>
      <c r="U146" s="42" t="n">
        <f aca="false">IF(OR(ABS(Sales_Transactions!F146*Sales_Transactions!G146-Sales_Transactions!I146)&gt;0.01,ABS(Sales_Transactions!F146*Sales_Transactions!H146-Sales_Transactions!J146)&gt;0.01,ABS(Sales_Transactions!I146-Sales_Transactions!J146-Sales_Transactions!K146)&gt;0.01),1,0)</f>
        <v>0</v>
      </c>
      <c r="V146" s="42" t="n">
        <f aca="false">IF(C146&lt;&gt;L146,1,0)</f>
        <v>0</v>
      </c>
      <c r="W146" s="42" t="n">
        <f aca="false">IF(SUM(Q146:V146)&gt;0,1,0)</f>
        <v>0</v>
      </c>
    </row>
    <row r="147" customFormat="false" ht="15" hidden="false" customHeight="false" outlineLevel="0" collapsed="false">
      <c r="A147" s="42" t="str">
        <f aca="false">Sales_Transactions!A147</f>
        <v>INV-05-002</v>
      </c>
      <c r="B147" s="42" t="str">
        <f aca="false">Sales_Transactions!B147</f>
        <v>2025-05</v>
      </c>
      <c r="C147" s="42" t="str">
        <f aca="false">Sales_Transactions!C147</f>
        <v>Actual</v>
      </c>
      <c r="D147" s="42" t="str">
        <f aca="false">Sales_Transactions!D147</f>
        <v>C020</v>
      </c>
      <c r="E147" s="42" t="str">
        <f aca="false">Sales_Transactions!E147</f>
        <v>P002</v>
      </c>
      <c r="F147" s="42" t="str">
        <f aca="false">IFERROR(INDEX(Customer_Master!$C$2:$C$49,MATCH(D147,Customer_Master!$A$2:$A$49,0)),"UNMATCHED")</f>
        <v>East</v>
      </c>
      <c r="G147" s="42" t="str">
        <f aca="false">IFERROR(INDEX(Customer_Master!$D$2:$D$49,MATCH(D147,Customer_Master!$A$2:$A$49,0)),"UNMATCHED")</f>
        <v>Modern Trade</v>
      </c>
      <c r="H147" s="42" t="str">
        <f aca="false">IFERROR(INDEX(Product_Master!$C$2:$C$9,MATCH(E147,Product_Master!$A$2:$A$9,0)),"UNMATCHED")</f>
        <v>Home Care</v>
      </c>
      <c r="I147" s="42" t="str">
        <f aca="false">IFERROR(INDEX(Product_Master!$B$2:$B$9,MATCH(E147,Product_Master!$A$2:$A$9,0)),"UNMATCHED")</f>
        <v>Dishwash Gel</v>
      </c>
      <c r="J147" s="42" t="n">
        <f aca="false">IFERROR(INDEX(Calendar!$B$2:$B$25,MATCH(B147,Calendar!$A$2:$A$25,0)),0)</f>
        <v>2025</v>
      </c>
      <c r="K147" s="42" t="n">
        <f aca="false">IFERROR(VALUE(RIGHT(B147,2)),0)</f>
        <v>5</v>
      </c>
      <c r="L147" s="42" t="str">
        <f aca="false">IFERROR(INDEX(Calendar!$E$2:$E$25,MATCH(B147,Calendar!$A$2:$A$25,0)),"UNMATCHED")</f>
        <v>Actual</v>
      </c>
      <c r="M147" s="42" t="n">
        <f aca="false">Sales_Transactions!F147</f>
        <v>252</v>
      </c>
      <c r="N147" s="52" t="n">
        <f aca="false">Sales_Transactions!I147</f>
        <v>34433.28</v>
      </c>
      <c r="O147" s="52" t="n">
        <f aca="false">Sales_Transactions!J147</f>
        <v>20570.76</v>
      </c>
      <c r="P147" s="52" t="n">
        <f aca="false">Sales_Transactions!K147</f>
        <v>13862.52</v>
      </c>
      <c r="Q147" s="42" t="n">
        <f aca="false">IF(ISNUMBER(MATCH(E147,Product_Master!$A$2:$A$9,0)),0,1)</f>
        <v>0</v>
      </c>
      <c r="R147" s="42" t="n">
        <f aca="false">IF(ISNUMBER(MATCH(D147,Customer_Master!$A$2:$A$49,0)),0,1)</f>
        <v>0</v>
      </c>
      <c r="S147" s="42" t="n">
        <f aca="false">IF(ISNUMBER(MATCH(B147,Calendar!$A$2:$A$25,0)),0,1)</f>
        <v>0</v>
      </c>
      <c r="T147" s="42" t="n">
        <f aca="false">IF(COUNTIF(Sales_Transactions!$A$2:$A$865,A147)&gt;1,1,0)</f>
        <v>0</v>
      </c>
      <c r="U147" s="42" t="n">
        <f aca="false">IF(OR(ABS(Sales_Transactions!F147*Sales_Transactions!G147-Sales_Transactions!I147)&gt;0.01,ABS(Sales_Transactions!F147*Sales_Transactions!H147-Sales_Transactions!J147)&gt;0.01,ABS(Sales_Transactions!I147-Sales_Transactions!J147-Sales_Transactions!K147)&gt;0.01),1,0)</f>
        <v>0</v>
      </c>
      <c r="V147" s="42" t="n">
        <f aca="false">IF(C147&lt;&gt;L147,1,0)</f>
        <v>0</v>
      </c>
      <c r="W147" s="42" t="n">
        <f aca="false">IF(SUM(Q147:V147)&gt;0,1,0)</f>
        <v>0</v>
      </c>
    </row>
    <row r="148" customFormat="false" ht="15" hidden="false" customHeight="false" outlineLevel="0" collapsed="false">
      <c r="A148" s="42" t="str">
        <f aca="false">Sales_Transactions!A148</f>
        <v>INV-05-003</v>
      </c>
      <c r="B148" s="42" t="str">
        <f aca="false">Sales_Transactions!B148</f>
        <v>2025-05</v>
      </c>
      <c r="C148" s="42" t="str">
        <f aca="false">Sales_Transactions!C148</f>
        <v>Actual</v>
      </c>
      <c r="D148" s="42" t="str">
        <f aca="false">Sales_Transactions!D148</f>
        <v>C027</v>
      </c>
      <c r="E148" s="42" t="str">
        <f aca="false">Sales_Transactions!E148</f>
        <v>P007</v>
      </c>
      <c r="F148" s="42" t="str">
        <f aca="false">IFERROR(INDEX(Customer_Master!$C$2:$C$49,MATCH(D148,Customer_Master!$A$2:$A$49,0)),"UNMATCHED")</f>
        <v>West</v>
      </c>
      <c r="G148" s="42" t="str">
        <f aca="false">IFERROR(INDEX(Customer_Master!$D$2:$D$49,MATCH(D148,Customer_Master!$A$2:$A$49,0)),"UNMATCHED")</f>
        <v>Retail</v>
      </c>
      <c r="H148" s="42" t="str">
        <f aca="false">IFERROR(INDEX(Product_Master!$C$2:$C$9,MATCH(E148,Product_Master!$A$2:$A$9,0)),"UNMATCHED")</f>
        <v>Home Care</v>
      </c>
      <c r="I148" s="42" t="str">
        <f aca="false">IFERROR(INDEX(Product_Master!$B$2:$B$9,MATCH(E148,Product_Master!$A$2:$A$9,0)),"UNMATCHED")</f>
        <v>Floor Cleaner</v>
      </c>
      <c r="J148" s="42" t="n">
        <f aca="false">IFERROR(INDEX(Calendar!$B$2:$B$25,MATCH(B148,Calendar!$A$2:$A$25,0)),0)</f>
        <v>2025</v>
      </c>
      <c r="K148" s="42" t="n">
        <f aca="false">IFERROR(VALUE(RIGHT(B148,2)),0)</f>
        <v>5</v>
      </c>
      <c r="L148" s="42" t="str">
        <f aca="false">IFERROR(INDEX(Calendar!$E$2:$E$25,MATCH(B148,Calendar!$A$2:$A$25,0)),"UNMATCHED")</f>
        <v>Actual</v>
      </c>
      <c r="M148" s="42" t="n">
        <f aca="false">Sales_Transactions!F148</f>
        <v>150</v>
      </c>
      <c r="N148" s="52" t="n">
        <f aca="false">Sales_Transactions!I148</f>
        <v>26076</v>
      </c>
      <c r="O148" s="52" t="n">
        <f aca="false">Sales_Transactions!J148</f>
        <v>17469</v>
      </c>
      <c r="P148" s="52" t="n">
        <f aca="false">Sales_Transactions!K148</f>
        <v>8607</v>
      </c>
      <c r="Q148" s="42" t="n">
        <f aca="false">IF(ISNUMBER(MATCH(E148,Product_Master!$A$2:$A$9,0)),0,1)</f>
        <v>0</v>
      </c>
      <c r="R148" s="42" t="n">
        <f aca="false">IF(ISNUMBER(MATCH(D148,Customer_Master!$A$2:$A$49,0)),0,1)</f>
        <v>0</v>
      </c>
      <c r="S148" s="42" t="n">
        <f aca="false">IF(ISNUMBER(MATCH(B148,Calendar!$A$2:$A$25,0)),0,1)</f>
        <v>0</v>
      </c>
      <c r="T148" s="42" t="n">
        <f aca="false">IF(COUNTIF(Sales_Transactions!$A$2:$A$865,A148)&gt;1,1,0)</f>
        <v>0</v>
      </c>
      <c r="U148" s="42" t="n">
        <f aca="false">IF(OR(ABS(Sales_Transactions!F148*Sales_Transactions!G148-Sales_Transactions!I148)&gt;0.01,ABS(Sales_Transactions!F148*Sales_Transactions!H148-Sales_Transactions!J148)&gt;0.01,ABS(Sales_Transactions!I148-Sales_Transactions!J148-Sales_Transactions!K148)&gt;0.01),1,0)</f>
        <v>0</v>
      </c>
      <c r="V148" s="42" t="n">
        <f aca="false">IF(C148&lt;&gt;L148,1,0)</f>
        <v>0</v>
      </c>
      <c r="W148" s="42" t="n">
        <f aca="false">IF(SUM(Q148:V148)&gt;0,1,0)</f>
        <v>0</v>
      </c>
    </row>
    <row r="149" customFormat="false" ht="15" hidden="false" customHeight="false" outlineLevel="0" collapsed="false">
      <c r="A149" s="42" t="str">
        <f aca="false">Sales_Transactions!A149</f>
        <v>INV-05-004</v>
      </c>
      <c r="B149" s="42" t="str">
        <f aca="false">Sales_Transactions!B149</f>
        <v>2025-05</v>
      </c>
      <c r="C149" s="42" t="str">
        <f aca="false">Sales_Transactions!C149</f>
        <v>Actual</v>
      </c>
      <c r="D149" s="42" t="str">
        <f aca="false">Sales_Transactions!D149</f>
        <v>C034</v>
      </c>
      <c r="E149" s="42" t="str">
        <f aca="false">Sales_Transactions!E149</f>
        <v>P004</v>
      </c>
      <c r="F149" s="42" t="str">
        <f aca="false">IFERROR(INDEX(Customer_Master!$C$2:$C$49,MATCH(D149,Customer_Master!$A$2:$A$49,0)),"UNMATCHED")</f>
        <v>North</v>
      </c>
      <c r="G149" s="42" t="str">
        <f aca="false">IFERROR(INDEX(Customer_Master!$D$2:$D$49,MATCH(D149,Customer_Master!$A$2:$A$49,0)),"UNMATCHED")</f>
        <v>Distributor</v>
      </c>
      <c r="H149" s="42" t="str">
        <f aca="false">IFERROR(INDEX(Product_Master!$C$2:$C$9,MATCH(E149,Product_Master!$A$2:$A$9,0)),"UNMATCHED")</f>
        <v>Personal Care</v>
      </c>
      <c r="I149" s="42" t="str">
        <f aca="false">IFERROR(INDEX(Product_Master!$B$2:$B$9,MATCH(E149,Product_Master!$A$2:$A$9,0)),"UNMATCHED")</f>
        <v>Soap 4-pack</v>
      </c>
      <c r="J149" s="42" t="n">
        <f aca="false">IFERROR(INDEX(Calendar!$B$2:$B$25,MATCH(B149,Calendar!$A$2:$A$25,0)),0)</f>
        <v>2025</v>
      </c>
      <c r="K149" s="42" t="n">
        <f aca="false">IFERROR(VALUE(RIGHT(B149,2)),0)</f>
        <v>5</v>
      </c>
      <c r="L149" s="42" t="str">
        <f aca="false">IFERROR(INDEX(Calendar!$E$2:$E$25,MATCH(B149,Calendar!$A$2:$A$25,0)),"UNMATCHED")</f>
        <v>Actual</v>
      </c>
      <c r="M149" s="42" t="n">
        <f aca="false">Sales_Transactions!F149</f>
        <v>279</v>
      </c>
      <c r="N149" s="52" t="n">
        <f aca="false">Sales_Transactions!I149</f>
        <v>47753.64</v>
      </c>
      <c r="O149" s="52" t="n">
        <f aca="false">Sales_Transactions!J149</f>
        <v>28614.24</v>
      </c>
      <c r="P149" s="52" t="n">
        <f aca="false">Sales_Transactions!K149</f>
        <v>19139.4</v>
      </c>
      <c r="Q149" s="42" t="n">
        <f aca="false">IF(ISNUMBER(MATCH(E149,Product_Master!$A$2:$A$9,0)),0,1)</f>
        <v>0</v>
      </c>
      <c r="R149" s="42" t="n">
        <f aca="false">IF(ISNUMBER(MATCH(D149,Customer_Master!$A$2:$A$49,0)),0,1)</f>
        <v>0</v>
      </c>
      <c r="S149" s="42" t="n">
        <f aca="false">IF(ISNUMBER(MATCH(B149,Calendar!$A$2:$A$25,0)),0,1)</f>
        <v>0</v>
      </c>
      <c r="T149" s="42" t="n">
        <f aca="false">IF(COUNTIF(Sales_Transactions!$A$2:$A$865,A149)&gt;1,1,0)</f>
        <v>0</v>
      </c>
      <c r="U149" s="42" t="n">
        <f aca="false">IF(OR(ABS(Sales_Transactions!F149*Sales_Transactions!G149-Sales_Transactions!I149)&gt;0.01,ABS(Sales_Transactions!F149*Sales_Transactions!H149-Sales_Transactions!J149)&gt;0.01,ABS(Sales_Transactions!I149-Sales_Transactions!J149-Sales_Transactions!K149)&gt;0.01),1,0)</f>
        <v>0</v>
      </c>
      <c r="V149" s="42" t="n">
        <f aca="false">IF(C149&lt;&gt;L149,1,0)</f>
        <v>0</v>
      </c>
      <c r="W149" s="42" t="n">
        <f aca="false">IF(SUM(Q149:V149)&gt;0,1,0)</f>
        <v>0</v>
      </c>
    </row>
    <row r="150" customFormat="false" ht="15" hidden="false" customHeight="false" outlineLevel="0" collapsed="false">
      <c r="A150" s="42" t="str">
        <f aca="false">Sales_Transactions!A150</f>
        <v>INV-05-005</v>
      </c>
      <c r="B150" s="42" t="str">
        <f aca="false">Sales_Transactions!B150</f>
        <v>2025-05</v>
      </c>
      <c r="C150" s="42" t="str">
        <f aca="false">Sales_Transactions!C150</f>
        <v>Actual</v>
      </c>
      <c r="D150" s="42" t="str">
        <f aca="false">Sales_Transactions!D150</f>
        <v>C041</v>
      </c>
      <c r="E150" s="42" t="str">
        <f aca="false">Sales_Transactions!E150</f>
        <v>P001</v>
      </c>
      <c r="F150" s="42" t="str">
        <f aca="false">IFERROR(INDEX(Customer_Master!$C$2:$C$49,MATCH(D150,Customer_Master!$A$2:$A$49,0)),"UNMATCHED")</f>
        <v>South</v>
      </c>
      <c r="G150" s="42" t="str">
        <f aca="false">IFERROR(INDEX(Customer_Master!$D$2:$D$49,MATCH(D150,Customer_Master!$A$2:$A$49,0)),"UNMATCHED")</f>
        <v>Modern Trade</v>
      </c>
      <c r="H150" s="42" t="str">
        <f aca="false">IFERROR(INDEX(Product_Master!$C$2:$C$9,MATCH(E150,Product_Master!$A$2:$A$9,0)),"UNMATCHED")</f>
        <v>Home Care</v>
      </c>
      <c r="I150" s="42" t="str">
        <f aca="false">IFERROR(INDEX(Product_Master!$B$2:$B$9,MATCH(E150,Product_Master!$A$2:$A$9,0)),"UNMATCHED")</f>
        <v>Detergent 1kg</v>
      </c>
      <c r="J150" s="42" t="n">
        <f aca="false">IFERROR(INDEX(Calendar!$B$2:$B$25,MATCH(B150,Calendar!$A$2:$A$25,0)),0)</f>
        <v>2025</v>
      </c>
      <c r="K150" s="42" t="n">
        <f aca="false">IFERROR(VALUE(RIGHT(B150,2)),0)</f>
        <v>5</v>
      </c>
      <c r="L150" s="42" t="str">
        <f aca="false">IFERROR(INDEX(Calendar!$E$2:$E$25,MATCH(B150,Calendar!$A$2:$A$25,0)),"UNMATCHED")</f>
        <v>Actual</v>
      </c>
      <c r="M150" s="42" t="n">
        <f aca="false">Sales_Transactions!F150</f>
        <v>400</v>
      </c>
      <c r="N150" s="52" t="n">
        <f aca="false">Sales_Transactions!I150</f>
        <v>80976</v>
      </c>
      <c r="O150" s="52" t="n">
        <f aca="false">Sales_Transactions!J150</f>
        <v>53260</v>
      </c>
      <c r="P150" s="52" t="n">
        <f aca="false">Sales_Transactions!K150</f>
        <v>27716</v>
      </c>
      <c r="Q150" s="42" t="n">
        <f aca="false">IF(ISNUMBER(MATCH(E150,Product_Master!$A$2:$A$9,0)),0,1)</f>
        <v>0</v>
      </c>
      <c r="R150" s="42" t="n">
        <f aca="false">IF(ISNUMBER(MATCH(D150,Customer_Master!$A$2:$A$49,0)),0,1)</f>
        <v>0</v>
      </c>
      <c r="S150" s="42" t="n">
        <f aca="false">IF(ISNUMBER(MATCH(B150,Calendar!$A$2:$A$25,0)),0,1)</f>
        <v>0</v>
      </c>
      <c r="T150" s="42" t="n">
        <f aca="false">IF(COUNTIF(Sales_Transactions!$A$2:$A$865,A150)&gt;1,1,0)</f>
        <v>0</v>
      </c>
      <c r="U150" s="42" t="n">
        <f aca="false">IF(OR(ABS(Sales_Transactions!F150*Sales_Transactions!G150-Sales_Transactions!I150)&gt;0.01,ABS(Sales_Transactions!F150*Sales_Transactions!H150-Sales_Transactions!J150)&gt;0.01,ABS(Sales_Transactions!I150-Sales_Transactions!J150-Sales_Transactions!K150)&gt;0.01),1,0)</f>
        <v>0</v>
      </c>
      <c r="V150" s="42" t="n">
        <f aca="false">IF(C150&lt;&gt;L150,1,0)</f>
        <v>0</v>
      </c>
      <c r="W150" s="42" t="n">
        <f aca="false">IF(SUM(Q150:V150)&gt;0,1,0)</f>
        <v>0</v>
      </c>
    </row>
    <row r="151" customFormat="false" ht="15" hidden="false" customHeight="false" outlineLevel="0" collapsed="false">
      <c r="A151" s="42" t="str">
        <f aca="false">Sales_Transactions!A151</f>
        <v>INV-05-006</v>
      </c>
      <c r="B151" s="42" t="str">
        <f aca="false">Sales_Transactions!B151</f>
        <v>2025-05</v>
      </c>
      <c r="C151" s="42" t="str">
        <f aca="false">Sales_Transactions!C151</f>
        <v>Actual</v>
      </c>
      <c r="D151" s="42" t="str">
        <f aca="false">Sales_Transactions!D151</f>
        <v>C048</v>
      </c>
      <c r="E151" s="42" t="str">
        <f aca="false">Sales_Transactions!E151</f>
        <v>P006</v>
      </c>
      <c r="F151" s="42" t="str">
        <f aca="false">IFERROR(INDEX(Customer_Master!$C$2:$C$49,MATCH(D151,Customer_Master!$A$2:$A$49,0)),"UNMATCHED")</f>
        <v>East</v>
      </c>
      <c r="G151" s="42" t="str">
        <f aca="false">IFERROR(INDEX(Customer_Master!$D$2:$D$49,MATCH(D151,Customer_Master!$A$2:$A$49,0)),"UNMATCHED")</f>
        <v>Retail</v>
      </c>
      <c r="H151" s="42" t="str">
        <f aca="false">IFERROR(INDEX(Product_Master!$C$2:$C$9,MATCH(E151,Product_Master!$A$2:$A$9,0)),"UNMATCHED")</f>
        <v>Foods</v>
      </c>
      <c r="I151" s="42" t="str">
        <f aca="false">IFERROR(INDEX(Product_Master!$B$2:$B$9,MATCH(E151,Product_Master!$A$2:$A$9,0)),"UNMATCHED")</f>
        <v>Breakfast Cereal</v>
      </c>
      <c r="J151" s="42" t="n">
        <f aca="false">IFERROR(INDEX(Calendar!$B$2:$B$25,MATCH(B151,Calendar!$A$2:$A$25,0)),0)</f>
        <v>2025</v>
      </c>
      <c r="K151" s="42" t="n">
        <f aca="false">IFERROR(VALUE(RIGHT(B151,2)),0)</f>
        <v>5</v>
      </c>
      <c r="L151" s="42" t="str">
        <f aca="false">IFERROR(INDEX(Calendar!$E$2:$E$25,MATCH(B151,Calendar!$A$2:$A$25,0)),"UNMATCHED")</f>
        <v>Actual</v>
      </c>
      <c r="M151" s="42" t="n">
        <f aca="false">Sales_Transactions!F151</f>
        <v>85</v>
      </c>
      <c r="N151" s="52" t="n">
        <f aca="false">Sales_Transactions!I151</f>
        <v>20146.7</v>
      </c>
      <c r="O151" s="52" t="n">
        <f aca="false">Sales_Transactions!J151</f>
        <v>13063.65</v>
      </c>
      <c r="P151" s="52" t="n">
        <f aca="false">Sales_Transactions!K151</f>
        <v>7083.05</v>
      </c>
      <c r="Q151" s="42" t="n">
        <f aca="false">IF(ISNUMBER(MATCH(E151,Product_Master!$A$2:$A$9,0)),0,1)</f>
        <v>0</v>
      </c>
      <c r="R151" s="42" t="n">
        <f aca="false">IF(ISNUMBER(MATCH(D151,Customer_Master!$A$2:$A$49,0)),0,1)</f>
        <v>0</v>
      </c>
      <c r="S151" s="42" t="n">
        <f aca="false">IF(ISNUMBER(MATCH(B151,Calendar!$A$2:$A$25,0)),0,1)</f>
        <v>0</v>
      </c>
      <c r="T151" s="42" t="n">
        <f aca="false">IF(COUNTIF(Sales_Transactions!$A$2:$A$865,A151)&gt;1,1,0)</f>
        <v>0</v>
      </c>
      <c r="U151" s="42" t="n">
        <f aca="false">IF(OR(ABS(Sales_Transactions!F151*Sales_Transactions!G151-Sales_Transactions!I151)&gt;0.01,ABS(Sales_Transactions!F151*Sales_Transactions!H151-Sales_Transactions!J151)&gt;0.01,ABS(Sales_Transactions!I151-Sales_Transactions!J151-Sales_Transactions!K151)&gt;0.01),1,0)</f>
        <v>0</v>
      </c>
      <c r="V151" s="42" t="n">
        <f aca="false">IF(C151&lt;&gt;L151,1,0)</f>
        <v>0</v>
      </c>
      <c r="W151" s="42" t="n">
        <f aca="false">IF(SUM(Q151:V151)&gt;0,1,0)</f>
        <v>0</v>
      </c>
    </row>
    <row r="152" customFormat="false" ht="15" hidden="false" customHeight="false" outlineLevel="0" collapsed="false">
      <c r="A152" s="42" t="str">
        <f aca="false">Sales_Transactions!A152</f>
        <v>INV-05-007</v>
      </c>
      <c r="B152" s="42" t="str">
        <f aca="false">Sales_Transactions!B152</f>
        <v>2025-05</v>
      </c>
      <c r="C152" s="42" t="str">
        <f aca="false">Sales_Transactions!C152</f>
        <v>Actual</v>
      </c>
      <c r="D152" s="42" t="str">
        <f aca="false">Sales_Transactions!D152</f>
        <v>C007</v>
      </c>
      <c r="E152" s="42" t="str">
        <f aca="false">Sales_Transactions!E152</f>
        <v>P003</v>
      </c>
      <c r="F152" s="42" t="str">
        <f aca="false">IFERROR(INDEX(Customer_Master!$C$2:$C$49,MATCH(D152,Customer_Master!$A$2:$A$49,0)),"UNMATCHED")</f>
        <v>West</v>
      </c>
      <c r="G152" s="42" t="str">
        <f aca="false">IFERROR(INDEX(Customer_Master!$D$2:$D$49,MATCH(D152,Customer_Master!$A$2:$A$49,0)),"UNMATCHED")</f>
        <v>Distributor</v>
      </c>
      <c r="H152" s="42" t="str">
        <f aca="false">IFERROR(INDEX(Product_Master!$C$2:$C$9,MATCH(E152,Product_Master!$A$2:$A$9,0)),"UNMATCHED")</f>
        <v>Personal Care</v>
      </c>
      <c r="I152" s="42" t="str">
        <f aca="false">IFERROR(INDEX(Product_Master!$B$2:$B$9,MATCH(E152,Product_Master!$A$2:$A$9,0)),"UNMATCHED")</f>
        <v>Shampoo 400ml</v>
      </c>
      <c r="J152" s="42" t="n">
        <f aca="false">IFERROR(INDEX(Calendar!$B$2:$B$25,MATCH(B152,Calendar!$A$2:$A$25,0)),0)</f>
        <v>2025</v>
      </c>
      <c r="K152" s="42" t="n">
        <f aca="false">IFERROR(VALUE(RIGHT(B152,2)),0)</f>
        <v>5</v>
      </c>
      <c r="L152" s="42" t="str">
        <f aca="false">IFERROR(INDEX(Calendar!$E$2:$E$25,MATCH(B152,Calendar!$A$2:$A$25,0)),"UNMATCHED")</f>
        <v>Actual</v>
      </c>
      <c r="M152" s="42" t="n">
        <f aca="false">Sales_Transactions!F152</f>
        <v>381</v>
      </c>
      <c r="N152" s="52" t="n">
        <f aca="false">Sales_Transactions!I152</f>
        <v>103357.68</v>
      </c>
      <c r="O152" s="52" t="n">
        <f aca="false">Sales_Transactions!J152</f>
        <v>65063.37</v>
      </c>
      <c r="P152" s="52" t="n">
        <f aca="false">Sales_Transactions!K152</f>
        <v>38294.31</v>
      </c>
      <c r="Q152" s="42" t="n">
        <f aca="false">IF(ISNUMBER(MATCH(E152,Product_Master!$A$2:$A$9,0)),0,1)</f>
        <v>0</v>
      </c>
      <c r="R152" s="42" t="n">
        <f aca="false">IF(ISNUMBER(MATCH(D152,Customer_Master!$A$2:$A$49,0)),0,1)</f>
        <v>0</v>
      </c>
      <c r="S152" s="42" t="n">
        <f aca="false">IF(ISNUMBER(MATCH(B152,Calendar!$A$2:$A$25,0)),0,1)</f>
        <v>0</v>
      </c>
      <c r="T152" s="42" t="n">
        <f aca="false">IF(COUNTIF(Sales_Transactions!$A$2:$A$865,A152)&gt;1,1,0)</f>
        <v>0</v>
      </c>
      <c r="U152" s="42" t="n">
        <f aca="false">IF(OR(ABS(Sales_Transactions!F152*Sales_Transactions!G152-Sales_Transactions!I152)&gt;0.01,ABS(Sales_Transactions!F152*Sales_Transactions!H152-Sales_Transactions!J152)&gt;0.01,ABS(Sales_Transactions!I152-Sales_Transactions!J152-Sales_Transactions!K152)&gt;0.01),1,0)</f>
        <v>0</v>
      </c>
      <c r="V152" s="42" t="n">
        <f aca="false">IF(C152&lt;&gt;L152,1,0)</f>
        <v>0</v>
      </c>
      <c r="W152" s="42" t="n">
        <f aca="false">IF(SUM(Q152:V152)&gt;0,1,0)</f>
        <v>0</v>
      </c>
    </row>
    <row r="153" customFormat="false" ht="15" hidden="false" customHeight="false" outlineLevel="0" collapsed="false">
      <c r="A153" s="42" t="str">
        <f aca="false">Sales_Transactions!A153</f>
        <v>INV-05-008</v>
      </c>
      <c r="B153" s="42" t="str">
        <f aca="false">Sales_Transactions!B153</f>
        <v>2025-05</v>
      </c>
      <c r="C153" s="42" t="str">
        <f aca="false">Sales_Transactions!C153</f>
        <v>Actual</v>
      </c>
      <c r="D153" s="42" t="str">
        <f aca="false">Sales_Transactions!D153</f>
        <v>C014</v>
      </c>
      <c r="E153" s="42" t="str">
        <f aca="false">Sales_Transactions!E153</f>
        <v>P008</v>
      </c>
      <c r="F153" s="42" t="str">
        <f aca="false">IFERROR(INDEX(Customer_Master!$C$2:$C$49,MATCH(D153,Customer_Master!$A$2:$A$49,0)),"UNMATCHED")</f>
        <v>North</v>
      </c>
      <c r="G153" s="42" t="str">
        <f aca="false">IFERROR(INDEX(Customer_Master!$D$2:$D$49,MATCH(D153,Customer_Master!$A$2:$A$49,0)),"UNMATCHED")</f>
        <v>Modern Trade</v>
      </c>
      <c r="H153" s="42" t="str">
        <f aca="false">IFERROR(INDEX(Product_Master!$C$2:$C$9,MATCH(E153,Product_Master!$A$2:$A$9,0)),"UNMATCHED")</f>
        <v>Personal Care</v>
      </c>
      <c r="I153" s="42" t="str">
        <f aca="false">IFERROR(INDEX(Product_Master!$B$2:$B$9,MATCH(E153,Product_Master!$A$2:$A$9,0)),"UNMATCHED")</f>
        <v>Body Lotion</v>
      </c>
      <c r="J153" s="42" t="n">
        <f aca="false">IFERROR(INDEX(Calendar!$B$2:$B$25,MATCH(B153,Calendar!$A$2:$A$25,0)),0)</f>
        <v>2025</v>
      </c>
      <c r="K153" s="42" t="n">
        <f aca="false">IFERROR(VALUE(RIGHT(B153,2)),0)</f>
        <v>5</v>
      </c>
      <c r="L153" s="42" t="str">
        <f aca="false">IFERROR(INDEX(Calendar!$E$2:$E$25,MATCH(B153,Calendar!$A$2:$A$25,0)),"UNMATCHED")</f>
        <v>Actual</v>
      </c>
      <c r="M153" s="42" t="n">
        <f aca="false">Sales_Transactions!F153</f>
        <v>311</v>
      </c>
      <c r="N153" s="52" t="n">
        <f aca="false">Sales_Transactions!I153</f>
        <v>95766.23</v>
      </c>
      <c r="O153" s="52" t="n">
        <f aca="false">Sales_Transactions!J153</f>
        <v>61920.1</v>
      </c>
      <c r="P153" s="52" t="n">
        <f aca="false">Sales_Transactions!K153</f>
        <v>33846.13</v>
      </c>
      <c r="Q153" s="42" t="n">
        <f aca="false">IF(ISNUMBER(MATCH(E153,Product_Master!$A$2:$A$9,0)),0,1)</f>
        <v>0</v>
      </c>
      <c r="R153" s="42" t="n">
        <f aca="false">IF(ISNUMBER(MATCH(D153,Customer_Master!$A$2:$A$49,0)),0,1)</f>
        <v>0</v>
      </c>
      <c r="S153" s="42" t="n">
        <f aca="false">IF(ISNUMBER(MATCH(B153,Calendar!$A$2:$A$25,0)),0,1)</f>
        <v>0</v>
      </c>
      <c r="T153" s="42" t="n">
        <f aca="false">IF(COUNTIF(Sales_Transactions!$A$2:$A$865,A153)&gt;1,1,0)</f>
        <v>0</v>
      </c>
      <c r="U153" s="42" t="n">
        <f aca="false">IF(OR(ABS(Sales_Transactions!F153*Sales_Transactions!G153-Sales_Transactions!I153)&gt;0.01,ABS(Sales_Transactions!F153*Sales_Transactions!H153-Sales_Transactions!J153)&gt;0.01,ABS(Sales_Transactions!I153-Sales_Transactions!J153-Sales_Transactions!K153)&gt;0.01),1,0)</f>
        <v>0</v>
      </c>
      <c r="V153" s="42" t="n">
        <f aca="false">IF(C153&lt;&gt;L153,1,0)</f>
        <v>0</v>
      </c>
      <c r="W153" s="42" t="n">
        <f aca="false">IF(SUM(Q153:V153)&gt;0,1,0)</f>
        <v>0</v>
      </c>
    </row>
    <row r="154" customFormat="false" ht="15" hidden="false" customHeight="false" outlineLevel="0" collapsed="false">
      <c r="A154" s="42" t="str">
        <f aca="false">Sales_Transactions!A154</f>
        <v>INV-05-009</v>
      </c>
      <c r="B154" s="42" t="str">
        <f aca="false">Sales_Transactions!B154</f>
        <v>2025-05</v>
      </c>
      <c r="C154" s="42" t="str">
        <f aca="false">Sales_Transactions!C154</f>
        <v>Actual</v>
      </c>
      <c r="D154" s="42" t="str">
        <f aca="false">Sales_Transactions!D154</f>
        <v>C021</v>
      </c>
      <c r="E154" s="42" t="str">
        <f aca="false">Sales_Transactions!E154</f>
        <v>P005</v>
      </c>
      <c r="F154" s="42" t="str">
        <f aca="false">IFERROR(INDEX(Customer_Master!$C$2:$C$49,MATCH(D154,Customer_Master!$A$2:$A$49,0)),"UNMATCHED")</f>
        <v>South</v>
      </c>
      <c r="G154" s="42" t="str">
        <f aca="false">IFERROR(INDEX(Customer_Master!$D$2:$D$49,MATCH(D154,Customer_Master!$A$2:$A$49,0)),"UNMATCHED")</f>
        <v>Retail</v>
      </c>
      <c r="H154" s="42" t="str">
        <f aca="false">IFERROR(INDEX(Product_Master!$C$2:$C$9,MATCH(E154,Product_Master!$A$2:$A$9,0)),"UNMATCHED")</f>
        <v>Foods</v>
      </c>
      <c r="I154" s="42" t="str">
        <f aca="false">IFERROR(INDEX(Product_Master!$B$2:$B$9,MATCH(E154,Product_Master!$A$2:$A$9,0)),"UNMATCHED")</f>
        <v>Biscuits 500g</v>
      </c>
      <c r="J154" s="42" t="n">
        <f aca="false">IFERROR(INDEX(Calendar!$B$2:$B$25,MATCH(B154,Calendar!$A$2:$A$25,0)),0)</f>
        <v>2025</v>
      </c>
      <c r="K154" s="42" t="n">
        <f aca="false">IFERROR(VALUE(RIGHT(B154,2)),0)</f>
        <v>5</v>
      </c>
      <c r="L154" s="42" t="str">
        <f aca="false">IFERROR(INDEX(Calendar!$E$2:$E$25,MATCH(B154,Calendar!$A$2:$A$25,0)),"UNMATCHED")</f>
        <v>Actual</v>
      </c>
      <c r="M154" s="42" t="n">
        <f aca="false">Sales_Transactions!F154</f>
        <v>327</v>
      </c>
      <c r="N154" s="52" t="n">
        <f aca="false">Sales_Transactions!I154</f>
        <v>35724.75</v>
      </c>
      <c r="O154" s="52" t="n">
        <f aca="false">Sales_Transactions!J154</f>
        <v>23557.08</v>
      </c>
      <c r="P154" s="52" t="n">
        <f aca="false">Sales_Transactions!K154</f>
        <v>12167.67</v>
      </c>
      <c r="Q154" s="42" t="n">
        <f aca="false">IF(ISNUMBER(MATCH(E154,Product_Master!$A$2:$A$9,0)),0,1)</f>
        <v>0</v>
      </c>
      <c r="R154" s="42" t="n">
        <f aca="false">IF(ISNUMBER(MATCH(D154,Customer_Master!$A$2:$A$49,0)),0,1)</f>
        <v>0</v>
      </c>
      <c r="S154" s="42" t="n">
        <f aca="false">IF(ISNUMBER(MATCH(B154,Calendar!$A$2:$A$25,0)),0,1)</f>
        <v>0</v>
      </c>
      <c r="T154" s="42" t="n">
        <f aca="false">IF(COUNTIF(Sales_Transactions!$A$2:$A$865,A154)&gt;1,1,0)</f>
        <v>0</v>
      </c>
      <c r="U154" s="42" t="n">
        <f aca="false">IF(OR(ABS(Sales_Transactions!F154*Sales_Transactions!G154-Sales_Transactions!I154)&gt;0.01,ABS(Sales_Transactions!F154*Sales_Transactions!H154-Sales_Transactions!J154)&gt;0.01,ABS(Sales_Transactions!I154-Sales_Transactions!J154-Sales_Transactions!K154)&gt;0.01),1,0)</f>
        <v>0</v>
      </c>
      <c r="V154" s="42" t="n">
        <f aca="false">IF(C154&lt;&gt;L154,1,0)</f>
        <v>0</v>
      </c>
      <c r="W154" s="42" t="n">
        <f aca="false">IF(SUM(Q154:V154)&gt;0,1,0)</f>
        <v>0</v>
      </c>
    </row>
    <row r="155" customFormat="false" ht="15" hidden="false" customHeight="false" outlineLevel="0" collapsed="false">
      <c r="A155" s="42" t="str">
        <f aca="false">Sales_Transactions!A155</f>
        <v>INV-05-010</v>
      </c>
      <c r="B155" s="42" t="str">
        <f aca="false">Sales_Transactions!B155</f>
        <v>2025-05</v>
      </c>
      <c r="C155" s="42" t="str">
        <f aca="false">Sales_Transactions!C155</f>
        <v>Actual</v>
      </c>
      <c r="D155" s="42" t="str">
        <f aca="false">Sales_Transactions!D155</f>
        <v>C028</v>
      </c>
      <c r="E155" s="42" t="str">
        <f aca="false">Sales_Transactions!E155</f>
        <v>P002</v>
      </c>
      <c r="F155" s="42" t="str">
        <f aca="false">IFERROR(INDEX(Customer_Master!$C$2:$C$49,MATCH(D155,Customer_Master!$A$2:$A$49,0)),"UNMATCHED")</f>
        <v>East</v>
      </c>
      <c r="G155" s="42" t="str">
        <f aca="false">IFERROR(INDEX(Customer_Master!$D$2:$D$49,MATCH(D155,Customer_Master!$A$2:$A$49,0)),"UNMATCHED")</f>
        <v>Distributor</v>
      </c>
      <c r="H155" s="42" t="str">
        <f aca="false">IFERROR(INDEX(Product_Master!$C$2:$C$9,MATCH(E155,Product_Master!$A$2:$A$9,0)),"UNMATCHED")</f>
        <v>Home Care</v>
      </c>
      <c r="I155" s="42" t="str">
        <f aca="false">IFERROR(INDEX(Product_Master!$B$2:$B$9,MATCH(E155,Product_Master!$A$2:$A$9,0)),"UNMATCHED")</f>
        <v>Dishwash Gel</v>
      </c>
      <c r="J155" s="42" t="n">
        <f aca="false">IFERROR(INDEX(Calendar!$B$2:$B$25,MATCH(B155,Calendar!$A$2:$A$25,0)),0)</f>
        <v>2025</v>
      </c>
      <c r="K155" s="42" t="n">
        <f aca="false">IFERROR(VALUE(RIGHT(B155,2)),0)</f>
        <v>5</v>
      </c>
      <c r="L155" s="42" t="str">
        <f aca="false">IFERROR(INDEX(Calendar!$E$2:$E$25,MATCH(B155,Calendar!$A$2:$A$25,0)),"UNMATCHED")</f>
        <v>Actual</v>
      </c>
      <c r="M155" s="42" t="n">
        <f aca="false">Sales_Transactions!F155</f>
        <v>171</v>
      </c>
      <c r="N155" s="52" t="n">
        <f aca="false">Sales_Transactions!I155</f>
        <v>24191.37</v>
      </c>
      <c r="O155" s="52" t="n">
        <f aca="false">Sales_Transactions!J155</f>
        <v>13938.21</v>
      </c>
      <c r="P155" s="52" t="n">
        <f aca="false">Sales_Transactions!K155</f>
        <v>10253.16</v>
      </c>
      <c r="Q155" s="42" t="n">
        <f aca="false">IF(ISNUMBER(MATCH(E155,Product_Master!$A$2:$A$9,0)),0,1)</f>
        <v>0</v>
      </c>
      <c r="R155" s="42" t="n">
        <f aca="false">IF(ISNUMBER(MATCH(D155,Customer_Master!$A$2:$A$49,0)),0,1)</f>
        <v>0</v>
      </c>
      <c r="S155" s="42" t="n">
        <f aca="false">IF(ISNUMBER(MATCH(B155,Calendar!$A$2:$A$25,0)),0,1)</f>
        <v>0</v>
      </c>
      <c r="T155" s="42" t="n">
        <f aca="false">IF(COUNTIF(Sales_Transactions!$A$2:$A$865,A155)&gt;1,1,0)</f>
        <v>0</v>
      </c>
      <c r="U155" s="42" t="n">
        <f aca="false">IF(OR(ABS(Sales_Transactions!F155*Sales_Transactions!G155-Sales_Transactions!I155)&gt;0.01,ABS(Sales_Transactions!F155*Sales_Transactions!H155-Sales_Transactions!J155)&gt;0.01,ABS(Sales_Transactions!I155-Sales_Transactions!J155-Sales_Transactions!K155)&gt;0.01),1,0)</f>
        <v>0</v>
      </c>
      <c r="V155" s="42" t="n">
        <f aca="false">IF(C155&lt;&gt;L155,1,0)</f>
        <v>0</v>
      </c>
      <c r="W155" s="42" t="n">
        <f aca="false">IF(SUM(Q155:V155)&gt;0,1,0)</f>
        <v>0</v>
      </c>
    </row>
    <row r="156" customFormat="false" ht="15" hidden="false" customHeight="false" outlineLevel="0" collapsed="false">
      <c r="A156" s="42" t="str">
        <f aca="false">Sales_Transactions!A156</f>
        <v>INV-05-011</v>
      </c>
      <c r="B156" s="42" t="str">
        <f aca="false">Sales_Transactions!B156</f>
        <v>2025-05</v>
      </c>
      <c r="C156" s="42" t="str">
        <f aca="false">Sales_Transactions!C156</f>
        <v>Actual</v>
      </c>
      <c r="D156" s="42" t="str">
        <f aca="false">Sales_Transactions!D156</f>
        <v>C035</v>
      </c>
      <c r="E156" s="42" t="str">
        <f aca="false">Sales_Transactions!E156</f>
        <v>P007</v>
      </c>
      <c r="F156" s="42" t="str">
        <f aca="false">IFERROR(INDEX(Customer_Master!$C$2:$C$49,MATCH(D156,Customer_Master!$A$2:$A$49,0)),"UNMATCHED")</f>
        <v>West</v>
      </c>
      <c r="G156" s="42" t="str">
        <f aca="false">IFERROR(INDEX(Customer_Master!$D$2:$D$49,MATCH(D156,Customer_Master!$A$2:$A$49,0)),"UNMATCHED")</f>
        <v>Modern Trade</v>
      </c>
      <c r="H156" s="42" t="str">
        <f aca="false">IFERROR(INDEX(Product_Master!$C$2:$C$9,MATCH(E156,Product_Master!$A$2:$A$9,0)),"UNMATCHED")</f>
        <v>Home Care</v>
      </c>
      <c r="I156" s="42" t="str">
        <f aca="false">IFERROR(INDEX(Product_Master!$B$2:$B$9,MATCH(E156,Product_Master!$A$2:$A$9,0)),"UNMATCHED")</f>
        <v>Floor Cleaner</v>
      </c>
      <c r="J156" s="42" t="n">
        <f aca="false">IFERROR(INDEX(Calendar!$B$2:$B$25,MATCH(B156,Calendar!$A$2:$A$25,0)),0)</f>
        <v>2025</v>
      </c>
      <c r="K156" s="42" t="n">
        <f aca="false">IFERROR(VALUE(RIGHT(B156,2)),0)</f>
        <v>5</v>
      </c>
      <c r="L156" s="42" t="str">
        <f aca="false">IFERROR(INDEX(Calendar!$E$2:$E$25,MATCH(B156,Calendar!$A$2:$A$25,0)),"UNMATCHED")</f>
        <v>Actual</v>
      </c>
      <c r="M156" s="42" t="n">
        <f aca="false">Sales_Transactions!F156</f>
        <v>424</v>
      </c>
      <c r="N156" s="52" t="n">
        <f aca="false">Sales_Transactions!I156</f>
        <v>78325.52</v>
      </c>
      <c r="O156" s="52" t="n">
        <f aca="false">Sales_Transactions!J156</f>
        <v>47496.48</v>
      </c>
      <c r="P156" s="52" t="n">
        <f aca="false">Sales_Transactions!K156</f>
        <v>30829.04</v>
      </c>
      <c r="Q156" s="42" t="n">
        <f aca="false">IF(ISNUMBER(MATCH(E156,Product_Master!$A$2:$A$9,0)),0,1)</f>
        <v>0</v>
      </c>
      <c r="R156" s="42" t="n">
        <f aca="false">IF(ISNUMBER(MATCH(D156,Customer_Master!$A$2:$A$49,0)),0,1)</f>
        <v>0</v>
      </c>
      <c r="S156" s="42" t="n">
        <f aca="false">IF(ISNUMBER(MATCH(B156,Calendar!$A$2:$A$25,0)),0,1)</f>
        <v>0</v>
      </c>
      <c r="T156" s="42" t="n">
        <f aca="false">IF(COUNTIF(Sales_Transactions!$A$2:$A$865,A156)&gt;1,1,0)</f>
        <v>0</v>
      </c>
      <c r="U156" s="42" t="n">
        <f aca="false">IF(OR(ABS(Sales_Transactions!F156*Sales_Transactions!G156-Sales_Transactions!I156)&gt;0.01,ABS(Sales_Transactions!F156*Sales_Transactions!H156-Sales_Transactions!J156)&gt;0.01,ABS(Sales_Transactions!I156-Sales_Transactions!J156-Sales_Transactions!K156)&gt;0.01),1,0)</f>
        <v>0</v>
      </c>
      <c r="V156" s="42" t="n">
        <f aca="false">IF(C156&lt;&gt;L156,1,0)</f>
        <v>0</v>
      </c>
      <c r="W156" s="42" t="n">
        <f aca="false">IF(SUM(Q156:V156)&gt;0,1,0)</f>
        <v>0</v>
      </c>
    </row>
    <row r="157" customFormat="false" ht="15" hidden="false" customHeight="false" outlineLevel="0" collapsed="false">
      <c r="A157" s="42" t="str">
        <f aca="false">Sales_Transactions!A157</f>
        <v>INV-05-012</v>
      </c>
      <c r="B157" s="42" t="str">
        <f aca="false">Sales_Transactions!B157</f>
        <v>2025-05</v>
      </c>
      <c r="C157" s="42" t="str">
        <f aca="false">Sales_Transactions!C157</f>
        <v>Actual</v>
      </c>
      <c r="D157" s="42" t="str">
        <f aca="false">Sales_Transactions!D157</f>
        <v>C042</v>
      </c>
      <c r="E157" s="42" t="str">
        <f aca="false">Sales_Transactions!E157</f>
        <v>P004</v>
      </c>
      <c r="F157" s="42" t="str">
        <f aca="false">IFERROR(INDEX(Customer_Master!$C$2:$C$49,MATCH(D157,Customer_Master!$A$2:$A$49,0)),"UNMATCHED")</f>
        <v>North</v>
      </c>
      <c r="G157" s="42" t="str">
        <f aca="false">IFERROR(INDEX(Customer_Master!$D$2:$D$49,MATCH(D157,Customer_Master!$A$2:$A$49,0)),"UNMATCHED")</f>
        <v>Retail</v>
      </c>
      <c r="H157" s="42" t="str">
        <f aca="false">IFERROR(INDEX(Product_Master!$C$2:$C$9,MATCH(E157,Product_Master!$A$2:$A$9,0)),"UNMATCHED")</f>
        <v>Personal Care</v>
      </c>
      <c r="I157" s="42" t="str">
        <f aca="false">IFERROR(INDEX(Product_Master!$B$2:$B$9,MATCH(E157,Product_Master!$A$2:$A$9,0)),"UNMATCHED")</f>
        <v>Soap 4-pack</v>
      </c>
      <c r="J157" s="42" t="n">
        <f aca="false">IFERROR(INDEX(Calendar!$B$2:$B$25,MATCH(B157,Calendar!$A$2:$A$25,0)),0)</f>
        <v>2025</v>
      </c>
      <c r="K157" s="42" t="n">
        <f aca="false">IFERROR(VALUE(RIGHT(B157,2)),0)</f>
        <v>5</v>
      </c>
      <c r="L157" s="42" t="str">
        <f aca="false">IFERROR(INDEX(Calendar!$E$2:$E$25,MATCH(B157,Calendar!$A$2:$A$25,0)),"UNMATCHED")</f>
        <v>Actual</v>
      </c>
      <c r="M157" s="42" t="n">
        <f aca="false">Sales_Transactions!F157</f>
        <v>205</v>
      </c>
      <c r="N157" s="52" t="n">
        <f aca="false">Sales_Transactions!I157</f>
        <v>35067.3</v>
      </c>
      <c r="O157" s="52" t="n">
        <f aca="false">Sales_Transactions!J157</f>
        <v>19423.75</v>
      </c>
      <c r="P157" s="52" t="n">
        <f aca="false">Sales_Transactions!K157</f>
        <v>15643.55</v>
      </c>
      <c r="Q157" s="42" t="n">
        <f aca="false">IF(ISNUMBER(MATCH(E157,Product_Master!$A$2:$A$9,0)),0,1)</f>
        <v>0</v>
      </c>
      <c r="R157" s="42" t="n">
        <f aca="false">IF(ISNUMBER(MATCH(D157,Customer_Master!$A$2:$A$49,0)),0,1)</f>
        <v>0</v>
      </c>
      <c r="S157" s="42" t="n">
        <f aca="false">IF(ISNUMBER(MATCH(B157,Calendar!$A$2:$A$25,0)),0,1)</f>
        <v>0</v>
      </c>
      <c r="T157" s="42" t="n">
        <f aca="false">IF(COUNTIF(Sales_Transactions!$A$2:$A$865,A157)&gt;1,1,0)</f>
        <v>0</v>
      </c>
      <c r="U157" s="42" t="n">
        <f aca="false">IF(OR(ABS(Sales_Transactions!F157*Sales_Transactions!G157-Sales_Transactions!I157)&gt;0.01,ABS(Sales_Transactions!F157*Sales_Transactions!H157-Sales_Transactions!J157)&gt;0.01,ABS(Sales_Transactions!I157-Sales_Transactions!J157-Sales_Transactions!K157)&gt;0.01),1,0)</f>
        <v>0</v>
      </c>
      <c r="V157" s="42" t="n">
        <f aca="false">IF(C157&lt;&gt;L157,1,0)</f>
        <v>0</v>
      </c>
      <c r="W157" s="42" t="n">
        <f aca="false">IF(SUM(Q157:V157)&gt;0,1,0)</f>
        <v>0</v>
      </c>
    </row>
    <row r="158" customFormat="false" ht="15" hidden="false" customHeight="false" outlineLevel="0" collapsed="false">
      <c r="A158" s="42" t="str">
        <f aca="false">Sales_Transactions!A158</f>
        <v>INV-05-013</v>
      </c>
      <c r="B158" s="42" t="str">
        <f aca="false">Sales_Transactions!B158</f>
        <v>2025-05</v>
      </c>
      <c r="C158" s="42" t="str">
        <f aca="false">Sales_Transactions!C158</f>
        <v>Actual</v>
      </c>
      <c r="D158" s="42" t="str">
        <f aca="false">Sales_Transactions!D158</f>
        <v>C001</v>
      </c>
      <c r="E158" s="42" t="str">
        <f aca="false">Sales_Transactions!E158</f>
        <v>P001</v>
      </c>
      <c r="F158" s="42" t="str">
        <f aca="false">IFERROR(INDEX(Customer_Master!$C$2:$C$49,MATCH(D158,Customer_Master!$A$2:$A$49,0)),"UNMATCHED")</f>
        <v>South</v>
      </c>
      <c r="G158" s="42" t="str">
        <f aca="false">IFERROR(INDEX(Customer_Master!$D$2:$D$49,MATCH(D158,Customer_Master!$A$2:$A$49,0)),"UNMATCHED")</f>
        <v>Distributor</v>
      </c>
      <c r="H158" s="42" t="str">
        <f aca="false">IFERROR(INDEX(Product_Master!$C$2:$C$9,MATCH(E158,Product_Master!$A$2:$A$9,0)),"UNMATCHED")</f>
        <v>Home Care</v>
      </c>
      <c r="I158" s="42" t="str">
        <f aca="false">IFERROR(INDEX(Product_Master!$B$2:$B$9,MATCH(E158,Product_Master!$A$2:$A$9,0)),"UNMATCHED")</f>
        <v>Detergent 1kg</v>
      </c>
      <c r="J158" s="42" t="n">
        <f aca="false">IFERROR(INDEX(Calendar!$B$2:$B$25,MATCH(B158,Calendar!$A$2:$A$25,0)),0)</f>
        <v>2025</v>
      </c>
      <c r="K158" s="42" t="n">
        <f aca="false">IFERROR(VALUE(RIGHT(B158,2)),0)</f>
        <v>5</v>
      </c>
      <c r="L158" s="42" t="str">
        <f aca="false">IFERROR(INDEX(Calendar!$E$2:$E$25,MATCH(B158,Calendar!$A$2:$A$25,0)),"UNMATCHED")</f>
        <v>Actual</v>
      </c>
      <c r="M158" s="42" t="n">
        <f aca="false">Sales_Transactions!F158</f>
        <v>186</v>
      </c>
      <c r="N158" s="52" t="n">
        <f aca="false">Sales_Transactions!I158</f>
        <v>35511.12</v>
      </c>
      <c r="O158" s="52" t="n">
        <f aca="false">Sales_Transactions!J158</f>
        <v>23705.7</v>
      </c>
      <c r="P158" s="52" t="n">
        <f aca="false">Sales_Transactions!K158</f>
        <v>11805.42</v>
      </c>
      <c r="Q158" s="42" t="n">
        <f aca="false">IF(ISNUMBER(MATCH(E158,Product_Master!$A$2:$A$9,0)),0,1)</f>
        <v>0</v>
      </c>
      <c r="R158" s="42" t="n">
        <f aca="false">IF(ISNUMBER(MATCH(D158,Customer_Master!$A$2:$A$49,0)),0,1)</f>
        <v>0</v>
      </c>
      <c r="S158" s="42" t="n">
        <f aca="false">IF(ISNUMBER(MATCH(B158,Calendar!$A$2:$A$25,0)),0,1)</f>
        <v>0</v>
      </c>
      <c r="T158" s="42" t="n">
        <f aca="false">IF(COUNTIF(Sales_Transactions!$A$2:$A$865,A158)&gt;1,1,0)</f>
        <v>0</v>
      </c>
      <c r="U158" s="42" t="n">
        <f aca="false">IF(OR(ABS(Sales_Transactions!F158*Sales_Transactions!G158-Sales_Transactions!I158)&gt;0.01,ABS(Sales_Transactions!F158*Sales_Transactions!H158-Sales_Transactions!J158)&gt;0.01,ABS(Sales_Transactions!I158-Sales_Transactions!J158-Sales_Transactions!K158)&gt;0.01),1,0)</f>
        <v>0</v>
      </c>
      <c r="V158" s="42" t="n">
        <f aca="false">IF(C158&lt;&gt;L158,1,0)</f>
        <v>0</v>
      </c>
      <c r="W158" s="42" t="n">
        <f aca="false">IF(SUM(Q158:V158)&gt;0,1,0)</f>
        <v>0</v>
      </c>
    </row>
    <row r="159" customFormat="false" ht="15" hidden="false" customHeight="false" outlineLevel="0" collapsed="false">
      <c r="A159" s="42" t="str">
        <f aca="false">Sales_Transactions!A159</f>
        <v>INV-05-014</v>
      </c>
      <c r="B159" s="42" t="str">
        <f aca="false">Sales_Transactions!B159</f>
        <v>2025-05</v>
      </c>
      <c r="C159" s="42" t="str">
        <f aca="false">Sales_Transactions!C159</f>
        <v>Actual</v>
      </c>
      <c r="D159" s="42" t="str">
        <f aca="false">Sales_Transactions!D159</f>
        <v>C008</v>
      </c>
      <c r="E159" s="42" t="str">
        <f aca="false">Sales_Transactions!E159</f>
        <v>P006</v>
      </c>
      <c r="F159" s="42" t="str">
        <f aca="false">IFERROR(INDEX(Customer_Master!$C$2:$C$49,MATCH(D159,Customer_Master!$A$2:$A$49,0)),"UNMATCHED")</f>
        <v>East</v>
      </c>
      <c r="G159" s="42" t="str">
        <f aca="false">IFERROR(INDEX(Customer_Master!$D$2:$D$49,MATCH(D159,Customer_Master!$A$2:$A$49,0)),"UNMATCHED")</f>
        <v>Modern Trade</v>
      </c>
      <c r="H159" s="42" t="str">
        <f aca="false">IFERROR(INDEX(Product_Master!$C$2:$C$9,MATCH(E159,Product_Master!$A$2:$A$9,0)),"UNMATCHED")</f>
        <v>Foods</v>
      </c>
      <c r="I159" s="42" t="str">
        <f aca="false">IFERROR(INDEX(Product_Master!$B$2:$B$9,MATCH(E159,Product_Master!$A$2:$A$9,0)),"UNMATCHED")</f>
        <v>Breakfast Cereal</v>
      </c>
      <c r="J159" s="42" t="n">
        <f aca="false">IFERROR(INDEX(Calendar!$B$2:$B$25,MATCH(B159,Calendar!$A$2:$A$25,0)),0)</f>
        <v>2025</v>
      </c>
      <c r="K159" s="42" t="n">
        <f aca="false">IFERROR(VALUE(RIGHT(B159,2)),0)</f>
        <v>5</v>
      </c>
      <c r="L159" s="42" t="str">
        <f aca="false">IFERROR(INDEX(Calendar!$E$2:$E$25,MATCH(B159,Calendar!$A$2:$A$25,0)),"UNMATCHED")</f>
        <v>Actual</v>
      </c>
      <c r="M159" s="42" t="n">
        <f aca="false">Sales_Transactions!F159</f>
        <v>328</v>
      </c>
      <c r="N159" s="52" t="n">
        <f aca="false">Sales_Transactions!I159</f>
        <v>81084.88</v>
      </c>
      <c r="O159" s="52" t="n">
        <f aca="false">Sales_Transactions!J159</f>
        <v>53841.2</v>
      </c>
      <c r="P159" s="52" t="n">
        <f aca="false">Sales_Transactions!K159</f>
        <v>27243.68</v>
      </c>
      <c r="Q159" s="42" t="n">
        <f aca="false">IF(ISNUMBER(MATCH(E159,Product_Master!$A$2:$A$9,0)),0,1)</f>
        <v>0</v>
      </c>
      <c r="R159" s="42" t="n">
        <f aca="false">IF(ISNUMBER(MATCH(D159,Customer_Master!$A$2:$A$49,0)),0,1)</f>
        <v>0</v>
      </c>
      <c r="S159" s="42" t="n">
        <f aca="false">IF(ISNUMBER(MATCH(B159,Calendar!$A$2:$A$25,0)),0,1)</f>
        <v>0</v>
      </c>
      <c r="T159" s="42" t="n">
        <f aca="false">IF(COUNTIF(Sales_Transactions!$A$2:$A$865,A159)&gt;1,1,0)</f>
        <v>0</v>
      </c>
      <c r="U159" s="42" t="n">
        <f aca="false">IF(OR(ABS(Sales_Transactions!F159*Sales_Transactions!G159-Sales_Transactions!I159)&gt;0.01,ABS(Sales_Transactions!F159*Sales_Transactions!H159-Sales_Transactions!J159)&gt;0.01,ABS(Sales_Transactions!I159-Sales_Transactions!J159-Sales_Transactions!K159)&gt;0.01),1,0)</f>
        <v>0</v>
      </c>
      <c r="V159" s="42" t="n">
        <f aca="false">IF(C159&lt;&gt;L159,1,0)</f>
        <v>0</v>
      </c>
      <c r="W159" s="42" t="n">
        <f aca="false">IF(SUM(Q159:V159)&gt;0,1,0)</f>
        <v>0</v>
      </c>
    </row>
    <row r="160" customFormat="false" ht="15" hidden="false" customHeight="false" outlineLevel="0" collapsed="false">
      <c r="A160" s="42" t="str">
        <f aca="false">Sales_Transactions!A160</f>
        <v>INV-05-015</v>
      </c>
      <c r="B160" s="42" t="str">
        <f aca="false">Sales_Transactions!B160</f>
        <v>2025-05</v>
      </c>
      <c r="C160" s="42" t="str">
        <f aca="false">Sales_Transactions!C160</f>
        <v>Actual</v>
      </c>
      <c r="D160" s="42" t="str">
        <f aca="false">Sales_Transactions!D160</f>
        <v>C015</v>
      </c>
      <c r="E160" s="42" t="str">
        <f aca="false">Sales_Transactions!E160</f>
        <v>P003</v>
      </c>
      <c r="F160" s="42" t="str">
        <f aca="false">IFERROR(INDEX(Customer_Master!$C$2:$C$49,MATCH(D160,Customer_Master!$A$2:$A$49,0)),"UNMATCHED")</f>
        <v>West</v>
      </c>
      <c r="G160" s="42" t="str">
        <f aca="false">IFERROR(INDEX(Customer_Master!$D$2:$D$49,MATCH(D160,Customer_Master!$A$2:$A$49,0)),"UNMATCHED")</f>
        <v>Retail</v>
      </c>
      <c r="H160" s="42" t="str">
        <f aca="false">IFERROR(INDEX(Product_Master!$C$2:$C$9,MATCH(E160,Product_Master!$A$2:$A$9,0)),"UNMATCHED")</f>
        <v>Personal Care</v>
      </c>
      <c r="I160" s="42" t="str">
        <f aca="false">IFERROR(INDEX(Product_Master!$B$2:$B$9,MATCH(E160,Product_Master!$A$2:$A$9,0)),"UNMATCHED")</f>
        <v>Shampoo 400ml</v>
      </c>
      <c r="J160" s="42" t="n">
        <f aca="false">IFERROR(INDEX(Calendar!$B$2:$B$25,MATCH(B160,Calendar!$A$2:$A$25,0)),0)</f>
        <v>2025</v>
      </c>
      <c r="K160" s="42" t="n">
        <f aca="false">IFERROR(VALUE(RIGHT(B160,2)),0)</f>
        <v>5</v>
      </c>
      <c r="L160" s="42" t="str">
        <f aca="false">IFERROR(INDEX(Calendar!$E$2:$E$25,MATCH(B160,Calendar!$A$2:$A$25,0)),"UNMATCHED")</f>
        <v>Actual</v>
      </c>
      <c r="M160" s="42" t="n">
        <f aca="false">Sales_Transactions!F160</f>
        <v>318</v>
      </c>
      <c r="N160" s="52" t="n">
        <f aca="false">Sales_Transactions!I160</f>
        <v>84044.22</v>
      </c>
      <c r="O160" s="52" t="n">
        <f aca="false">Sales_Transactions!J160</f>
        <v>56311.44</v>
      </c>
      <c r="P160" s="52" t="n">
        <f aca="false">Sales_Transactions!K160</f>
        <v>27732.78</v>
      </c>
      <c r="Q160" s="42" t="n">
        <f aca="false">IF(ISNUMBER(MATCH(E160,Product_Master!$A$2:$A$9,0)),0,1)</f>
        <v>0</v>
      </c>
      <c r="R160" s="42" t="n">
        <f aca="false">IF(ISNUMBER(MATCH(D160,Customer_Master!$A$2:$A$49,0)),0,1)</f>
        <v>0</v>
      </c>
      <c r="S160" s="42" t="n">
        <f aca="false">IF(ISNUMBER(MATCH(B160,Calendar!$A$2:$A$25,0)),0,1)</f>
        <v>0</v>
      </c>
      <c r="T160" s="42" t="n">
        <f aca="false">IF(COUNTIF(Sales_Transactions!$A$2:$A$865,A160)&gt;1,1,0)</f>
        <v>0</v>
      </c>
      <c r="U160" s="42" t="n">
        <f aca="false">IF(OR(ABS(Sales_Transactions!F160*Sales_Transactions!G160-Sales_Transactions!I160)&gt;0.01,ABS(Sales_Transactions!F160*Sales_Transactions!H160-Sales_Transactions!J160)&gt;0.01,ABS(Sales_Transactions!I160-Sales_Transactions!J160-Sales_Transactions!K160)&gt;0.01),1,0)</f>
        <v>0</v>
      </c>
      <c r="V160" s="42" t="n">
        <f aca="false">IF(C160&lt;&gt;L160,1,0)</f>
        <v>0</v>
      </c>
      <c r="W160" s="42" t="n">
        <f aca="false">IF(SUM(Q160:V160)&gt;0,1,0)</f>
        <v>0</v>
      </c>
    </row>
    <row r="161" customFormat="false" ht="15" hidden="false" customHeight="false" outlineLevel="0" collapsed="false">
      <c r="A161" s="42" t="str">
        <f aca="false">Sales_Transactions!A161</f>
        <v>INV-05-016</v>
      </c>
      <c r="B161" s="42" t="str">
        <f aca="false">Sales_Transactions!B161</f>
        <v>2025-05</v>
      </c>
      <c r="C161" s="42" t="str">
        <f aca="false">Sales_Transactions!C161</f>
        <v>Actual</v>
      </c>
      <c r="D161" s="42" t="str">
        <f aca="false">Sales_Transactions!D161</f>
        <v>C022</v>
      </c>
      <c r="E161" s="42" t="str">
        <f aca="false">Sales_Transactions!E161</f>
        <v>P008</v>
      </c>
      <c r="F161" s="42" t="str">
        <f aca="false">IFERROR(INDEX(Customer_Master!$C$2:$C$49,MATCH(D161,Customer_Master!$A$2:$A$49,0)),"UNMATCHED")</f>
        <v>North</v>
      </c>
      <c r="G161" s="42" t="str">
        <f aca="false">IFERROR(INDEX(Customer_Master!$D$2:$D$49,MATCH(D161,Customer_Master!$A$2:$A$49,0)),"UNMATCHED")</f>
        <v>Distributor</v>
      </c>
      <c r="H161" s="42" t="str">
        <f aca="false">IFERROR(INDEX(Product_Master!$C$2:$C$9,MATCH(E161,Product_Master!$A$2:$A$9,0)),"UNMATCHED")</f>
        <v>Personal Care</v>
      </c>
      <c r="I161" s="42" t="str">
        <f aca="false">IFERROR(INDEX(Product_Master!$B$2:$B$9,MATCH(E161,Product_Master!$A$2:$A$9,0)),"UNMATCHED")</f>
        <v>Body Lotion</v>
      </c>
      <c r="J161" s="42" t="n">
        <f aca="false">IFERROR(INDEX(Calendar!$B$2:$B$25,MATCH(B161,Calendar!$A$2:$A$25,0)),0)</f>
        <v>2025</v>
      </c>
      <c r="K161" s="42" t="n">
        <f aca="false">IFERROR(VALUE(RIGHT(B161,2)),0)</f>
        <v>5</v>
      </c>
      <c r="L161" s="42" t="str">
        <f aca="false">IFERROR(INDEX(Calendar!$E$2:$E$25,MATCH(B161,Calendar!$A$2:$A$25,0)),"UNMATCHED")</f>
        <v>Actual</v>
      </c>
      <c r="M161" s="42" t="n">
        <f aca="false">Sales_Transactions!F161</f>
        <v>184</v>
      </c>
      <c r="N161" s="52" t="n">
        <f aca="false">Sales_Transactions!I161</f>
        <v>58806.4</v>
      </c>
      <c r="O161" s="52" t="n">
        <f aca="false">Sales_Transactions!J161</f>
        <v>37394.32</v>
      </c>
      <c r="P161" s="52" t="n">
        <f aca="false">Sales_Transactions!K161</f>
        <v>21412.08</v>
      </c>
      <c r="Q161" s="42" t="n">
        <f aca="false">IF(ISNUMBER(MATCH(E161,Product_Master!$A$2:$A$9,0)),0,1)</f>
        <v>0</v>
      </c>
      <c r="R161" s="42" t="n">
        <f aca="false">IF(ISNUMBER(MATCH(D161,Customer_Master!$A$2:$A$49,0)),0,1)</f>
        <v>0</v>
      </c>
      <c r="S161" s="42" t="n">
        <f aca="false">IF(ISNUMBER(MATCH(B161,Calendar!$A$2:$A$25,0)),0,1)</f>
        <v>0</v>
      </c>
      <c r="T161" s="42" t="n">
        <f aca="false">IF(COUNTIF(Sales_Transactions!$A$2:$A$865,A161)&gt;1,1,0)</f>
        <v>0</v>
      </c>
      <c r="U161" s="42" t="n">
        <f aca="false">IF(OR(ABS(Sales_Transactions!F161*Sales_Transactions!G161-Sales_Transactions!I161)&gt;0.01,ABS(Sales_Transactions!F161*Sales_Transactions!H161-Sales_Transactions!J161)&gt;0.01,ABS(Sales_Transactions!I161-Sales_Transactions!J161-Sales_Transactions!K161)&gt;0.01),1,0)</f>
        <v>0</v>
      </c>
      <c r="V161" s="42" t="n">
        <f aca="false">IF(C161&lt;&gt;L161,1,0)</f>
        <v>0</v>
      </c>
      <c r="W161" s="42" t="n">
        <f aca="false">IF(SUM(Q161:V161)&gt;0,1,0)</f>
        <v>0</v>
      </c>
    </row>
    <row r="162" customFormat="false" ht="15" hidden="false" customHeight="false" outlineLevel="0" collapsed="false">
      <c r="A162" s="42" t="str">
        <f aca="false">Sales_Transactions!A162</f>
        <v>INV-05-017</v>
      </c>
      <c r="B162" s="42" t="str">
        <f aca="false">Sales_Transactions!B162</f>
        <v>2025-05</v>
      </c>
      <c r="C162" s="42" t="str">
        <f aca="false">Sales_Transactions!C162</f>
        <v>Actual</v>
      </c>
      <c r="D162" s="42" t="str">
        <f aca="false">Sales_Transactions!D162</f>
        <v>C029</v>
      </c>
      <c r="E162" s="42" t="str">
        <f aca="false">Sales_Transactions!E162</f>
        <v>P005</v>
      </c>
      <c r="F162" s="42" t="str">
        <f aca="false">IFERROR(INDEX(Customer_Master!$C$2:$C$49,MATCH(D162,Customer_Master!$A$2:$A$49,0)),"UNMATCHED")</f>
        <v>South</v>
      </c>
      <c r="G162" s="42" t="str">
        <f aca="false">IFERROR(INDEX(Customer_Master!$D$2:$D$49,MATCH(D162,Customer_Master!$A$2:$A$49,0)),"UNMATCHED")</f>
        <v>Modern Trade</v>
      </c>
      <c r="H162" s="42" t="str">
        <f aca="false">IFERROR(INDEX(Product_Master!$C$2:$C$9,MATCH(E162,Product_Master!$A$2:$A$9,0)),"UNMATCHED")</f>
        <v>Foods</v>
      </c>
      <c r="I162" s="42" t="str">
        <f aca="false">IFERROR(INDEX(Product_Master!$B$2:$B$9,MATCH(E162,Product_Master!$A$2:$A$9,0)),"UNMATCHED")</f>
        <v>Biscuits 500g</v>
      </c>
      <c r="J162" s="42" t="n">
        <f aca="false">IFERROR(INDEX(Calendar!$B$2:$B$25,MATCH(B162,Calendar!$A$2:$A$25,0)),0)</f>
        <v>2025</v>
      </c>
      <c r="K162" s="42" t="n">
        <f aca="false">IFERROR(VALUE(RIGHT(B162,2)),0)</f>
        <v>5</v>
      </c>
      <c r="L162" s="42" t="str">
        <f aca="false">IFERROR(INDEX(Calendar!$E$2:$E$25,MATCH(B162,Calendar!$A$2:$A$25,0)),"UNMATCHED")</f>
        <v>Actual</v>
      </c>
      <c r="M162" s="42" t="n">
        <f aca="false">Sales_Transactions!F162</f>
        <v>289</v>
      </c>
      <c r="N162" s="52" t="n">
        <f aca="false">Sales_Transactions!I162</f>
        <v>29301.71</v>
      </c>
      <c r="O162" s="52" t="n">
        <f aca="false">Sales_Transactions!J162</f>
        <v>20111.51</v>
      </c>
      <c r="P162" s="52" t="n">
        <f aca="false">Sales_Transactions!K162</f>
        <v>9190.2</v>
      </c>
      <c r="Q162" s="42" t="n">
        <f aca="false">IF(ISNUMBER(MATCH(E162,Product_Master!$A$2:$A$9,0)),0,1)</f>
        <v>0</v>
      </c>
      <c r="R162" s="42" t="n">
        <f aca="false">IF(ISNUMBER(MATCH(D162,Customer_Master!$A$2:$A$49,0)),0,1)</f>
        <v>0</v>
      </c>
      <c r="S162" s="42" t="n">
        <f aca="false">IF(ISNUMBER(MATCH(B162,Calendar!$A$2:$A$25,0)),0,1)</f>
        <v>0</v>
      </c>
      <c r="T162" s="42" t="n">
        <f aca="false">IF(COUNTIF(Sales_Transactions!$A$2:$A$865,A162)&gt;1,1,0)</f>
        <v>0</v>
      </c>
      <c r="U162" s="42" t="n">
        <f aca="false">IF(OR(ABS(Sales_Transactions!F162*Sales_Transactions!G162-Sales_Transactions!I162)&gt;0.01,ABS(Sales_Transactions!F162*Sales_Transactions!H162-Sales_Transactions!J162)&gt;0.01,ABS(Sales_Transactions!I162-Sales_Transactions!J162-Sales_Transactions!K162)&gt;0.01),1,0)</f>
        <v>0</v>
      </c>
      <c r="V162" s="42" t="n">
        <f aca="false">IF(C162&lt;&gt;L162,1,0)</f>
        <v>0</v>
      </c>
      <c r="W162" s="42" t="n">
        <f aca="false">IF(SUM(Q162:V162)&gt;0,1,0)</f>
        <v>0</v>
      </c>
    </row>
    <row r="163" customFormat="false" ht="15" hidden="false" customHeight="false" outlineLevel="0" collapsed="false">
      <c r="A163" s="42" t="str">
        <f aca="false">Sales_Transactions!A163</f>
        <v>INV-05-018</v>
      </c>
      <c r="B163" s="42" t="str">
        <f aca="false">Sales_Transactions!B163</f>
        <v>2025-05</v>
      </c>
      <c r="C163" s="42" t="str">
        <f aca="false">Sales_Transactions!C163</f>
        <v>Actual</v>
      </c>
      <c r="D163" s="42" t="str">
        <f aca="false">Sales_Transactions!D163</f>
        <v>C036</v>
      </c>
      <c r="E163" s="42" t="str">
        <f aca="false">Sales_Transactions!E163</f>
        <v>P002</v>
      </c>
      <c r="F163" s="42" t="str">
        <f aca="false">IFERROR(INDEX(Customer_Master!$C$2:$C$49,MATCH(D163,Customer_Master!$A$2:$A$49,0)),"UNMATCHED")</f>
        <v>East</v>
      </c>
      <c r="G163" s="42" t="str">
        <f aca="false">IFERROR(INDEX(Customer_Master!$D$2:$D$49,MATCH(D163,Customer_Master!$A$2:$A$49,0)),"UNMATCHED")</f>
        <v>Retail</v>
      </c>
      <c r="H163" s="42" t="str">
        <f aca="false">IFERROR(INDEX(Product_Master!$C$2:$C$9,MATCH(E163,Product_Master!$A$2:$A$9,0)),"UNMATCHED")</f>
        <v>Home Care</v>
      </c>
      <c r="I163" s="42" t="str">
        <f aca="false">IFERROR(INDEX(Product_Master!$B$2:$B$9,MATCH(E163,Product_Master!$A$2:$A$9,0)),"UNMATCHED")</f>
        <v>Dishwash Gel</v>
      </c>
      <c r="J163" s="42" t="n">
        <f aca="false">IFERROR(INDEX(Calendar!$B$2:$B$25,MATCH(B163,Calendar!$A$2:$A$25,0)),0)</f>
        <v>2025</v>
      </c>
      <c r="K163" s="42" t="n">
        <f aca="false">IFERROR(VALUE(RIGHT(B163,2)),0)</f>
        <v>5</v>
      </c>
      <c r="L163" s="42" t="str">
        <f aca="false">IFERROR(INDEX(Calendar!$E$2:$E$25,MATCH(B163,Calendar!$A$2:$A$25,0)),"UNMATCHED")</f>
        <v>Actual</v>
      </c>
      <c r="M163" s="42" t="n">
        <f aca="false">Sales_Transactions!F163</f>
        <v>87</v>
      </c>
      <c r="N163" s="52" t="n">
        <f aca="false">Sales_Transactions!I163</f>
        <v>12691.56</v>
      </c>
      <c r="O163" s="52" t="n">
        <f aca="false">Sales_Transactions!J163</f>
        <v>7585.53</v>
      </c>
      <c r="P163" s="52" t="n">
        <f aca="false">Sales_Transactions!K163</f>
        <v>5106.03</v>
      </c>
      <c r="Q163" s="42" t="n">
        <f aca="false">IF(ISNUMBER(MATCH(E163,Product_Master!$A$2:$A$9,0)),0,1)</f>
        <v>0</v>
      </c>
      <c r="R163" s="42" t="n">
        <f aca="false">IF(ISNUMBER(MATCH(D163,Customer_Master!$A$2:$A$49,0)),0,1)</f>
        <v>0</v>
      </c>
      <c r="S163" s="42" t="n">
        <f aca="false">IF(ISNUMBER(MATCH(B163,Calendar!$A$2:$A$25,0)),0,1)</f>
        <v>0</v>
      </c>
      <c r="T163" s="42" t="n">
        <f aca="false">IF(COUNTIF(Sales_Transactions!$A$2:$A$865,A163)&gt;1,1,0)</f>
        <v>0</v>
      </c>
      <c r="U163" s="42" t="n">
        <f aca="false">IF(OR(ABS(Sales_Transactions!F163*Sales_Transactions!G163-Sales_Transactions!I163)&gt;0.01,ABS(Sales_Transactions!F163*Sales_Transactions!H163-Sales_Transactions!J163)&gt;0.01,ABS(Sales_Transactions!I163-Sales_Transactions!J163-Sales_Transactions!K163)&gt;0.01),1,0)</f>
        <v>0</v>
      </c>
      <c r="V163" s="42" t="n">
        <f aca="false">IF(C163&lt;&gt;L163,1,0)</f>
        <v>0</v>
      </c>
      <c r="W163" s="42" t="n">
        <f aca="false">IF(SUM(Q163:V163)&gt;0,1,0)</f>
        <v>0</v>
      </c>
    </row>
    <row r="164" customFormat="false" ht="15" hidden="false" customHeight="false" outlineLevel="0" collapsed="false">
      <c r="A164" s="42" t="str">
        <f aca="false">Sales_Transactions!A164</f>
        <v>INV-05-019</v>
      </c>
      <c r="B164" s="42" t="str">
        <f aca="false">Sales_Transactions!B164</f>
        <v>2025-05</v>
      </c>
      <c r="C164" s="42" t="str">
        <f aca="false">Sales_Transactions!C164</f>
        <v>Actual</v>
      </c>
      <c r="D164" s="42" t="str">
        <f aca="false">Sales_Transactions!D164</f>
        <v>C043</v>
      </c>
      <c r="E164" s="42" t="str">
        <f aca="false">Sales_Transactions!E164</f>
        <v>P007</v>
      </c>
      <c r="F164" s="42" t="str">
        <f aca="false">IFERROR(INDEX(Customer_Master!$C$2:$C$49,MATCH(D164,Customer_Master!$A$2:$A$49,0)),"UNMATCHED")</f>
        <v>West</v>
      </c>
      <c r="G164" s="42" t="str">
        <f aca="false">IFERROR(INDEX(Customer_Master!$D$2:$D$49,MATCH(D164,Customer_Master!$A$2:$A$49,0)),"UNMATCHED")</f>
        <v>Distributor</v>
      </c>
      <c r="H164" s="42" t="str">
        <f aca="false">IFERROR(INDEX(Product_Master!$C$2:$C$9,MATCH(E164,Product_Master!$A$2:$A$9,0)),"UNMATCHED")</f>
        <v>Home Care</v>
      </c>
      <c r="I164" s="42" t="str">
        <f aca="false">IFERROR(INDEX(Product_Master!$B$2:$B$9,MATCH(E164,Product_Master!$A$2:$A$9,0)),"UNMATCHED")</f>
        <v>Floor Cleaner</v>
      </c>
      <c r="J164" s="42" t="n">
        <f aca="false">IFERROR(INDEX(Calendar!$B$2:$B$25,MATCH(B164,Calendar!$A$2:$A$25,0)),0)</f>
        <v>2025</v>
      </c>
      <c r="K164" s="42" t="n">
        <f aca="false">IFERROR(VALUE(RIGHT(B164,2)),0)</f>
        <v>5</v>
      </c>
      <c r="L164" s="42" t="str">
        <f aca="false">IFERROR(INDEX(Calendar!$E$2:$E$25,MATCH(B164,Calendar!$A$2:$A$25,0)),"UNMATCHED")</f>
        <v>Actual</v>
      </c>
      <c r="M164" s="42" t="n">
        <f aca="false">Sales_Transactions!F164</f>
        <v>139</v>
      </c>
      <c r="N164" s="52" t="n">
        <f aca="false">Sales_Transactions!I164</f>
        <v>26177.87</v>
      </c>
      <c r="O164" s="52" t="n">
        <f aca="false">Sales_Transactions!J164</f>
        <v>15353.94</v>
      </c>
      <c r="P164" s="52" t="n">
        <f aca="false">Sales_Transactions!K164</f>
        <v>10823.93</v>
      </c>
      <c r="Q164" s="42" t="n">
        <f aca="false">IF(ISNUMBER(MATCH(E164,Product_Master!$A$2:$A$9,0)),0,1)</f>
        <v>0</v>
      </c>
      <c r="R164" s="42" t="n">
        <f aca="false">IF(ISNUMBER(MATCH(D164,Customer_Master!$A$2:$A$49,0)),0,1)</f>
        <v>0</v>
      </c>
      <c r="S164" s="42" t="n">
        <f aca="false">IF(ISNUMBER(MATCH(B164,Calendar!$A$2:$A$25,0)),0,1)</f>
        <v>0</v>
      </c>
      <c r="T164" s="42" t="n">
        <f aca="false">IF(COUNTIF(Sales_Transactions!$A$2:$A$865,A164)&gt;1,1,0)</f>
        <v>0</v>
      </c>
      <c r="U164" s="42" t="n">
        <f aca="false">IF(OR(ABS(Sales_Transactions!F164*Sales_Transactions!G164-Sales_Transactions!I164)&gt;0.01,ABS(Sales_Transactions!F164*Sales_Transactions!H164-Sales_Transactions!J164)&gt;0.01,ABS(Sales_Transactions!I164-Sales_Transactions!J164-Sales_Transactions!K164)&gt;0.01),1,0)</f>
        <v>0</v>
      </c>
      <c r="V164" s="42" t="n">
        <f aca="false">IF(C164&lt;&gt;L164,1,0)</f>
        <v>0</v>
      </c>
      <c r="W164" s="42" t="n">
        <f aca="false">IF(SUM(Q164:V164)&gt;0,1,0)</f>
        <v>0</v>
      </c>
    </row>
    <row r="165" customFormat="false" ht="15" hidden="false" customHeight="false" outlineLevel="0" collapsed="false">
      <c r="A165" s="42" t="str">
        <f aca="false">Sales_Transactions!A165</f>
        <v>INV-05-020</v>
      </c>
      <c r="B165" s="42" t="str">
        <f aca="false">Sales_Transactions!B165</f>
        <v>2025-05</v>
      </c>
      <c r="C165" s="42" t="str">
        <f aca="false">Sales_Transactions!C165</f>
        <v>Actual</v>
      </c>
      <c r="D165" s="42" t="str">
        <f aca="false">Sales_Transactions!D165</f>
        <v>C002</v>
      </c>
      <c r="E165" s="42" t="str">
        <f aca="false">Sales_Transactions!E165</f>
        <v>P004</v>
      </c>
      <c r="F165" s="42" t="str">
        <f aca="false">IFERROR(INDEX(Customer_Master!$C$2:$C$49,MATCH(D165,Customer_Master!$A$2:$A$49,0)),"UNMATCHED")</f>
        <v>North</v>
      </c>
      <c r="G165" s="42" t="str">
        <f aca="false">IFERROR(INDEX(Customer_Master!$D$2:$D$49,MATCH(D165,Customer_Master!$A$2:$A$49,0)),"UNMATCHED")</f>
        <v>Modern Trade</v>
      </c>
      <c r="H165" s="42" t="str">
        <f aca="false">IFERROR(INDEX(Product_Master!$C$2:$C$9,MATCH(E165,Product_Master!$A$2:$A$9,0)),"UNMATCHED")</f>
        <v>Personal Care</v>
      </c>
      <c r="I165" s="42" t="str">
        <f aca="false">IFERROR(INDEX(Product_Master!$B$2:$B$9,MATCH(E165,Product_Master!$A$2:$A$9,0)),"UNMATCHED")</f>
        <v>Soap 4-pack</v>
      </c>
      <c r="J165" s="42" t="n">
        <f aca="false">IFERROR(INDEX(Calendar!$B$2:$B$25,MATCH(B165,Calendar!$A$2:$A$25,0)),0)</f>
        <v>2025</v>
      </c>
      <c r="K165" s="42" t="n">
        <f aca="false">IFERROR(VALUE(RIGHT(B165,2)),0)</f>
        <v>5</v>
      </c>
      <c r="L165" s="42" t="str">
        <f aca="false">IFERROR(INDEX(Calendar!$E$2:$E$25,MATCH(B165,Calendar!$A$2:$A$25,0)),"UNMATCHED")</f>
        <v>Actual</v>
      </c>
      <c r="M165" s="42" t="n">
        <f aca="false">Sales_Transactions!F165</f>
        <v>441</v>
      </c>
      <c r="N165" s="52" t="n">
        <f aca="false">Sales_Transactions!I165</f>
        <v>73880.73</v>
      </c>
      <c r="O165" s="52" t="n">
        <f aca="false">Sales_Transactions!J165</f>
        <v>40898.34</v>
      </c>
      <c r="P165" s="52" t="n">
        <f aca="false">Sales_Transactions!K165</f>
        <v>32982.39</v>
      </c>
      <c r="Q165" s="42" t="n">
        <f aca="false">IF(ISNUMBER(MATCH(E165,Product_Master!$A$2:$A$9,0)),0,1)</f>
        <v>0</v>
      </c>
      <c r="R165" s="42" t="n">
        <f aca="false">IF(ISNUMBER(MATCH(D165,Customer_Master!$A$2:$A$49,0)),0,1)</f>
        <v>0</v>
      </c>
      <c r="S165" s="42" t="n">
        <f aca="false">IF(ISNUMBER(MATCH(B165,Calendar!$A$2:$A$25,0)),0,1)</f>
        <v>0</v>
      </c>
      <c r="T165" s="42" t="n">
        <f aca="false">IF(COUNTIF(Sales_Transactions!$A$2:$A$865,A165)&gt;1,1,0)</f>
        <v>0</v>
      </c>
      <c r="U165" s="42" t="n">
        <f aca="false">IF(OR(ABS(Sales_Transactions!F165*Sales_Transactions!G165-Sales_Transactions!I165)&gt;0.01,ABS(Sales_Transactions!F165*Sales_Transactions!H165-Sales_Transactions!J165)&gt;0.01,ABS(Sales_Transactions!I165-Sales_Transactions!J165-Sales_Transactions!K165)&gt;0.01),1,0)</f>
        <v>0</v>
      </c>
      <c r="V165" s="42" t="n">
        <f aca="false">IF(C165&lt;&gt;L165,1,0)</f>
        <v>0</v>
      </c>
      <c r="W165" s="42" t="n">
        <f aca="false">IF(SUM(Q165:V165)&gt;0,1,0)</f>
        <v>0</v>
      </c>
    </row>
    <row r="166" customFormat="false" ht="15" hidden="false" customHeight="false" outlineLevel="0" collapsed="false">
      <c r="A166" s="42" t="str">
        <f aca="false">Sales_Transactions!A166</f>
        <v>INV-05-021</v>
      </c>
      <c r="B166" s="42" t="str">
        <f aca="false">Sales_Transactions!B166</f>
        <v>2025-05</v>
      </c>
      <c r="C166" s="42" t="str">
        <f aca="false">Sales_Transactions!C166</f>
        <v>Actual</v>
      </c>
      <c r="D166" s="42" t="str">
        <f aca="false">Sales_Transactions!D166</f>
        <v>C009</v>
      </c>
      <c r="E166" s="42" t="str">
        <f aca="false">Sales_Transactions!E166</f>
        <v>P001</v>
      </c>
      <c r="F166" s="42" t="str">
        <f aca="false">IFERROR(INDEX(Customer_Master!$C$2:$C$49,MATCH(D166,Customer_Master!$A$2:$A$49,0)),"UNMATCHED")</f>
        <v>South</v>
      </c>
      <c r="G166" s="42" t="str">
        <f aca="false">IFERROR(INDEX(Customer_Master!$D$2:$D$49,MATCH(D166,Customer_Master!$A$2:$A$49,0)),"UNMATCHED")</f>
        <v>Retail</v>
      </c>
      <c r="H166" s="42" t="str">
        <f aca="false">IFERROR(INDEX(Product_Master!$C$2:$C$9,MATCH(E166,Product_Master!$A$2:$A$9,0)),"UNMATCHED")</f>
        <v>Home Care</v>
      </c>
      <c r="I166" s="42" t="str">
        <f aca="false">IFERROR(INDEX(Product_Master!$B$2:$B$9,MATCH(E166,Product_Master!$A$2:$A$9,0)),"UNMATCHED")</f>
        <v>Detergent 1kg</v>
      </c>
      <c r="J166" s="42" t="n">
        <f aca="false">IFERROR(INDEX(Calendar!$B$2:$B$25,MATCH(B166,Calendar!$A$2:$A$25,0)),0)</f>
        <v>2025</v>
      </c>
      <c r="K166" s="42" t="n">
        <f aca="false">IFERROR(VALUE(RIGHT(B166,2)),0)</f>
        <v>5</v>
      </c>
      <c r="L166" s="42" t="str">
        <f aca="false">IFERROR(INDEX(Calendar!$E$2:$E$25,MATCH(B166,Calendar!$A$2:$A$25,0)),"UNMATCHED")</f>
        <v>Actual</v>
      </c>
      <c r="M166" s="42" t="n">
        <f aca="false">Sales_Transactions!F166</f>
        <v>212</v>
      </c>
      <c r="N166" s="52" t="n">
        <f aca="false">Sales_Transactions!I166</f>
        <v>44933.4</v>
      </c>
      <c r="O166" s="52" t="n">
        <f aca="false">Sales_Transactions!J166</f>
        <v>27271.68</v>
      </c>
      <c r="P166" s="52" t="n">
        <f aca="false">Sales_Transactions!K166</f>
        <v>17661.72</v>
      </c>
      <c r="Q166" s="42" t="n">
        <f aca="false">IF(ISNUMBER(MATCH(E166,Product_Master!$A$2:$A$9,0)),0,1)</f>
        <v>0</v>
      </c>
      <c r="R166" s="42" t="n">
        <f aca="false">IF(ISNUMBER(MATCH(D166,Customer_Master!$A$2:$A$49,0)),0,1)</f>
        <v>0</v>
      </c>
      <c r="S166" s="42" t="n">
        <f aca="false">IF(ISNUMBER(MATCH(B166,Calendar!$A$2:$A$25,0)),0,1)</f>
        <v>0</v>
      </c>
      <c r="T166" s="42" t="n">
        <f aca="false">IF(COUNTIF(Sales_Transactions!$A$2:$A$865,A166)&gt;1,1,0)</f>
        <v>0</v>
      </c>
      <c r="U166" s="42" t="n">
        <f aca="false">IF(OR(ABS(Sales_Transactions!F166*Sales_Transactions!G166-Sales_Transactions!I166)&gt;0.01,ABS(Sales_Transactions!F166*Sales_Transactions!H166-Sales_Transactions!J166)&gt;0.01,ABS(Sales_Transactions!I166-Sales_Transactions!J166-Sales_Transactions!K166)&gt;0.01),1,0)</f>
        <v>0</v>
      </c>
      <c r="V166" s="42" t="n">
        <f aca="false">IF(C166&lt;&gt;L166,1,0)</f>
        <v>0</v>
      </c>
      <c r="W166" s="42" t="n">
        <f aca="false">IF(SUM(Q166:V166)&gt;0,1,0)</f>
        <v>0</v>
      </c>
    </row>
    <row r="167" customFormat="false" ht="15" hidden="false" customHeight="false" outlineLevel="0" collapsed="false">
      <c r="A167" s="42" t="str">
        <f aca="false">Sales_Transactions!A167</f>
        <v>INV-05-022</v>
      </c>
      <c r="B167" s="42" t="str">
        <f aca="false">Sales_Transactions!B167</f>
        <v>2025-05</v>
      </c>
      <c r="C167" s="42" t="str">
        <f aca="false">Sales_Transactions!C167</f>
        <v>Actual</v>
      </c>
      <c r="D167" s="42" t="str">
        <f aca="false">Sales_Transactions!D167</f>
        <v>C016</v>
      </c>
      <c r="E167" s="42" t="str">
        <f aca="false">Sales_Transactions!E167</f>
        <v>P006</v>
      </c>
      <c r="F167" s="42" t="str">
        <f aca="false">IFERROR(INDEX(Customer_Master!$C$2:$C$49,MATCH(D167,Customer_Master!$A$2:$A$49,0)),"UNMATCHED")</f>
        <v>East</v>
      </c>
      <c r="G167" s="42" t="str">
        <f aca="false">IFERROR(INDEX(Customer_Master!$D$2:$D$49,MATCH(D167,Customer_Master!$A$2:$A$49,0)),"UNMATCHED")</f>
        <v>Distributor</v>
      </c>
      <c r="H167" s="42" t="str">
        <f aca="false">IFERROR(INDEX(Product_Master!$C$2:$C$9,MATCH(E167,Product_Master!$A$2:$A$9,0)),"UNMATCHED")</f>
        <v>Foods</v>
      </c>
      <c r="I167" s="42" t="str">
        <f aca="false">IFERROR(INDEX(Product_Master!$B$2:$B$9,MATCH(E167,Product_Master!$A$2:$A$9,0)),"UNMATCHED")</f>
        <v>Breakfast Cereal</v>
      </c>
      <c r="J167" s="42" t="n">
        <f aca="false">IFERROR(INDEX(Calendar!$B$2:$B$25,MATCH(B167,Calendar!$A$2:$A$25,0)),0)</f>
        <v>2025</v>
      </c>
      <c r="K167" s="42" t="n">
        <f aca="false">IFERROR(VALUE(RIGHT(B167,2)),0)</f>
        <v>5</v>
      </c>
      <c r="L167" s="42" t="str">
        <f aca="false">IFERROR(INDEX(Calendar!$E$2:$E$25,MATCH(B167,Calendar!$A$2:$A$25,0)),"UNMATCHED")</f>
        <v>Actual</v>
      </c>
      <c r="M167" s="42" t="n">
        <f aca="false">Sales_Transactions!F167</f>
        <v>153</v>
      </c>
      <c r="N167" s="52" t="n">
        <f aca="false">Sales_Transactions!I167</f>
        <v>38788.56</v>
      </c>
      <c r="O167" s="52" t="n">
        <f aca="false">Sales_Transactions!J167</f>
        <v>24825.78</v>
      </c>
      <c r="P167" s="52" t="n">
        <f aca="false">Sales_Transactions!K167</f>
        <v>13962.78</v>
      </c>
      <c r="Q167" s="42" t="n">
        <f aca="false">IF(ISNUMBER(MATCH(E167,Product_Master!$A$2:$A$9,0)),0,1)</f>
        <v>0</v>
      </c>
      <c r="R167" s="42" t="n">
        <f aca="false">IF(ISNUMBER(MATCH(D167,Customer_Master!$A$2:$A$49,0)),0,1)</f>
        <v>0</v>
      </c>
      <c r="S167" s="42" t="n">
        <f aca="false">IF(ISNUMBER(MATCH(B167,Calendar!$A$2:$A$25,0)),0,1)</f>
        <v>0</v>
      </c>
      <c r="T167" s="42" t="n">
        <f aca="false">IF(COUNTIF(Sales_Transactions!$A$2:$A$865,A167)&gt;1,1,0)</f>
        <v>0</v>
      </c>
      <c r="U167" s="42" t="n">
        <f aca="false">IF(OR(ABS(Sales_Transactions!F167*Sales_Transactions!G167-Sales_Transactions!I167)&gt;0.01,ABS(Sales_Transactions!F167*Sales_Transactions!H167-Sales_Transactions!J167)&gt;0.01,ABS(Sales_Transactions!I167-Sales_Transactions!J167-Sales_Transactions!K167)&gt;0.01),1,0)</f>
        <v>0</v>
      </c>
      <c r="V167" s="42" t="n">
        <f aca="false">IF(C167&lt;&gt;L167,1,0)</f>
        <v>0</v>
      </c>
      <c r="W167" s="42" t="n">
        <f aca="false">IF(SUM(Q167:V167)&gt;0,1,0)</f>
        <v>0</v>
      </c>
    </row>
    <row r="168" customFormat="false" ht="15" hidden="false" customHeight="false" outlineLevel="0" collapsed="false">
      <c r="A168" s="42" t="str">
        <f aca="false">Sales_Transactions!A168</f>
        <v>INV-05-023</v>
      </c>
      <c r="B168" s="42" t="str">
        <f aca="false">Sales_Transactions!B168</f>
        <v>2025-05</v>
      </c>
      <c r="C168" s="42" t="str">
        <f aca="false">Sales_Transactions!C168</f>
        <v>Actual</v>
      </c>
      <c r="D168" s="42" t="str">
        <f aca="false">Sales_Transactions!D168</f>
        <v>C023</v>
      </c>
      <c r="E168" s="42" t="str">
        <f aca="false">Sales_Transactions!E168</f>
        <v>P003</v>
      </c>
      <c r="F168" s="42" t="str">
        <f aca="false">IFERROR(INDEX(Customer_Master!$C$2:$C$49,MATCH(D168,Customer_Master!$A$2:$A$49,0)),"UNMATCHED")</f>
        <v>West</v>
      </c>
      <c r="G168" s="42" t="str">
        <f aca="false">IFERROR(INDEX(Customer_Master!$D$2:$D$49,MATCH(D168,Customer_Master!$A$2:$A$49,0)),"UNMATCHED")</f>
        <v>Modern Trade</v>
      </c>
      <c r="H168" s="42" t="str">
        <f aca="false">IFERROR(INDEX(Product_Master!$C$2:$C$9,MATCH(E168,Product_Master!$A$2:$A$9,0)),"UNMATCHED")</f>
        <v>Personal Care</v>
      </c>
      <c r="I168" s="42" t="str">
        <f aca="false">IFERROR(INDEX(Product_Master!$B$2:$B$9,MATCH(E168,Product_Master!$A$2:$A$9,0)),"UNMATCHED")</f>
        <v>Shampoo 400ml</v>
      </c>
      <c r="J168" s="42" t="n">
        <f aca="false">IFERROR(INDEX(Calendar!$B$2:$B$25,MATCH(B168,Calendar!$A$2:$A$25,0)),0)</f>
        <v>2025</v>
      </c>
      <c r="K168" s="42" t="n">
        <f aca="false">IFERROR(VALUE(RIGHT(B168,2)),0)</f>
        <v>5</v>
      </c>
      <c r="L168" s="42" t="str">
        <f aca="false">IFERROR(INDEX(Calendar!$E$2:$E$25,MATCH(B168,Calendar!$A$2:$A$25,0)),"UNMATCHED")</f>
        <v>Actual</v>
      </c>
      <c r="M168" s="42" t="n">
        <f aca="false">Sales_Transactions!F168</f>
        <v>371</v>
      </c>
      <c r="N168" s="52" t="n">
        <f aca="false">Sales_Transactions!I168</f>
        <v>100492.77</v>
      </c>
      <c r="O168" s="52" t="n">
        <f aca="false">Sales_Transactions!J168</f>
        <v>68134.15</v>
      </c>
      <c r="P168" s="52" t="n">
        <f aca="false">Sales_Transactions!K168</f>
        <v>32358.62</v>
      </c>
      <c r="Q168" s="42" t="n">
        <f aca="false">IF(ISNUMBER(MATCH(E168,Product_Master!$A$2:$A$9,0)),0,1)</f>
        <v>0</v>
      </c>
      <c r="R168" s="42" t="n">
        <f aca="false">IF(ISNUMBER(MATCH(D168,Customer_Master!$A$2:$A$49,0)),0,1)</f>
        <v>0</v>
      </c>
      <c r="S168" s="42" t="n">
        <f aca="false">IF(ISNUMBER(MATCH(B168,Calendar!$A$2:$A$25,0)),0,1)</f>
        <v>0</v>
      </c>
      <c r="T168" s="42" t="n">
        <f aca="false">IF(COUNTIF(Sales_Transactions!$A$2:$A$865,A168)&gt;1,1,0)</f>
        <v>0</v>
      </c>
      <c r="U168" s="42" t="n">
        <f aca="false">IF(OR(ABS(Sales_Transactions!F168*Sales_Transactions!G168-Sales_Transactions!I168)&gt;0.01,ABS(Sales_Transactions!F168*Sales_Transactions!H168-Sales_Transactions!J168)&gt;0.01,ABS(Sales_Transactions!I168-Sales_Transactions!J168-Sales_Transactions!K168)&gt;0.01),1,0)</f>
        <v>0</v>
      </c>
      <c r="V168" s="42" t="n">
        <f aca="false">IF(C168&lt;&gt;L168,1,0)</f>
        <v>0</v>
      </c>
      <c r="W168" s="42" t="n">
        <f aca="false">IF(SUM(Q168:V168)&gt;0,1,0)</f>
        <v>0</v>
      </c>
    </row>
    <row r="169" customFormat="false" ht="15" hidden="false" customHeight="false" outlineLevel="0" collapsed="false">
      <c r="A169" s="42" t="str">
        <f aca="false">Sales_Transactions!A169</f>
        <v>INV-05-024</v>
      </c>
      <c r="B169" s="42" t="str">
        <f aca="false">Sales_Transactions!B169</f>
        <v>2025-05</v>
      </c>
      <c r="C169" s="42" t="str">
        <f aca="false">Sales_Transactions!C169</f>
        <v>Actual</v>
      </c>
      <c r="D169" s="42" t="str">
        <f aca="false">Sales_Transactions!D169</f>
        <v>C030</v>
      </c>
      <c r="E169" s="42" t="str">
        <f aca="false">Sales_Transactions!E169</f>
        <v>P008</v>
      </c>
      <c r="F169" s="42" t="str">
        <f aca="false">IFERROR(INDEX(Customer_Master!$C$2:$C$49,MATCH(D169,Customer_Master!$A$2:$A$49,0)),"UNMATCHED")</f>
        <v>North</v>
      </c>
      <c r="G169" s="42" t="str">
        <f aca="false">IFERROR(INDEX(Customer_Master!$D$2:$D$49,MATCH(D169,Customer_Master!$A$2:$A$49,0)),"UNMATCHED")</f>
        <v>Retail</v>
      </c>
      <c r="H169" s="42" t="str">
        <f aca="false">IFERROR(INDEX(Product_Master!$C$2:$C$9,MATCH(E169,Product_Master!$A$2:$A$9,0)),"UNMATCHED")</f>
        <v>Personal Care</v>
      </c>
      <c r="I169" s="42" t="str">
        <f aca="false">IFERROR(INDEX(Product_Master!$B$2:$B$9,MATCH(E169,Product_Master!$A$2:$A$9,0)),"UNMATCHED")</f>
        <v>Body Lotion</v>
      </c>
      <c r="J169" s="42" t="n">
        <f aca="false">IFERROR(INDEX(Calendar!$B$2:$B$25,MATCH(B169,Calendar!$A$2:$A$25,0)),0)</f>
        <v>2025</v>
      </c>
      <c r="K169" s="42" t="n">
        <f aca="false">IFERROR(VALUE(RIGHT(B169,2)),0)</f>
        <v>5</v>
      </c>
      <c r="L169" s="42" t="str">
        <f aca="false">IFERROR(INDEX(Calendar!$E$2:$E$25,MATCH(B169,Calendar!$A$2:$A$25,0)),"UNMATCHED")</f>
        <v>Actual</v>
      </c>
      <c r="M169" s="42" t="n">
        <f aca="false">Sales_Transactions!F169</f>
        <v>311</v>
      </c>
      <c r="N169" s="52" t="n">
        <f aca="false">Sales_Transactions!I169</f>
        <v>98005.43</v>
      </c>
      <c r="O169" s="52" t="n">
        <f aca="false">Sales_Transactions!J169</f>
        <v>65732.96</v>
      </c>
      <c r="P169" s="52" t="n">
        <f aca="false">Sales_Transactions!K169</f>
        <v>32272.47</v>
      </c>
      <c r="Q169" s="42" t="n">
        <f aca="false">IF(ISNUMBER(MATCH(E169,Product_Master!$A$2:$A$9,0)),0,1)</f>
        <v>0</v>
      </c>
      <c r="R169" s="42" t="n">
        <f aca="false">IF(ISNUMBER(MATCH(D169,Customer_Master!$A$2:$A$49,0)),0,1)</f>
        <v>0</v>
      </c>
      <c r="S169" s="42" t="n">
        <f aca="false">IF(ISNUMBER(MATCH(B169,Calendar!$A$2:$A$25,0)),0,1)</f>
        <v>0</v>
      </c>
      <c r="T169" s="42" t="n">
        <f aca="false">IF(COUNTIF(Sales_Transactions!$A$2:$A$865,A169)&gt;1,1,0)</f>
        <v>0</v>
      </c>
      <c r="U169" s="42" t="n">
        <f aca="false">IF(OR(ABS(Sales_Transactions!F169*Sales_Transactions!G169-Sales_Transactions!I169)&gt;0.01,ABS(Sales_Transactions!F169*Sales_Transactions!H169-Sales_Transactions!J169)&gt;0.01,ABS(Sales_Transactions!I169-Sales_Transactions!J169-Sales_Transactions!K169)&gt;0.01),1,0)</f>
        <v>0</v>
      </c>
      <c r="V169" s="42" t="n">
        <f aca="false">IF(C169&lt;&gt;L169,1,0)</f>
        <v>0</v>
      </c>
      <c r="W169" s="42" t="n">
        <f aca="false">IF(SUM(Q169:V169)&gt;0,1,0)</f>
        <v>0</v>
      </c>
    </row>
    <row r="170" customFormat="false" ht="15" hidden="false" customHeight="false" outlineLevel="0" collapsed="false">
      <c r="A170" s="42" t="str">
        <f aca="false">Sales_Transactions!A170</f>
        <v>INV-05-025</v>
      </c>
      <c r="B170" s="42" t="str">
        <f aca="false">Sales_Transactions!B170</f>
        <v>2025-05</v>
      </c>
      <c r="C170" s="42" t="str">
        <f aca="false">Sales_Transactions!C170</f>
        <v>Actual</v>
      </c>
      <c r="D170" s="42" t="str">
        <f aca="false">Sales_Transactions!D170</f>
        <v>C037</v>
      </c>
      <c r="E170" s="42" t="str">
        <f aca="false">Sales_Transactions!E170</f>
        <v>P005</v>
      </c>
      <c r="F170" s="42" t="str">
        <f aca="false">IFERROR(INDEX(Customer_Master!$C$2:$C$49,MATCH(D170,Customer_Master!$A$2:$A$49,0)),"UNMATCHED")</f>
        <v>South</v>
      </c>
      <c r="G170" s="42" t="str">
        <f aca="false">IFERROR(INDEX(Customer_Master!$D$2:$D$49,MATCH(D170,Customer_Master!$A$2:$A$49,0)),"UNMATCHED")</f>
        <v>Distributor</v>
      </c>
      <c r="H170" s="42" t="str">
        <f aca="false">IFERROR(INDEX(Product_Master!$C$2:$C$9,MATCH(E170,Product_Master!$A$2:$A$9,0)),"UNMATCHED")</f>
        <v>Foods</v>
      </c>
      <c r="I170" s="42" t="str">
        <f aca="false">IFERROR(INDEX(Product_Master!$B$2:$B$9,MATCH(E170,Product_Master!$A$2:$A$9,0)),"UNMATCHED")</f>
        <v>Biscuits 500g</v>
      </c>
      <c r="J170" s="42" t="n">
        <f aca="false">IFERROR(INDEX(Calendar!$B$2:$B$25,MATCH(B170,Calendar!$A$2:$A$25,0)),0)</f>
        <v>2025</v>
      </c>
      <c r="K170" s="42" t="n">
        <f aca="false">IFERROR(VALUE(RIGHT(B170,2)),0)</f>
        <v>5</v>
      </c>
      <c r="L170" s="42" t="str">
        <f aca="false">IFERROR(INDEX(Calendar!$E$2:$E$25,MATCH(B170,Calendar!$A$2:$A$25,0)),"UNMATCHED")</f>
        <v>Actual</v>
      </c>
      <c r="M170" s="42" t="n">
        <f aca="false">Sales_Transactions!F170</f>
        <v>343</v>
      </c>
      <c r="N170" s="52" t="n">
        <f aca="false">Sales_Transactions!I170</f>
        <v>35672</v>
      </c>
      <c r="O170" s="52" t="n">
        <f aca="false">Sales_Transactions!J170</f>
        <v>24562.23</v>
      </c>
      <c r="P170" s="52" t="n">
        <f aca="false">Sales_Transactions!K170</f>
        <v>11109.77</v>
      </c>
      <c r="Q170" s="42" t="n">
        <f aca="false">IF(ISNUMBER(MATCH(E170,Product_Master!$A$2:$A$9,0)),0,1)</f>
        <v>0</v>
      </c>
      <c r="R170" s="42" t="n">
        <f aca="false">IF(ISNUMBER(MATCH(D170,Customer_Master!$A$2:$A$49,0)),0,1)</f>
        <v>0</v>
      </c>
      <c r="S170" s="42" t="n">
        <f aca="false">IF(ISNUMBER(MATCH(B170,Calendar!$A$2:$A$25,0)),0,1)</f>
        <v>0</v>
      </c>
      <c r="T170" s="42" t="n">
        <f aca="false">IF(COUNTIF(Sales_Transactions!$A$2:$A$865,A170)&gt;1,1,0)</f>
        <v>0</v>
      </c>
      <c r="U170" s="42" t="n">
        <f aca="false">IF(OR(ABS(Sales_Transactions!F170*Sales_Transactions!G170-Sales_Transactions!I170)&gt;0.01,ABS(Sales_Transactions!F170*Sales_Transactions!H170-Sales_Transactions!J170)&gt;0.01,ABS(Sales_Transactions!I170-Sales_Transactions!J170-Sales_Transactions!K170)&gt;0.01),1,0)</f>
        <v>0</v>
      </c>
      <c r="V170" s="42" t="n">
        <f aca="false">IF(C170&lt;&gt;L170,1,0)</f>
        <v>0</v>
      </c>
      <c r="W170" s="42" t="n">
        <f aca="false">IF(SUM(Q170:V170)&gt;0,1,0)</f>
        <v>0</v>
      </c>
    </row>
    <row r="171" customFormat="false" ht="15" hidden="false" customHeight="false" outlineLevel="0" collapsed="false">
      <c r="A171" s="42" t="str">
        <f aca="false">Sales_Transactions!A171</f>
        <v>INV-05-026</v>
      </c>
      <c r="B171" s="42" t="str">
        <f aca="false">Sales_Transactions!B171</f>
        <v>2025-05</v>
      </c>
      <c r="C171" s="42" t="str">
        <f aca="false">Sales_Transactions!C171</f>
        <v>Actual</v>
      </c>
      <c r="D171" s="42" t="str">
        <f aca="false">Sales_Transactions!D171</f>
        <v>C044</v>
      </c>
      <c r="E171" s="42" t="str">
        <f aca="false">Sales_Transactions!E171</f>
        <v>P002</v>
      </c>
      <c r="F171" s="42" t="str">
        <f aca="false">IFERROR(INDEX(Customer_Master!$C$2:$C$49,MATCH(D171,Customer_Master!$A$2:$A$49,0)),"UNMATCHED")</f>
        <v>East</v>
      </c>
      <c r="G171" s="42" t="str">
        <f aca="false">IFERROR(INDEX(Customer_Master!$D$2:$D$49,MATCH(D171,Customer_Master!$A$2:$A$49,0)),"UNMATCHED")</f>
        <v>Modern Trade</v>
      </c>
      <c r="H171" s="42" t="str">
        <f aca="false">IFERROR(INDEX(Product_Master!$C$2:$C$9,MATCH(E171,Product_Master!$A$2:$A$9,0)),"UNMATCHED")</f>
        <v>Home Care</v>
      </c>
      <c r="I171" s="42" t="str">
        <f aca="false">IFERROR(INDEX(Product_Master!$B$2:$B$9,MATCH(E171,Product_Master!$A$2:$A$9,0)),"UNMATCHED")</f>
        <v>Dishwash Gel</v>
      </c>
      <c r="J171" s="42" t="n">
        <f aca="false">IFERROR(INDEX(Calendar!$B$2:$B$25,MATCH(B171,Calendar!$A$2:$A$25,0)),0)</f>
        <v>2025</v>
      </c>
      <c r="K171" s="42" t="n">
        <f aca="false">IFERROR(VALUE(RIGHT(B171,2)),0)</f>
        <v>5</v>
      </c>
      <c r="L171" s="42" t="str">
        <f aca="false">IFERROR(INDEX(Calendar!$E$2:$E$25,MATCH(B171,Calendar!$A$2:$A$25,0)),"UNMATCHED")</f>
        <v>Actual</v>
      </c>
      <c r="M171" s="42" t="n">
        <f aca="false">Sales_Transactions!F171</f>
        <v>313</v>
      </c>
      <c r="N171" s="52" t="n">
        <f aca="false">Sales_Transactions!I171</f>
        <v>45685.48</v>
      </c>
      <c r="O171" s="52" t="n">
        <f aca="false">Sales_Transactions!J171</f>
        <v>26930.52</v>
      </c>
      <c r="P171" s="52" t="n">
        <f aca="false">Sales_Transactions!K171</f>
        <v>18754.96</v>
      </c>
      <c r="Q171" s="42" t="n">
        <f aca="false">IF(ISNUMBER(MATCH(E171,Product_Master!$A$2:$A$9,0)),0,1)</f>
        <v>0</v>
      </c>
      <c r="R171" s="42" t="n">
        <f aca="false">IF(ISNUMBER(MATCH(D171,Customer_Master!$A$2:$A$49,0)),0,1)</f>
        <v>0</v>
      </c>
      <c r="S171" s="42" t="n">
        <f aca="false">IF(ISNUMBER(MATCH(B171,Calendar!$A$2:$A$25,0)),0,1)</f>
        <v>0</v>
      </c>
      <c r="T171" s="42" t="n">
        <f aca="false">IF(COUNTIF(Sales_Transactions!$A$2:$A$865,A171)&gt;1,1,0)</f>
        <v>0</v>
      </c>
      <c r="U171" s="42" t="n">
        <f aca="false">IF(OR(ABS(Sales_Transactions!F171*Sales_Transactions!G171-Sales_Transactions!I171)&gt;0.01,ABS(Sales_Transactions!F171*Sales_Transactions!H171-Sales_Transactions!J171)&gt;0.01,ABS(Sales_Transactions!I171-Sales_Transactions!J171-Sales_Transactions!K171)&gt;0.01),1,0)</f>
        <v>0</v>
      </c>
      <c r="V171" s="42" t="n">
        <f aca="false">IF(C171&lt;&gt;L171,1,0)</f>
        <v>0</v>
      </c>
      <c r="W171" s="42" t="n">
        <f aca="false">IF(SUM(Q171:V171)&gt;0,1,0)</f>
        <v>0</v>
      </c>
    </row>
    <row r="172" customFormat="false" ht="15" hidden="false" customHeight="false" outlineLevel="0" collapsed="false">
      <c r="A172" s="42" t="str">
        <f aca="false">Sales_Transactions!A172</f>
        <v>INV-05-027</v>
      </c>
      <c r="B172" s="42" t="str">
        <f aca="false">Sales_Transactions!B172</f>
        <v>2025-05</v>
      </c>
      <c r="C172" s="42" t="str">
        <f aca="false">Sales_Transactions!C172</f>
        <v>Actual</v>
      </c>
      <c r="D172" s="42" t="str">
        <f aca="false">Sales_Transactions!D172</f>
        <v>C003</v>
      </c>
      <c r="E172" s="42" t="str">
        <f aca="false">Sales_Transactions!E172</f>
        <v>P007</v>
      </c>
      <c r="F172" s="42" t="str">
        <f aca="false">IFERROR(INDEX(Customer_Master!$C$2:$C$49,MATCH(D172,Customer_Master!$A$2:$A$49,0)),"UNMATCHED")</f>
        <v>West</v>
      </c>
      <c r="G172" s="42" t="str">
        <f aca="false">IFERROR(INDEX(Customer_Master!$D$2:$D$49,MATCH(D172,Customer_Master!$A$2:$A$49,0)),"UNMATCHED")</f>
        <v>Retail</v>
      </c>
      <c r="H172" s="42" t="str">
        <f aca="false">IFERROR(INDEX(Product_Master!$C$2:$C$9,MATCH(E172,Product_Master!$A$2:$A$9,0)),"UNMATCHED")</f>
        <v>Home Care</v>
      </c>
      <c r="I172" s="42" t="str">
        <f aca="false">IFERROR(INDEX(Product_Master!$B$2:$B$9,MATCH(E172,Product_Master!$A$2:$A$9,0)),"UNMATCHED")</f>
        <v>Floor Cleaner</v>
      </c>
      <c r="J172" s="42" t="n">
        <f aca="false">IFERROR(INDEX(Calendar!$B$2:$B$25,MATCH(B172,Calendar!$A$2:$A$25,0)),0)</f>
        <v>2025</v>
      </c>
      <c r="K172" s="42" t="n">
        <f aca="false">IFERROR(VALUE(RIGHT(B172,2)),0)</f>
        <v>5</v>
      </c>
      <c r="L172" s="42" t="str">
        <f aca="false">IFERROR(INDEX(Calendar!$E$2:$E$25,MATCH(B172,Calendar!$A$2:$A$25,0)),"UNMATCHED")</f>
        <v>Actual</v>
      </c>
      <c r="M172" s="42" t="n">
        <f aca="false">Sales_Transactions!F172</f>
        <v>328</v>
      </c>
      <c r="N172" s="52" t="n">
        <f aca="false">Sales_Transactions!I172</f>
        <v>59112.16</v>
      </c>
      <c r="O172" s="52" t="n">
        <f aca="false">Sales_Transactions!J172</f>
        <v>38579.36</v>
      </c>
      <c r="P172" s="52" t="n">
        <f aca="false">Sales_Transactions!K172</f>
        <v>20532.8</v>
      </c>
      <c r="Q172" s="42" t="n">
        <f aca="false">IF(ISNUMBER(MATCH(E172,Product_Master!$A$2:$A$9,0)),0,1)</f>
        <v>0</v>
      </c>
      <c r="R172" s="42" t="n">
        <f aca="false">IF(ISNUMBER(MATCH(D172,Customer_Master!$A$2:$A$49,0)),0,1)</f>
        <v>0</v>
      </c>
      <c r="S172" s="42" t="n">
        <f aca="false">IF(ISNUMBER(MATCH(B172,Calendar!$A$2:$A$25,0)),0,1)</f>
        <v>0</v>
      </c>
      <c r="T172" s="42" t="n">
        <f aca="false">IF(COUNTIF(Sales_Transactions!$A$2:$A$865,A172)&gt;1,1,0)</f>
        <v>0</v>
      </c>
      <c r="U172" s="42" t="n">
        <f aca="false">IF(OR(ABS(Sales_Transactions!F172*Sales_Transactions!G172-Sales_Transactions!I172)&gt;0.01,ABS(Sales_Transactions!F172*Sales_Transactions!H172-Sales_Transactions!J172)&gt;0.01,ABS(Sales_Transactions!I172-Sales_Transactions!J172-Sales_Transactions!K172)&gt;0.01),1,0)</f>
        <v>0</v>
      </c>
      <c r="V172" s="42" t="n">
        <f aca="false">IF(C172&lt;&gt;L172,1,0)</f>
        <v>0</v>
      </c>
      <c r="W172" s="42" t="n">
        <f aca="false">IF(SUM(Q172:V172)&gt;0,1,0)</f>
        <v>0</v>
      </c>
    </row>
    <row r="173" customFormat="false" ht="15" hidden="false" customHeight="false" outlineLevel="0" collapsed="false">
      <c r="A173" s="42" t="str">
        <f aca="false">Sales_Transactions!A173</f>
        <v>INV-05-028</v>
      </c>
      <c r="B173" s="42" t="str">
        <f aca="false">Sales_Transactions!B173</f>
        <v>2025-05</v>
      </c>
      <c r="C173" s="42" t="str">
        <f aca="false">Sales_Transactions!C173</f>
        <v>Actual</v>
      </c>
      <c r="D173" s="42" t="str">
        <f aca="false">Sales_Transactions!D173</f>
        <v>C010</v>
      </c>
      <c r="E173" s="42" t="str">
        <f aca="false">Sales_Transactions!E173</f>
        <v>P004</v>
      </c>
      <c r="F173" s="42" t="str">
        <f aca="false">IFERROR(INDEX(Customer_Master!$C$2:$C$49,MATCH(D173,Customer_Master!$A$2:$A$49,0)),"UNMATCHED")</f>
        <v>North</v>
      </c>
      <c r="G173" s="42" t="str">
        <f aca="false">IFERROR(INDEX(Customer_Master!$D$2:$D$49,MATCH(D173,Customer_Master!$A$2:$A$49,0)),"UNMATCHED")</f>
        <v>Distributor</v>
      </c>
      <c r="H173" s="42" t="str">
        <f aca="false">IFERROR(INDEX(Product_Master!$C$2:$C$9,MATCH(E173,Product_Master!$A$2:$A$9,0)),"UNMATCHED")</f>
        <v>Personal Care</v>
      </c>
      <c r="I173" s="42" t="str">
        <f aca="false">IFERROR(INDEX(Product_Master!$B$2:$B$9,MATCH(E173,Product_Master!$A$2:$A$9,0)),"UNMATCHED")</f>
        <v>Soap 4-pack</v>
      </c>
      <c r="J173" s="42" t="n">
        <f aca="false">IFERROR(INDEX(Calendar!$B$2:$B$25,MATCH(B173,Calendar!$A$2:$A$25,0)),0)</f>
        <v>2025</v>
      </c>
      <c r="K173" s="42" t="n">
        <f aca="false">IFERROR(VALUE(RIGHT(B173,2)),0)</f>
        <v>5</v>
      </c>
      <c r="L173" s="42" t="str">
        <f aca="false">IFERROR(INDEX(Calendar!$E$2:$E$25,MATCH(B173,Calendar!$A$2:$A$25,0)),"UNMATCHED")</f>
        <v>Actual</v>
      </c>
      <c r="M173" s="42" t="n">
        <f aca="false">Sales_Transactions!F173</f>
        <v>411</v>
      </c>
      <c r="N173" s="52" t="n">
        <f aca="false">Sales_Transactions!I173</f>
        <v>66606.66</v>
      </c>
      <c r="O173" s="52" t="n">
        <f aca="false">Sales_Transactions!J173</f>
        <v>41560.32</v>
      </c>
      <c r="P173" s="52" t="n">
        <f aca="false">Sales_Transactions!K173</f>
        <v>25046.34</v>
      </c>
      <c r="Q173" s="42" t="n">
        <f aca="false">IF(ISNUMBER(MATCH(E173,Product_Master!$A$2:$A$9,0)),0,1)</f>
        <v>0</v>
      </c>
      <c r="R173" s="42" t="n">
        <f aca="false">IF(ISNUMBER(MATCH(D173,Customer_Master!$A$2:$A$49,0)),0,1)</f>
        <v>0</v>
      </c>
      <c r="S173" s="42" t="n">
        <f aca="false">IF(ISNUMBER(MATCH(B173,Calendar!$A$2:$A$25,0)),0,1)</f>
        <v>0</v>
      </c>
      <c r="T173" s="42" t="n">
        <f aca="false">IF(COUNTIF(Sales_Transactions!$A$2:$A$865,A173)&gt;1,1,0)</f>
        <v>0</v>
      </c>
      <c r="U173" s="42" t="n">
        <f aca="false">IF(OR(ABS(Sales_Transactions!F173*Sales_Transactions!G173-Sales_Transactions!I173)&gt;0.01,ABS(Sales_Transactions!F173*Sales_Transactions!H173-Sales_Transactions!J173)&gt;0.01,ABS(Sales_Transactions!I173-Sales_Transactions!J173-Sales_Transactions!K173)&gt;0.01),1,0)</f>
        <v>0</v>
      </c>
      <c r="V173" s="42" t="n">
        <f aca="false">IF(C173&lt;&gt;L173,1,0)</f>
        <v>0</v>
      </c>
      <c r="W173" s="42" t="n">
        <f aca="false">IF(SUM(Q173:V173)&gt;0,1,0)</f>
        <v>0</v>
      </c>
    </row>
    <row r="174" customFormat="false" ht="15" hidden="false" customHeight="false" outlineLevel="0" collapsed="false">
      <c r="A174" s="42" t="str">
        <f aca="false">Sales_Transactions!A174</f>
        <v>INV-05-029</v>
      </c>
      <c r="B174" s="42" t="str">
        <f aca="false">Sales_Transactions!B174</f>
        <v>2025-05</v>
      </c>
      <c r="C174" s="42" t="str">
        <f aca="false">Sales_Transactions!C174</f>
        <v>Actual</v>
      </c>
      <c r="D174" s="42" t="str">
        <f aca="false">Sales_Transactions!D174</f>
        <v>C017</v>
      </c>
      <c r="E174" s="42" t="str">
        <f aca="false">Sales_Transactions!E174</f>
        <v>P001</v>
      </c>
      <c r="F174" s="42" t="str">
        <f aca="false">IFERROR(INDEX(Customer_Master!$C$2:$C$49,MATCH(D174,Customer_Master!$A$2:$A$49,0)),"UNMATCHED")</f>
        <v>South</v>
      </c>
      <c r="G174" s="42" t="str">
        <f aca="false">IFERROR(INDEX(Customer_Master!$D$2:$D$49,MATCH(D174,Customer_Master!$A$2:$A$49,0)),"UNMATCHED")</f>
        <v>Modern Trade</v>
      </c>
      <c r="H174" s="42" t="str">
        <f aca="false">IFERROR(INDEX(Product_Master!$C$2:$C$9,MATCH(E174,Product_Master!$A$2:$A$9,0)),"UNMATCHED")</f>
        <v>Home Care</v>
      </c>
      <c r="I174" s="42" t="str">
        <f aca="false">IFERROR(INDEX(Product_Master!$B$2:$B$9,MATCH(E174,Product_Master!$A$2:$A$9,0)),"UNMATCHED")</f>
        <v>Detergent 1kg</v>
      </c>
      <c r="J174" s="42" t="n">
        <f aca="false">IFERROR(INDEX(Calendar!$B$2:$B$25,MATCH(B174,Calendar!$A$2:$A$25,0)),0)</f>
        <v>2025</v>
      </c>
      <c r="K174" s="42" t="n">
        <f aca="false">IFERROR(VALUE(RIGHT(B174,2)),0)</f>
        <v>5</v>
      </c>
      <c r="L174" s="42" t="str">
        <f aca="false">IFERROR(INDEX(Calendar!$E$2:$E$25,MATCH(B174,Calendar!$A$2:$A$25,0)),"UNMATCHED")</f>
        <v>Actual</v>
      </c>
      <c r="M174" s="42" t="n">
        <f aca="false">Sales_Transactions!F174</f>
        <v>333</v>
      </c>
      <c r="N174" s="52" t="n">
        <f aca="false">Sales_Transactions!I174</f>
        <v>67935.33</v>
      </c>
      <c r="O174" s="52" t="n">
        <f aca="false">Sales_Transactions!J174</f>
        <v>43646.31</v>
      </c>
      <c r="P174" s="52" t="n">
        <f aca="false">Sales_Transactions!K174</f>
        <v>24289.02</v>
      </c>
      <c r="Q174" s="42" t="n">
        <f aca="false">IF(ISNUMBER(MATCH(E174,Product_Master!$A$2:$A$9,0)),0,1)</f>
        <v>0</v>
      </c>
      <c r="R174" s="42" t="n">
        <f aca="false">IF(ISNUMBER(MATCH(D174,Customer_Master!$A$2:$A$49,0)),0,1)</f>
        <v>0</v>
      </c>
      <c r="S174" s="42" t="n">
        <f aca="false">IF(ISNUMBER(MATCH(B174,Calendar!$A$2:$A$25,0)),0,1)</f>
        <v>0</v>
      </c>
      <c r="T174" s="42" t="n">
        <f aca="false">IF(COUNTIF(Sales_Transactions!$A$2:$A$865,A174)&gt;1,1,0)</f>
        <v>0</v>
      </c>
      <c r="U174" s="42" t="n">
        <f aca="false">IF(OR(ABS(Sales_Transactions!F174*Sales_Transactions!G174-Sales_Transactions!I174)&gt;0.01,ABS(Sales_Transactions!F174*Sales_Transactions!H174-Sales_Transactions!J174)&gt;0.01,ABS(Sales_Transactions!I174-Sales_Transactions!J174-Sales_Transactions!K174)&gt;0.01),1,0)</f>
        <v>0</v>
      </c>
      <c r="V174" s="42" t="n">
        <f aca="false">IF(C174&lt;&gt;L174,1,0)</f>
        <v>0</v>
      </c>
      <c r="W174" s="42" t="n">
        <f aca="false">IF(SUM(Q174:V174)&gt;0,1,0)</f>
        <v>0</v>
      </c>
    </row>
    <row r="175" customFormat="false" ht="15" hidden="false" customHeight="false" outlineLevel="0" collapsed="false">
      <c r="A175" s="42" t="str">
        <f aca="false">Sales_Transactions!A175</f>
        <v>INV-05-030</v>
      </c>
      <c r="B175" s="42" t="str">
        <f aca="false">Sales_Transactions!B175</f>
        <v>2025-05</v>
      </c>
      <c r="C175" s="42" t="str">
        <f aca="false">Sales_Transactions!C175</f>
        <v>Actual</v>
      </c>
      <c r="D175" s="42" t="str">
        <f aca="false">Sales_Transactions!D175</f>
        <v>C024</v>
      </c>
      <c r="E175" s="42" t="str">
        <f aca="false">Sales_Transactions!E175</f>
        <v>P006</v>
      </c>
      <c r="F175" s="42" t="str">
        <f aca="false">IFERROR(INDEX(Customer_Master!$C$2:$C$49,MATCH(D175,Customer_Master!$A$2:$A$49,0)),"UNMATCHED")</f>
        <v>East</v>
      </c>
      <c r="G175" s="42" t="str">
        <f aca="false">IFERROR(INDEX(Customer_Master!$D$2:$D$49,MATCH(D175,Customer_Master!$A$2:$A$49,0)),"UNMATCHED")</f>
        <v>Retail</v>
      </c>
      <c r="H175" s="42" t="str">
        <f aca="false">IFERROR(INDEX(Product_Master!$C$2:$C$9,MATCH(E175,Product_Master!$A$2:$A$9,0)),"UNMATCHED")</f>
        <v>Foods</v>
      </c>
      <c r="I175" s="42" t="str">
        <f aca="false">IFERROR(INDEX(Product_Master!$B$2:$B$9,MATCH(E175,Product_Master!$A$2:$A$9,0)),"UNMATCHED")</f>
        <v>Breakfast Cereal</v>
      </c>
      <c r="J175" s="42" t="n">
        <f aca="false">IFERROR(INDEX(Calendar!$B$2:$B$25,MATCH(B175,Calendar!$A$2:$A$25,0)),0)</f>
        <v>2025</v>
      </c>
      <c r="K175" s="42" t="n">
        <f aca="false">IFERROR(VALUE(RIGHT(B175,2)),0)</f>
        <v>5</v>
      </c>
      <c r="L175" s="42" t="str">
        <f aca="false">IFERROR(INDEX(Calendar!$E$2:$E$25,MATCH(B175,Calendar!$A$2:$A$25,0)),"UNMATCHED")</f>
        <v>Actual</v>
      </c>
      <c r="M175" s="42" t="n">
        <f aca="false">Sales_Transactions!F175</f>
        <v>124</v>
      </c>
      <c r="N175" s="52" t="n">
        <f aca="false">Sales_Transactions!I175</f>
        <v>31074.4</v>
      </c>
      <c r="O175" s="52" t="n">
        <f aca="false">Sales_Transactions!J175</f>
        <v>19114.6</v>
      </c>
      <c r="P175" s="52" t="n">
        <f aca="false">Sales_Transactions!K175</f>
        <v>11959.8</v>
      </c>
      <c r="Q175" s="42" t="n">
        <f aca="false">IF(ISNUMBER(MATCH(E175,Product_Master!$A$2:$A$9,0)),0,1)</f>
        <v>0</v>
      </c>
      <c r="R175" s="42" t="n">
        <f aca="false">IF(ISNUMBER(MATCH(D175,Customer_Master!$A$2:$A$49,0)),0,1)</f>
        <v>0</v>
      </c>
      <c r="S175" s="42" t="n">
        <f aca="false">IF(ISNUMBER(MATCH(B175,Calendar!$A$2:$A$25,0)),0,1)</f>
        <v>0</v>
      </c>
      <c r="T175" s="42" t="n">
        <f aca="false">IF(COUNTIF(Sales_Transactions!$A$2:$A$865,A175)&gt;1,1,0)</f>
        <v>0</v>
      </c>
      <c r="U175" s="42" t="n">
        <f aca="false">IF(OR(ABS(Sales_Transactions!F175*Sales_Transactions!G175-Sales_Transactions!I175)&gt;0.01,ABS(Sales_Transactions!F175*Sales_Transactions!H175-Sales_Transactions!J175)&gt;0.01,ABS(Sales_Transactions!I175-Sales_Transactions!J175-Sales_Transactions!K175)&gt;0.01),1,0)</f>
        <v>0</v>
      </c>
      <c r="V175" s="42" t="n">
        <f aca="false">IF(C175&lt;&gt;L175,1,0)</f>
        <v>0</v>
      </c>
      <c r="W175" s="42" t="n">
        <f aca="false">IF(SUM(Q175:V175)&gt;0,1,0)</f>
        <v>0</v>
      </c>
    </row>
    <row r="176" customFormat="false" ht="15" hidden="false" customHeight="false" outlineLevel="0" collapsed="false">
      <c r="A176" s="42" t="str">
        <f aca="false">Sales_Transactions!A176</f>
        <v>INV-05-031</v>
      </c>
      <c r="B176" s="42" t="str">
        <f aca="false">Sales_Transactions!B176</f>
        <v>2025-05</v>
      </c>
      <c r="C176" s="42" t="str">
        <f aca="false">Sales_Transactions!C176</f>
        <v>Actual</v>
      </c>
      <c r="D176" s="42" t="str">
        <f aca="false">Sales_Transactions!D176</f>
        <v>C031</v>
      </c>
      <c r="E176" s="42" t="str">
        <f aca="false">Sales_Transactions!E176</f>
        <v>P003</v>
      </c>
      <c r="F176" s="42" t="str">
        <f aca="false">IFERROR(INDEX(Customer_Master!$C$2:$C$49,MATCH(D176,Customer_Master!$A$2:$A$49,0)),"UNMATCHED")</f>
        <v>West</v>
      </c>
      <c r="G176" s="42" t="str">
        <f aca="false">IFERROR(INDEX(Customer_Master!$D$2:$D$49,MATCH(D176,Customer_Master!$A$2:$A$49,0)),"UNMATCHED")</f>
        <v>Distributor</v>
      </c>
      <c r="H176" s="42" t="str">
        <f aca="false">IFERROR(INDEX(Product_Master!$C$2:$C$9,MATCH(E176,Product_Master!$A$2:$A$9,0)),"UNMATCHED")</f>
        <v>Personal Care</v>
      </c>
      <c r="I176" s="42" t="str">
        <f aca="false">IFERROR(INDEX(Product_Master!$B$2:$B$9,MATCH(E176,Product_Master!$A$2:$A$9,0)),"UNMATCHED")</f>
        <v>Shampoo 400ml</v>
      </c>
      <c r="J176" s="42" t="n">
        <f aca="false">IFERROR(INDEX(Calendar!$B$2:$B$25,MATCH(B176,Calendar!$A$2:$A$25,0)),0)</f>
        <v>2025</v>
      </c>
      <c r="K176" s="42" t="n">
        <f aca="false">IFERROR(VALUE(RIGHT(B176,2)),0)</f>
        <v>5</v>
      </c>
      <c r="L176" s="42" t="str">
        <f aca="false">IFERROR(INDEX(Calendar!$E$2:$E$25,MATCH(B176,Calendar!$A$2:$A$25,0)),"UNMATCHED")</f>
        <v>Actual</v>
      </c>
      <c r="M176" s="42" t="n">
        <f aca="false">Sales_Transactions!F176</f>
        <v>256</v>
      </c>
      <c r="N176" s="52" t="n">
        <f aca="false">Sales_Transactions!I176</f>
        <v>66775.04</v>
      </c>
      <c r="O176" s="52" t="n">
        <f aca="false">Sales_Transactions!J176</f>
        <v>44861.44</v>
      </c>
      <c r="P176" s="52" t="n">
        <f aca="false">Sales_Transactions!K176</f>
        <v>21913.6</v>
      </c>
      <c r="Q176" s="42" t="n">
        <f aca="false">IF(ISNUMBER(MATCH(E176,Product_Master!$A$2:$A$9,0)),0,1)</f>
        <v>0</v>
      </c>
      <c r="R176" s="42" t="n">
        <f aca="false">IF(ISNUMBER(MATCH(D176,Customer_Master!$A$2:$A$49,0)),0,1)</f>
        <v>0</v>
      </c>
      <c r="S176" s="42" t="n">
        <f aca="false">IF(ISNUMBER(MATCH(B176,Calendar!$A$2:$A$25,0)),0,1)</f>
        <v>0</v>
      </c>
      <c r="T176" s="42" t="n">
        <f aca="false">IF(COUNTIF(Sales_Transactions!$A$2:$A$865,A176)&gt;1,1,0)</f>
        <v>0</v>
      </c>
      <c r="U176" s="42" t="n">
        <f aca="false">IF(OR(ABS(Sales_Transactions!F176*Sales_Transactions!G176-Sales_Transactions!I176)&gt;0.01,ABS(Sales_Transactions!F176*Sales_Transactions!H176-Sales_Transactions!J176)&gt;0.01,ABS(Sales_Transactions!I176-Sales_Transactions!J176-Sales_Transactions!K176)&gt;0.01),1,0)</f>
        <v>0</v>
      </c>
      <c r="V176" s="42" t="n">
        <f aca="false">IF(C176&lt;&gt;L176,1,0)</f>
        <v>0</v>
      </c>
      <c r="W176" s="42" t="n">
        <f aca="false">IF(SUM(Q176:V176)&gt;0,1,0)</f>
        <v>0</v>
      </c>
    </row>
    <row r="177" customFormat="false" ht="15" hidden="false" customHeight="false" outlineLevel="0" collapsed="false">
      <c r="A177" s="42" t="str">
        <f aca="false">Sales_Transactions!A177</f>
        <v>INV-05-032</v>
      </c>
      <c r="B177" s="42" t="str">
        <f aca="false">Sales_Transactions!B177</f>
        <v>2025-05</v>
      </c>
      <c r="C177" s="42" t="str">
        <f aca="false">Sales_Transactions!C177</f>
        <v>Actual</v>
      </c>
      <c r="D177" s="42" t="str">
        <f aca="false">Sales_Transactions!D177</f>
        <v>C038</v>
      </c>
      <c r="E177" s="42" t="str">
        <f aca="false">Sales_Transactions!E177</f>
        <v>P008</v>
      </c>
      <c r="F177" s="42" t="str">
        <f aca="false">IFERROR(INDEX(Customer_Master!$C$2:$C$49,MATCH(D177,Customer_Master!$A$2:$A$49,0)),"UNMATCHED")</f>
        <v>North</v>
      </c>
      <c r="G177" s="42" t="str">
        <f aca="false">IFERROR(INDEX(Customer_Master!$D$2:$D$49,MATCH(D177,Customer_Master!$A$2:$A$49,0)),"UNMATCHED")</f>
        <v>Modern Trade</v>
      </c>
      <c r="H177" s="42" t="str">
        <f aca="false">IFERROR(INDEX(Product_Master!$C$2:$C$9,MATCH(E177,Product_Master!$A$2:$A$9,0)),"UNMATCHED")</f>
        <v>Personal Care</v>
      </c>
      <c r="I177" s="42" t="str">
        <f aca="false">IFERROR(INDEX(Product_Master!$B$2:$B$9,MATCH(E177,Product_Master!$A$2:$A$9,0)),"UNMATCHED")</f>
        <v>Body Lotion</v>
      </c>
      <c r="J177" s="42" t="n">
        <f aca="false">IFERROR(INDEX(Calendar!$B$2:$B$25,MATCH(B177,Calendar!$A$2:$A$25,0)),0)</f>
        <v>2025</v>
      </c>
      <c r="K177" s="42" t="n">
        <f aca="false">IFERROR(VALUE(RIGHT(B177,2)),0)</f>
        <v>5</v>
      </c>
      <c r="L177" s="42" t="str">
        <f aca="false">IFERROR(INDEX(Calendar!$E$2:$E$25,MATCH(B177,Calendar!$A$2:$A$25,0)),"UNMATCHED")</f>
        <v>Actual</v>
      </c>
      <c r="M177" s="42" t="n">
        <f aca="false">Sales_Transactions!F177</f>
        <v>155</v>
      </c>
      <c r="N177" s="52" t="n">
        <f aca="false">Sales_Transactions!I177</f>
        <v>45821.1</v>
      </c>
      <c r="O177" s="52" t="n">
        <f aca="false">Sales_Transactions!J177</f>
        <v>31496</v>
      </c>
      <c r="P177" s="52" t="n">
        <f aca="false">Sales_Transactions!K177</f>
        <v>14325.1</v>
      </c>
      <c r="Q177" s="42" t="n">
        <f aca="false">IF(ISNUMBER(MATCH(E177,Product_Master!$A$2:$A$9,0)),0,1)</f>
        <v>0</v>
      </c>
      <c r="R177" s="42" t="n">
        <f aca="false">IF(ISNUMBER(MATCH(D177,Customer_Master!$A$2:$A$49,0)),0,1)</f>
        <v>0</v>
      </c>
      <c r="S177" s="42" t="n">
        <f aca="false">IF(ISNUMBER(MATCH(B177,Calendar!$A$2:$A$25,0)),0,1)</f>
        <v>0</v>
      </c>
      <c r="T177" s="42" t="n">
        <f aca="false">IF(COUNTIF(Sales_Transactions!$A$2:$A$865,A177)&gt;1,1,0)</f>
        <v>0</v>
      </c>
      <c r="U177" s="42" t="n">
        <f aca="false">IF(OR(ABS(Sales_Transactions!F177*Sales_Transactions!G177-Sales_Transactions!I177)&gt;0.01,ABS(Sales_Transactions!F177*Sales_Transactions!H177-Sales_Transactions!J177)&gt;0.01,ABS(Sales_Transactions!I177-Sales_Transactions!J177-Sales_Transactions!K177)&gt;0.01),1,0)</f>
        <v>0</v>
      </c>
      <c r="V177" s="42" t="n">
        <f aca="false">IF(C177&lt;&gt;L177,1,0)</f>
        <v>0</v>
      </c>
      <c r="W177" s="42" t="n">
        <f aca="false">IF(SUM(Q177:V177)&gt;0,1,0)</f>
        <v>0</v>
      </c>
    </row>
    <row r="178" customFormat="false" ht="15" hidden="false" customHeight="false" outlineLevel="0" collapsed="false">
      <c r="A178" s="42" t="str">
        <f aca="false">Sales_Transactions!A178</f>
        <v>INV-05-033</v>
      </c>
      <c r="B178" s="42" t="str">
        <f aca="false">Sales_Transactions!B178</f>
        <v>2025-05</v>
      </c>
      <c r="C178" s="42" t="str">
        <f aca="false">Sales_Transactions!C178</f>
        <v>Actual</v>
      </c>
      <c r="D178" s="42" t="str">
        <f aca="false">Sales_Transactions!D178</f>
        <v>C045</v>
      </c>
      <c r="E178" s="42" t="str">
        <f aca="false">Sales_Transactions!E178</f>
        <v>P005</v>
      </c>
      <c r="F178" s="42" t="str">
        <f aca="false">IFERROR(INDEX(Customer_Master!$C$2:$C$49,MATCH(D178,Customer_Master!$A$2:$A$49,0)),"UNMATCHED")</f>
        <v>South</v>
      </c>
      <c r="G178" s="42" t="str">
        <f aca="false">IFERROR(INDEX(Customer_Master!$D$2:$D$49,MATCH(D178,Customer_Master!$A$2:$A$49,0)),"UNMATCHED")</f>
        <v>Retail</v>
      </c>
      <c r="H178" s="42" t="str">
        <f aca="false">IFERROR(INDEX(Product_Master!$C$2:$C$9,MATCH(E178,Product_Master!$A$2:$A$9,0)),"UNMATCHED")</f>
        <v>Foods</v>
      </c>
      <c r="I178" s="42" t="str">
        <f aca="false">IFERROR(INDEX(Product_Master!$B$2:$B$9,MATCH(E178,Product_Master!$A$2:$A$9,0)),"UNMATCHED")</f>
        <v>Biscuits 500g</v>
      </c>
      <c r="J178" s="42" t="n">
        <f aca="false">IFERROR(INDEX(Calendar!$B$2:$B$25,MATCH(B178,Calendar!$A$2:$A$25,0)),0)</f>
        <v>2025</v>
      </c>
      <c r="K178" s="42" t="n">
        <f aca="false">IFERROR(VALUE(RIGHT(B178,2)),0)</f>
        <v>5</v>
      </c>
      <c r="L178" s="42" t="str">
        <f aca="false">IFERROR(INDEX(Calendar!$E$2:$E$25,MATCH(B178,Calendar!$A$2:$A$25,0)),"UNMATCHED")</f>
        <v>Actual</v>
      </c>
      <c r="M178" s="42" t="n">
        <f aca="false">Sales_Transactions!F178</f>
        <v>163</v>
      </c>
      <c r="N178" s="52" t="n">
        <f aca="false">Sales_Transactions!I178</f>
        <v>17604</v>
      </c>
      <c r="O178" s="52" t="n">
        <f aca="false">Sales_Transactions!J178</f>
        <v>10568.92</v>
      </c>
      <c r="P178" s="52" t="n">
        <f aca="false">Sales_Transactions!K178</f>
        <v>7035.08</v>
      </c>
      <c r="Q178" s="42" t="n">
        <f aca="false">IF(ISNUMBER(MATCH(E178,Product_Master!$A$2:$A$9,0)),0,1)</f>
        <v>0</v>
      </c>
      <c r="R178" s="42" t="n">
        <f aca="false">IF(ISNUMBER(MATCH(D178,Customer_Master!$A$2:$A$49,0)),0,1)</f>
        <v>0</v>
      </c>
      <c r="S178" s="42" t="n">
        <f aca="false">IF(ISNUMBER(MATCH(B178,Calendar!$A$2:$A$25,0)),0,1)</f>
        <v>0</v>
      </c>
      <c r="T178" s="42" t="n">
        <f aca="false">IF(COUNTIF(Sales_Transactions!$A$2:$A$865,A178)&gt;1,1,0)</f>
        <v>0</v>
      </c>
      <c r="U178" s="42" t="n">
        <f aca="false">IF(OR(ABS(Sales_Transactions!F178*Sales_Transactions!G178-Sales_Transactions!I178)&gt;0.01,ABS(Sales_Transactions!F178*Sales_Transactions!H178-Sales_Transactions!J178)&gt;0.01,ABS(Sales_Transactions!I178-Sales_Transactions!J178-Sales_Transactions!K178)&gt;0.01),1,0)</f>
        <v>0</v>
      </c>
      <c r="V178" s="42" t="n">
        <f aca="false">IF(C178&lt;&gt;L178,1,0)</f>
        <v>0</v>
      </c>
      <c r="W178" s="42" t="n">
        <f aca="false">IF(SUM(Q178:V178)&gt;0,1,0)</f>
        <v>0</v>
      </c>
    </row>
    <row r="179" customFormat="false" ht="15" hidden="false" customHeight="false" outlineLevel="0" collapsed="false">
      <c r="A179" s="42" t="str">
        <f aca="false">Sales_Transactions!A179</f>
        <v>INV-05-034</v>
      </c>
      <c r="B179" s="42" t="str">
        <f aca="false">Sales_Transactions!B179</f>
        <v>2025-05</v>
      </c>
      <c r="C179" s="42" t="str">
        <f aca="false">Sales_Transactions!C179</f>
        <v>Actual</v>
      </c>
      <c r="D179" s="42" t="str">
        <f aca="false">Sales_Transactions!D179</f>
        <v>C004</v>
      </c>
      <c r="E179" s="42" t="str">
        <f aca="false">Sales_Transactions!E179</f>
        <v>P002</v>
      </c>
      <c r="F179" s="42" t="str">
        <f aca="false">IFERROR(INDEX(Customer_Master!$C$2:$C$49,MATCH(D179,Customer_Master!$A$2:$A$49,0)),"UNMATCHED")</f>
        <v>East</v>
      </c>
      <c r="G179" s="42" t="str">
        <f aca="false">IFERROR(INDEX(Customer_Master!$D$2:$D$49,MATCH(D179,Customer_Master!$A$2:$A$49,0)),"UNMATCHED")</f>
        <v>Distributor</v>
      </c>
      <c r="H179" s="42" t="str">
        <f aca="false">IFERROR(INDEX(Product_Master!$C$2:$C$9,MATCH(E179,Product_Master!$A$2:$A$9,0)),"UNMATCHED")</f>
        <v>Home Care</v>
      </c>
      <c r="I179" s="42" t="str">
        <f aca="false">IFERROR(INDEX(Product_Master!$B$2:$B$9,MATCH(E179,Product_Master!$A$2:$A$9,0)),"UNMATCHED")</f>
        <v>Dishwash Gel</v>
      </c>
      <c r="J179" s="42" t="n">
        <f aca="false">IFERROR(INDEX(Calendar!$B$2:$B$25,MATCH(B179,Calendar!$A$2:$A$25,0)),0)</f>
        <v>2025</v>
      </c>
      <c r="K179" s="42" t="n">
        <f aca="false">IFERROR(VALUE(RIGHT(B179,2)),0)</f>
        <v>5</v>
      </c>
      <c r="L179" s="42" t="str">
        <f aca="false">IFERROR(INDEX(Calendar!$E$2:$E$25,MATCH(B179,Calendar!$A$2:$A$25,0)),"UNMATCHED")</f>
        <v>Actual</v>
      </c>
      <c r="M179" s="42" t="n">
        <f aca="false">Sales_Transactions!F179</f>
        <v>293</v>
      </c>
      <c r="N179" s="52" t="n">
        <f aca="false">Sales_Transactions!I179</f>
        <v>39639.97</v>
      </c>
      <c r="O179" s="52" t="n">
        <f aca="false">Sales_Transactions!J179</f>
        <v>24406.9</v>
      </c>
      <c r="P179" s="52" t="n">
        <f aca="false">Sales_Transactions!K179</f>
        <v>15233.07</v>
      </c>
      <c r="Q179" s="42" t="n">
        <f aca="false">IF(ISNUMBER(MATCH(E179,Product_Master!$A$2:$A$9,0)),0,1)</f>
        <v>0</v>
      </c>
      <c r="R179" s="42" t="n">
        <f aca="false">IF(ISNUMBER(MATCH(D179,Customer_Master!$A$2:$A$49,0)),0,1)</f>
        <v>0</v>
      </c>
      <c r="S179" s="42" t="n">
        <f aca="false">IF(ISNUMBER(MATCH(B179,Calendar!$A$2:$A$25,0)),0,1)</f>
        <v>0</v>
      </c>
      <c r="T179" s="42" t="n">
        <f aca="false">IF(COUNTIF(Sales_Transactions!$A$2:$A$865,A179)&gt;1,1,0)</f>
        <v>0</v>
      </c>
      <c r="U179" s="42" t="n">
        <f aca="false">IF(OR(ABS(Sales_Transactions!F179*Sales_Transactions!G179-Sales_Transactions!I179)&gt;0.01,ABS(Sales_Transactions!F179*Sales_Transactions!H179-Sales_Transactions!J179)&gt;0.01,ABS(Sales_Transactions!I179-Sales_Transactions!J179-Sales_Transactions!K179)&gt;0.01),1,0)</f>
        <v>0</v>
      </c>
      <c r="V179" s="42" t="n">
        <f aca="false">IF(C179&lt;&gt;L179,1,0)</f>
        <v>0</v>
      </c>
      <c r="W179" s="42" t="n">
        <f aca="false">IF(SUM(Q179:V179)&gt;0,1,0)</f>
        <v>0</v>
      </c>
    </row>
    <row r="180" customFormat="false" ht="15" hidden="false" customHeight="false" outlineLevel="0" collapsed="false">
      <c r="A180" s="42" t="str">
        <f aca="false">Sales_Transactions!A180</f>
        <v>INV-05-035</v>
      </c>
      <c r="B180" s="42" t="str">
        <f aca="false">Sales_Transactions!B180</f>
        <v>2025-05</v>
      </c>
      <c r="C180" s="42" t="str">
        <f aca="false">Sales_Transactions!C180</f>
        <v>Actual</v>
      </c>
      <c r="D180" s="42" t="str">
        <f aca="false">Sales_Transactions!D180</f>
        <v>C011</v>
      </c>
      <c r="E180" s="42" t="str">
        <f aca="false">Sales_Transactions!E180</f>
        <v>P007</v>
      </c>
      <c r="F180" s="42" t="str">
        <f aca="false">IFERROR(INDEX(Customer_Master!$C$2:$C$49,MATCH(D180,Customer_Master!$A$2:$A$49,0)),"UNMATCHED")</f>
        <v>West</v>
      </c>
      <c r="G180" s="42" t="str">
        <f aca="false">IFERROR(INDEX(Customer_Master!$D$2:$D$49,MATCH(D180,Customer_Master!$A$2:$A$49,0)),"UNMATCHED")</f>
        <v>Modern Trade</v>
      </c>
      <c r="H180" s="42" t="str">
        <f aca="false">IFERROR(INDEX(Product_Master!$C$2:$C$9,MATCH(E180,Product_Master!$A$2:$A$9,0)),"UNMATCHED")</f>
        <v>Home Care</v>
      </c>
      <c r="I180" s="42" t="str">
        <f aca="false">IFERROR(INDEX(Product_Master!$B$2:$B$9,MATCH(E180,Product_Master!$A$2:$A$9,0)),"UNMATCHED")</f>
        <v>Floor Cleaner</v>
      </c>
      <c r="J180" s="42" t="n">
        <f aca="false">IFERROR(INDEX(Calendar!$B$2:$B$25,MATCH(B180,Calendar!$A$2:$A$25,0)),0)</f>
        <v>2025</v>
      </c>
      <c r="K180" s="42" t="n">
        <f aca="false">IFERROR(VALUE(RIGHT(B180,2)),0)</f>
        <v>5</v>
      </c>
      <c r="L180" s="42" t="str">
        <f aca="false">IFERROR(INDEX(Calendar!$E$2:$E$25,MATCH(B180,Calendar!$A$2:$A$25,0)),"UNMATCHED")</f>
        <v>Actual</v>
      </c>
      <c r="M180" s="42" t="n">
        <f aca="false">Sales_Transactions!F180</f>
        <v>116</v>
      </c>
      <c r="N180" s="52" t="n">
        <f aca="false">Sales_Transactions!I180</f>
        <v>20208.36</v>
      </c>
      <c r="O180" s="52" t="n">
        <f aca="false">Sales_Transactions!J180</f>
        <v>13127.72</v>
      </c>
      <c r="P180" s="52" t="n">
        <f aca="false">Sales_Transactions!K180</f>
        <v>7080.64</v>
      </c>
      <c r="Q180" s="42" t="n">
        <f aca="false">IF(ISNUMBER(MATCH(E180,Product_Master!$A$2:$A$9,0)),0,1)</f>
        <v>0</v>
      </c>
      <c r="R180" s="42" t="n">
        <f aca="false">IF(ISNUMBER(MATCH(D180,Customer_Master!$A$2:$A$49,0)),0,1)</f>
        <v>0</v>
      </c>
      <c r="S180" s="42" t="n">
        <f aca="false">IF(ISNUMBER(MATCH(B180,Calendar!$A$2:$A$25,0)),0,1)</f>
        <v>0</v>
      </c>
      <c r="T180" s="42" t="n">
        <f aca="false">IF(COUNTIF(Sales_Transactions!$A$2:$A$865,A180)&gt;1,1,0)</f>
        <v>0</v>
      </c>
      <c r="U180" s="42" t="n">
        <f aca="false">IF(OR(ABS(Sales_Transactions!F180*Sales_Transactions!G180-Sales_Transactions!I180)&gt;0.01,ABS(Sales_Transactions!F180*Sales_Transactions!H180-Sales_Transactions!J180)&gt;0.01,ABS(Sales_Transactions!I180-Sales_Transactions!J180-Sales_Transactions!K180)&gt;0.01),1,0)</f>
        <v>0</v>
      </c>
      <c r="V180" s="42" t="n">
        <f aca="false">IF(C180&lt;&gt;L180,1,0)</f>
        <v>0</v>
      </c>
      <c r="W180" s="42" t="n">
        <f aca="false">IF(SUM(Q180:V180)&gt;0,1,0)</f>
        <v>0</v>
      </c>
    </row>
    <row r="181" customFormat="false" ht="15" hidden="false" customHeight="false" outlineLevel="0" collapsed="false">
      <c r="A181" s="42" t="str">
        <f aca="false">Sales_Transactions!A181</f>
        <v>INV-05-036</v>
      </c>
      <c r="B181" s="42" t="str">
        <f aca="false">Sales_Transactions!B181</f>
        <v>2025-05</v>
      </c>
      <c r="C181" s="42" t="str">
        <f aca="false">Sales_Transactions!C181</f>
        <v>Actual</v>
      </c>
      <c r="D181" s="42" t="str">
        <f aca="false">Sales_Transactions!D181</f>
        <v>C018</v>
      </c>
      <c r="E181" s="42" t="str">
        <f aca="false">Sales_Transactions!E181</f>
        <v>P004</v>
      </c>
      <c r="F181" s="42" t="str">
        <f aca="false">IFERROR(INDEX(Customer_Master!$C$2:$C$49,MATCH(D181,Customer_Master!$A$2:$A$49,0)),"UNMATCHED")</f>
        <v>North</v>
      </c>
      <c r="G181" s="42" t="str">
        <f aca="false">IFERROR(INDEX(Customer_Master!$D$2:$D$49,MATCH(D181,Customer_Master!$A$2:$A$49,0)),"UNMATCHED")</f>
        <v>Retail</v>
      </c>
      <c r="H181" s="42" t="str">
        <f aca="false">IFERROR(INDEX(Product_Master!$C$2:$C$9,MATCH(E181,Product_Master!$A$2:$A$9,0)),"UNMATCHED")</f>
        <v>Personal Care</v>
      </c>
      <c r="I181" s="42" t="str">
        <f aca="false">IFERROR(INDEX(Product_Master!$B$2:$B$9,MATCH(E181,Product_Master!$A$2:$A$9,0)),"UNMATCHED")</f>
        <v>Soap 4-pack</v>
      </c>
      <c r="J181" s="42" t="n">
        <f aca="false">IFERROR(INDEX(Calendar!$B$2:$B$25,MATCH(B181,Calendar!$A$2:$A$25,0)),0)</f>
        <v>2025</v>
      </c>
      <c r="K181" s="42" t="n">
        <f aca="false">IFERROR(VALUE(RIGHT(B181,2)),0)</f>
        <v>5</v>
      </c>
      <c r="L181" s="42" t="str">
        <f aca="false">IFERROR(INDEX(Calendar!$E$2:$E$25,MATCH(B181,Calendar!$A$2:$A$25,0)),"UNMATCHED")</f>
        <v>Actual</v>
      </c>
      <c r="M181" s="42" t="n">
        <f aca="false">Sales_Transactions!F181</f>
        <v>384</v>
      </c>
      <c r="N181" s="52" t="n">
        <f aca="false">Sales_Transactions!I181</f>
        <v>68071.68</v>
      </c>
      <c r="O181" s="52" t="n">
        <f aca="false">Sales_Transactions!J181</f>
        <v>35477.76</v>
      </c>
      <c r="P181" s="52" t="n">
        <f aca="false">Sales_Transactions!K181</f>
        <v>32593.92</v>
      </c>
      <c r="Q181" s="42" t="n">
        <f aca="false">IF(ISNUMBER(MATCH(E181,Product_Master!$A$2:$A$9,0)),0,1)</f>
        <v>0</v>
      </c>
      <c r="R181" s="42" t="n">
        <f aca="false">IF(ISNUMBER(MATCH(D181,Customer_Master!$A$2:$A$49,0)),0,1)</f>
        <v>0</v>
      </c>
      <c r="S181" s="42" t="n">
        <f aca="false">IF(ISNUMBER(MATCH(B181,Calendar!$A$2:$A$25,0)),0,1)</f>
        <v>0</v>
      </c>
      <c r="T181" s="42" t="n">
        <f aca="false">IF(COUNTIF(Sales_Transactions!$A$2:$A$865,A181)&gt;1,1,0)</f>
        <v>0</v>
      </c>
      <c r="U181" s="42" t="n">
        <f aca="false">IF(OR(ABS(Sales_Transactions!F181*Sales_Transactions!G181-Sales_Transactions!I181)&gt;0.01,ABS(Sales_Transactions!F181*Sales_Transactions!H181-Sales_Transactions!J181)&gt;0.01,ABS(Sales_Transactions!I181-Sales_Transactions!J181-Sales_Transactions!K181)&gt;0.01),1,0)</f>
        <v>0</v>
      </c>
      <c r="V181" s="42" t="n">
        <f aca="false">IF(C181&lt;&gt;L181,1,0)</f>
        <v>0</v>
      </c>
      <c r="W181" s="42" t="n">
        <f aca="false">IF(SUM(Q181:V181)&gt;0,1,0)</f>
        <v>0</v>
      </c>
    </row>
    <row r="182" customFormat="false" ht="15" hidden="false" customHeight="false" outlineLevel="0" collapsed="false">
      <c r="A182" s="42" t="str">
        <f aca="false">Sales_Transactions!A182</f>
        <v>INV-06-001</v>
      </c>
      <c r="B182" s="42" t="str">
        <f aca="false">Sales_Transactions!B182</f>
        <v>2025-06</v>
      </c>
      <c r="C182" s="42" t="str">
        <f aca="false">Sales_Transactions!C182</f>
        <v>Actual</v>
      </c>
      <c r="D182" s="42" t="str">
        <f aca="false">Sales_Transactions!D182</f>
        <v>C016</v>
      </c>
      <c r="E182" s="42" t="str">
        <f aca="false">Sales_Transactions!E182</f>
        <v>P006</v>
      </c>
      <c r="F182" s="42" t="str">
        <f aca="false">IFERROR(INDEX(Customer_Master!$C$2:$C$49,MATCH(D182,Customer_Master!$A$2:$A$49,0)),"UNMATCHED")</f>
        <v>East</v>
      </c>
      <c r="G182" s="42" t="str">
        <f aca="false">IFERROR(INDEX(Customer_Master!$D$2:$D$49,MATCH(D182,Customer_Master!$A$2:$A$49,0)),"UNMATCHED")</f>
        <v>Distributor</v>
      </c>
      <c r="H182" s="42" t="str">
        <f aca="false">IFERROR(INDEX(Product_Master!$C$2:$C$9,MATCH(E182,Product_Master!$A$2:$A$9,0)),"UNMATCHED")</f>
        <v>Foods</v>
      </c>
      <c r="I182" s="42" t="str">
        <f aca="false">IFERROR(INDEX(Product_Master!$B$2:$B$9,MATCH(E182,Product_Master!$A$2:$A$9,0)),"UNMATCHED")</f>
        <v>Breakfast Cereal</v>
      </c>
      <c r="J182" s="42" t="n">
        <f aca="false">IFERROR(INDEX(Calendar!$B$2:$B$25,MATCH(B182,Calendar!$A$2:$A$25,0)),0)</f>
        <v>2025</v>
      </c>
      <c r="K182" s="42" t="n">
        <f aca="false">IFERROR(VALUE(RIGHT(B182,2)),0)</f>
        <v>6</v>
      </c>
      <c r="L182" s="42" t="str">
        <f aca="false">IFERROR(INDEX(Calendar!$E$2:$E$25,MATCH(B182,Calendar!$A$2:$A$25,0)),"UNMATCHED")</f>
        <v>Actual</v>
      </c>
      <c r="M182" s="42" t="n">
        <f aca="false">Sales_Transactions!F182</f>
        <v>379</v>
      </c>
      <c r="N182" s="52" t="n">
        <f aca="false">Sales_Transactions!I182</f>
        <v>90793.24</v>
      </c>
      <c r="O182" s="52" t="n">
        <f aca="false">Sales_Transactions!J182</f>
        <v>56800.73</v>
      </c>
      <c r="P182" s="52" t="n">
        <f aca="false">Sales_Transactions!K182</f>
        <v>33992.51</v>
      </c>
      <c r="Q182" s="42" t="n">
        <f aca="false">IF(ISNUMBER(MATCH(E182,Product_Master!$A$2:$A$9,0)),0,1)</f>
        <v>0</v>
      </c>
      <c r="R182" s="42" t="n">
        <f aca="false">IF(ISNUMBER(MATCH(D182,Customer_Master!$A$2:$A$49,0)),0,1)</f>
        <v>0</v>
      </c>
      <c r="S182" s="42" t="n">
        <f aca="false">IF(ISNUMBER(MATCH(B182,Calendar!$A$2:$A$25,0)),0,1)</f>
        <v>0</v>
      </c>
      <c r="T182" s="42" t="n">
        <f aca="false">IF(COUNTIF(Sales_Transactions!$A$2:$A$865,A182)&gt;1,1,0)</f>
        <v>0</v>
      </c>
      <c r="U182" s="42" t="n">
        <f aca="false">IF(OR(ABS(Sales_Transactions!F182*Sales_Transactions!G182-Sales_Transactions!I182)&gt;0.01,ABS(Sales_Transactions!F182*Sales_Transactions!H182-Sales_Transactions!J182)&gt;0.01,ABS(Sales_Transactions!I182-Sales_Transactions!J182-Sales_Transactions!K182)&gt;0.01),1,0)</f>
        <v>0</v>
      </c>
      <c r="V182" s="42" t="n">
        <f aca="false">IF(C182&lt;&gt;L182,1,0)</f>
        <v>0</v>
      </c>
      <c r="W182" s="42" t="n">
        <f aca="false">IF(SUM(Q182:V182)&gt;0,1,0)</f>
        <v>0</v>
      </c>
    </row>
    <row r="183" customFormat="false" ht="15" hidden="false" customHeight="false" outlineLevel="0" collapsed="false">
      <c r="A183" s="42" t="str">
        <f aca="false">Sales_Transactions!A183</f>
        <v>INV-06-002</v>
      </c>
      <c r="B183" s="42" t="str">
        <f aca="false">Sales_Transactions!B183</f>
        <v>2025-06</v>
      </c>
      <c r="C183" s="42" t="str">
        <f aca="false">Sales_Transactions!C183</f>
        <v>Actual</v>
      </c>
      <c r="D183" s="42" t="str">
        <f aca="false">Sales_Transactions!D183</f>
        <v>C023</v>
      </c>
      <c r="E183" s="42" t="str">
        <f aca="false">Sales_Transactions!E183</f>
        <v>P003</v>
      </c>
      <c r="F183" s="42" t="str">
        <f aca="false">IFERROR(INDEX(Customer_Master!$C$2:$C$49,MATCH(D183,Customer_Master!$A$2:$A$49,0)),"UNMATCHED")</f>
        <v>West</v>
      </c>
      <c r="G183" s="42" t="str">
        <f aca="false">IFERROR(INDEX(Customer_Master!$D$2:$D$49,MATCH(D183,Customer_Master!$A$2:$A$49,0)),"UNMATCHED")</f>
        <v>Modern Trade</v>
      </c>
      <c r="H183" s="42" t="str">
        <f aca="false">IFERROR(INDEX(Product_Master!$C$2:$C$9,MATCH(E183,Product_Master!$A$2:$A$9,0)),"UNMATCHED")</f>
        <v>Personal Care</v>
      </c>
      <c r="I183" s="42" t="str">
        <f aca="false">IFERROR(INDEX(Product_Master!$B$2:$B$9,MATCH(E183,Product_Master!$A$2:$A$9,0)),"UNMATCHED")</f>
        <v>Shampoo 400ml</v>
      </c>
      <c r="J183" s="42" t="n">
        <f aca="false">IFERROR(INDEX(Calendar!$B$2:$B$25,MATCH(B183,Calendar!$A$2:$A$25,0)),0)</f>
        <v>2025</v>
      </c>
      <c r="K183" s="42" t="n">
        <f aca="false">IFERROR(VALUE(RIGHT(B183,2)),0)</f>
        <v>6</v>
      </c>
      <c r="L183" s="42" t="str">
        <f aca="false">IFERROR(INDEX(Calendar!$E$2:$E$25,MATCH(B183,Calendar!$A$2:$A$25,0)),"UNMATCHED")</f>
        <v>Actual</v>
      </c>
      <c r="M183" s="42" t="n">
        <f aca="false">Sales_Transactions!F183</f>
        <v>265</v>
      </c>
      <c r="N183" s="52" t="n">
        <f aca="false">Sales_Transactions!I183</f>
        <v>68918.55</v>
      </c>
      <c r="O183" s="52" t="n">
        <f aca="false">Sales_Transactions!J183</f>
        <v>45622.4</v>
      </c>
      <c r="P183" s="52" t="n">
        <f aca="false">Sales_Transactions!K183</f>
        <v>23296.15</v>
      </c>
      <c r="Q183" s="42" t="n">
        <f aca="false">IF(ISNUMBER(MATCH(E183,Product_Master!$A$2:$A$9,0)),0,1)</f>
        <v>0</v>
      </c>
      <c r="R183" s="42" t="n">
        <f aca="false">IF(ISNUMBER(MATCH(D183,Customer_Master!$A$2:$A$49,0)),0,1)</f>
        <v>0</v>
      </c>
      <c r="S183" s="42" t="n">
        <f aca="false">IF(ISNUMBER(MATCH(B183,Calendar!$A$2:$A$25,0)),0,1)</f>
        <v>0</v>
      </c>
      <c r="T183" s="42" t="n">
        <f aca="false">IF(COUNTIF(Sales_Transactions!$A$2:$A$865,A183)&gt;1,1,0)</f>
        <v>0</v>
      </c>
      <c r="U183" s="42" t="n">
        <f aca="false">IF(OR(ABS(Sales_Transactions!F183*Sales_Transactions!G183-Sales_Transactions!I183)&gt;0.01,ABS(Sales_Transactions!F183*Sales_Transactions!H183-Sales_Transactions!J183)&gt;0.01,ABS(Sales_Transactions!I183-Sales_Transactions!J183-Sales_Transactions!K183)&gt;0.01),1,0)</f>
        <v>0</v>
      </c>
      <c r="V183" s="42" t="n">
        <f aca="false">IF(C183&lt;&gt;L183,1,0)</f>
        <v>0</v>
      </c>
      <c r="W183" s="42" t="n">
        <f aca="false">IF(SUM(Q183:V183)&gt;0,1,0)</f>
        <v>0</v>
      </c>
    </row>
    <row r="184" customFormat="false" ht="15" hidden="false" customHeight="false" outlineLevel="0" collapsed="false">
      <c r="A184" s="42" t="str">
        <f aca="false">Sales_Transactions!A184</f>
        <v>INV-06-003</v>
      </c>
      <c r="B184" s="42" t="str">
        <f aca="false">Sales_Transactions!B184</f>
        <v>2025-06</v>
      </c>
      <c r="C184" s="42" t="str">
        <f aca="false">Sales_Transactions!C184</f>
        <v>Actual</v>
      </c>
      <c r="D184" s="42" t="str">
        <f aca="false">Sales_Transactions!D184</f>
        <v>C030</v>
      </c>
      <c r="E184" s="42" t="str">
        <f aca="false">Sales_Transactions!E184</f>
        <v>P008</v>
      </c>
      <c r="F184" s="42" t="str">
        <f aca="false">IFERROR(INDEX(Customer_Master!$C$2:$C$49,MATCH(D184,Customer_Master!$A$2:$A$49,0)),"UNMATCHED")</f>
        <v>North</v>
      </c>
      <c r="G184" s="42" t="str">
        <f aca="false">IFERROR(INDEX(Customer_Master!$D$2:$D$49,MATCH(D184,Customer_Master!$A$2:$A$49,0)),"UNMATCHED")</f>
        <v>Retail</v>
      </c>
      <c r="H184" s="42" t="str">
        <f aca="false">IFERROR(INDEX(Product_Master!$C$2:$C$9,MATCH(E184,Product_Master!$A$2:$A$9,0)),"UNMATCHED")</f>
        <v>Personal Care</v>
      </c>
      <c r="I184" s="42" t="str">
        <f aca="false">IFERROR(INDEX(Product_Master!$B$2:$B$9,MATCH(E184,Product_Master!$A$2:$A$9,0)),"UNMATCHED")</f>
        <v>Body Lotion</v>
      </c>
      <c r="J184" s="42" t="n">
        <f aca="false">IFERROR(INDEX(Calendar!$B$2:$B$25,MATCH(B184,Calendar!$A$2:$A$25,0)),0)</f>
        <v>2025</v>
      </c>
      <c r="K184" s="42" t="n">
        <f aca="false">IFERROR(VALUE(RIGHT(B184,2)),0)</f>
        <v>6</v>
      </c>
      <c r="L184" s="42" t="str">
        <f aca="false">IFERROR(INDEX(Calendar!$E$2:$E$25,MATCH(B184,Calendar!$A$2:$A$25,0)),"UNMATCHED")</f>
        <v>Actual</v>
      </c>
      <c r="M184" s="42" t="n">
        <f aca="false">Sales_Transactions!F184</f>
        <v>299</v>
      </c>
      <c r="N184" s="52" t="n">
        <f aca="false">Sales_Transactions!I184</f>
        <v>93285.01</v>
      </c>
      <c r="O184" s="52" t="n">
        <f aca="false">Sales_Transactions!J184</f>
        <v>63307.27</v>
      </c>
      <c r="P184" s="52" t="n">
        <f aca="false">Sales_Transactions!K184</f>
        <v>29977.74</v>
      </c>
      <c r="Q184" s="42" t="n">
        <f aca="false">IF(ISNUMBER(MATCH(E184,Product_Master!$A$2:$A$9,0)),0,1)</f>
        <v>0</v>
      </c>
      <c r="R184" s="42" t="n">
        <f aca="false">IF(ISNUMBER(MATCH(D184,Customer_Master!$A$2:$A$49,0)),0,1)</f>
        <v>0</v>
      </c>
      <c r="S184" s="42" t="n">
        <f aca="false">IF(ISNUMBER(MATCH(B184,Calendar!$A$2:$A$25,0)),0,1)</f>
        <v>0</v>
      </c>
      <c r="T184" s="42" t="n">
        <f aca="false">IF(COUNTIF(Sales_Transactions!$A$2:$A$865,A184)&gt;1,1,0)</f>
        <v>0</v>
      </c>
      <c r="U184" s="42" t="n">
        <f aca="false">IF(OR(ABS(Sales_Transactions!F184*Sales_Transactions!G184-Sales_Transactions!I184)&gt;0.01,ABS(Sales_Transactions!F184*Sales_Transactions!H184-Sales_Transactions!J184)&gt;0.01,ABS(Sales_Transactions!I184-Sales_Transactions!J184-Sales_Transactions!K184)&gt;0.01),1,0)</f>
        <v>0</v>
      </c>
      <c r="V184" s="42" t="n">
        <f aca="false">IF(C184&lt;&gt;L184,1,0)</f>
        <v>0</v>
      </c>
      <c r="W184" s="42" t="n">
        <f aca="false">IF(SUM(Q184:V184)&gt;0,1,0)</f>
        <v>0</v>
      </c>
    </row>
    <row r="185" customFormat="false" ht="15" hidden="false" customHeight="false" outlineLevel="0" collapsed="false">
      <c r="A185" s="42" t="str">
        <f aca="false">Sales_Transactions!A185</f>
        <v>INV-06-004</v>
      </c>
      <c r="B185" s="42" t="str">
        <f aca="false">Sales_Transactions!B185</f>
        <v>2025-06</v>
      </c>
      <c r="C185" s="42" t="str">
        <f aca="false">Sales_Transactions!C185</f>
        <v>Actual</v>
      </c>
      <c r="D185" s="42" t="str">
        <f aca="false">Sales_Transactions!D185</f>
        <v>C037</v>
      </c>
      <c r="E185" s="42" t="str">
        <f aca="false">Sales_Transactions!E185</f>
        <v>P005</v>
      </c>
      <c r="F185" s="42" t="str">
        <f aca="false">IFERROR(INDEX(Customer_Master!$C$2:$C$49,MATCH(D185,Customer_Master!$A$2:$A$49,0)),"UNMATCHED")</f>
        <v>South</v>
      </c>
      <c r="G185" s="42" t="str">
        <f aca="false">IFERROR(INDEX(Customer_Master!$D$2:$D$49,MATCH(D185,Customer_Master!$A$2:$A$49,0)),"UNMATCHED")</f>
        <v>Distributor</v>
      </c>
      <c r="H185" s="42" t="str">
        <f aca="false">IFERROR(INDEX(Product_Master!$C$2:$C$9,MATCH(E185,Product_Master!$A$2:$A$9,0)),"UNMATCHED")</f>
        <v>Foods</v>
      </c>
      <c r="I185" s="42" t="str">
        <f aca="false">IFERROR(INDEX(Product_Master!$B$2:$B$9,MATCH(E185,Product_Master!$A$2:$A$9,0)),"UNMATCHED")</f>
        <v>Biscuits 500g</v>
      </c>
      <c r="J185" s="42" t="n">
        <f aca="false">IFERROR(INDEX(Calendar!$B$2:$B$25,MATCH(B185,Calendar!$A$2:$A$25,0)),0)</f>
        <v>2025</v>
      </c>
      <c r="K185" s="42" t="n">
        <f aca="false">IFERROR(VALUE(RIGHT(B185,2)),0)</f>
        <v>6</v>
      </c>
      <c r="L185" s="42" t="str">
        <f aca="false">IFERROR(INDEX(Calendar!$E$2:$E$25,MATCH(B185,Calendar!$A$2:$A$25,0)),"UNMATCHED")</f>
        <v>Actual</v>
      </c>
      <c r="M185" s="42" t="n">
        <f aca="false">Sales_Transactions!F185</f>
        <v>393</v>
      </c>
      <c r="N185" s="52" t="n">
        <f aca="false">Sales_Transactions!I185</f>
        <v>43520.82</v>
      </c>
      <c r="O185" s="52" t="n">
        <f aca="false">Sales_Transactions!J185</f>
        <v>26822.25</v>
      </c>
      <c r="P185" s="52" t="n">
        <f aca="false">Sales_Transactions!K185</f>
        <v>16698.57</v>
      </c>
      <c r="Q185" s="42" t="n">
        <f aca="false">IF(ISNUMBER(MATCH(E185,Product_Master!$A$2:$A$9,0)),0,1)</f>
        <v>0</v>
      </c>
      <c r="R185" s="42" t="n">
        <f aca="false">IF(ISNUMBER(MATCH(D185,Customer_Master!$A$2:$A$49,0)),0,1)</f>
        <v>0</v>
      </c>
      <c r="S185" s="42" t="n">
        <f aca="false">IF(ISNUMBER(MATCH(B185,Calendar!$A$2:$A$25,0)),0,1)</f>
        <v>0</v>
      </c>
      <c r="T185" s="42" t="n">
        <f aca="false">IF(COUNTIF(Sales_Transactions!$A$2:$A$865,A185)&gt;1,1,0)</f>
        <v>0</v>
      </c>
      <c r="U185" s="42" t="n">
        <f aca="false">IF(OR(ABS(Sales_Transactions!F185*Sales_Transactions!G185-Sales_Transactions!I185)&gt;0.01,ABS(Sales_Transactions!F185*Sales_Transactions!H185-Sales_Transactions!J185)&gt;0.01,ABS(Sales_Transactions!I185-Sales_Transactions!J185-Sales_Transactions!K185)&gt;0.01),1,0)</f>
        <v>0</v>
      </c>
      <c r="V185" s="42" t="n">
        <f aca="false">IF(C185&lt;&gt;L185,1,0)</f>
        <v>0</v>
      </c>
      <c r="W185" s="42" t="n">
        <f aca="false">IF(SUM(Q185:V185)&gt;0,1,0)</f>
        <v>0</v>
      </c>
    </row>
    <row r="186" customFormat="false" ht="15" hidden="false" customHeight="false" outlineLevel="0" collapsed="false">
      <c r="A186" s="42" t="str">
        <f aca="false">Sales_Transactions!A186</f>
        <v>INV-06-005</v>
      </c>
      <c r="B186" s="42" t="str">
        <f aca="false">Sales_Transactions!B186</f>
        <v>2025-06</v>
      </c>
      <c r="C186" s="42" t="str">
        <f aca="false">Sales_Transactions!C186</f>
        <v>Actual</v>
      </c>
      <c r="D186" s="42" t="str">
        <f aca="false">Sales_Transactions!D186</f>
        <v>C044</v>
      </c>
      <c r="E186" s="42" t="str">
        <f aca="false">Sales_Transactions!E186</f>
        <v>P002</v>
      </c>
      <c r="F186" s="42" t="str">
        <f aca="false">IFERROR(INDEX(Customer_Master!$C$2:$C$49,MATCH(D186,Customer_Master!$A$2:$A$49,0)),"UNMATCHED")</f>
        <v>East</v>
      </c>
      <c r="G186" s="42" t="str">
        <f aca="false">IFERROR(INDEX(Customer_Master!$D$2:$D$49,MATCH(D186,Customer_Master!$A$2:$A$49,0)),"UNMATCHED")</f>
        <v>Modern Trade</v>
      </c>
      <c r="H186" s="42" t="str">
        <f aca="false">IFERROR(INDEX(Product_Master!$C$2:$C$9,MATCH(E186,Product_Master!$A$2:$A$9,0)),"UNMATCHED")</f>
        <v>Home Care</v>
      </c>
      <c r="I186" s="42" t="str">
        <f aca="false">IFERROR(INDEX(Product_Master!$B$2:$B$9,MATCH(E186,Product_Master!$A$2:$A$9,0)),"UNMATCHED")</f>
        <v>Dishwash Gel</v>
      </c>
      <c r="J186" s="42" t="n">
        <f aca="false">IFERROR(INDEX(Calendar!$B$2:$B$25,MATCH(B186,Calendar!$A$2:$A$25,0)),0)</f>
        <v>2025</v>
      </c>
      <c r="K186" s="42" t="n">
        <f aca="false">IFERROR(VALUE(RIGHT(B186,2)),0)</f>
        <v>6</v>
      </c>
      <c r="L186" s="42" t="str">
        <f aca="false">IFERROR(INDEX(Calendar!$E$2:$E$25,MATCH(B186,Calendar!$A$2:$A$25,0)),"UNMATCHED")</f>
        <v>Actual</v>
      </c>
      <c r="M186" s="42" t="n">
        <f aca="false">Sales_Transactions!F186</f>
        <v>224</v>
      </c>
      <c r="N186" s="52" t="n">
        <f aca="false">Sales_Transactions!I186</f>
        <v>30748.48</v>
      </c>
      <c r="O186" s="52" t="n">
        <f aca="false">Sales_Transactions!J186</f>
        <v>17698.24</v>
      </c>
      <c r="P186" s="52" t="n">
        <f aca="false">Sales_Transactions!K186</f>
        <v>13050.24</v>
      </c>
      <c r="Q186" s="42" t="n">
        <f aca="false">IF(ISNUMBER(MATCH(E186,Product_Master!$A$2:$A$9,0)),0,1)</f>
        <v>0</v>
      </c>
      <c r="R186" s="42" t="n">
        <f aca="false">IF(ISNUMBER(MATCH(D186,Customer_Master!$A$2:$A$49,0)),0,1)</f>
        <v>0</v>
      </c>
      <c r="S186" s="42" t="n">
        <f aca="false">IF(ISNUMBER(MATCH(B186,Calendar!$A$2:$A$25,0)),0,1)</f>
        <v>0</v>
      </c>
      <c r="T186" s="42" t="n">
        <f aca="false">IF(COUNTIF(Sales_Transactions!$A$2:$A$865,A186)&gt;1,1,0)</f>
        <v>0</v>
      </c>
      <c r="U186" s="42" t="n">
        <f aca="false">IF(OR(ABS(Sales_Transactions!F186*Sales_Transactions!G186-Sales_Transactions!I186)&gt;0.01,ABS(Sales_Transactions!F186*Sales_Transactions!H186-Sales_Transactions!J186)&gt;0.01,ABS(Sales_Transactions!I186-Sales_Transactions!J186-Sales_Transactions!K186)&gt;0.01),1,0)</f>
        <v>0</v>
      </c>
      <c r="V186" s="42" t="n">
        <f aca="false">IF(C186&lt;&gt;L186,1,0)</f>
        <v>0</v>
      </c>
      <c r="W186" s="42" t="n">
        <f aca="false">IF(SUM(Q186:V186)&gt;0,1,0)</f>
        <v>0</v>
      </c>
    </row>
    <row r="187" customFormat="false" ht="15" hidden="false" customHeight="false" outlineLevel="0" collapsed="false">
      <c r="A187" s="42" t="str">
        <f aca="false">Sales_Transactions!A187</f>
        <v>INV-06-006</v>
      </c>
      <c r="B187" s="42" t="str">
        <f aca="false">Sales_Transactions!B187</f>
        <v>2025-06</v>
      </c>
      <c r="C187" s="42" t="str">
        <f aca="false">Sales_Transactions!C187</f>
        <v>Actual</v>
      </c>
      <c r="D187" s="42" t="str">
        <f aca="false">Sales_Transactions!D187</f>
        <v>C003</v>
      </c>
      <c r="E187" s="42" t="str">
        <f aca="false">Sales_Transactions!E187</f>
        <v>P007</v>
      </c>
      <c r="F187" s="42" t="str">
        <f aca="false">IFERROR(INDEX(Customer_Master!$C$2:$C$49,MATCH(D187,Customer_Master!$A$2:$A$49,0)),"UNMATCHED")</f>
        <v>West</v>
      </c>
      <c r="G187" s="42" t="str">
        <f aca="false">IFERROR(INDEX(Customer_Master!$D$2:$D$49,MATCH(D187,Customer_Master!$A$2:$A$49,0)),"UNMATCHED")</f>
        <v>Retail</v>
      </c>
      <c r="H187" s="42" t="str">
        <f aca="false">IFERROR(INDEX(Product_Master!$C$2:$C$9,MATCH(E187,Product_Master!$A$2:$A$9,0)),"UNMATCHED")</f>
        <v>Home Care</v>
      </c>
      <c r="I187" s="42" t="str">
        <f aca="false">IFERROR(INDEX(Product_Master!$B$2:$B$9,MATCH(E187,Product_Master!$A$2:$A$9,0)),"UNMATCHED")</f>
        <v>Floor Cleaner</v>
      </c>
      <c r="J187" s="42" t="n">
        <f aca="false">IFERROR(INDEX(Calendar!$B$2:$B$25,MATCH(B187,Calendar!$A$2:$A$25,0)),0)</f>
        <v>2025</v>
      </c>
      <c r="K187" s="42" t="n">
        <f aca="false">IFERROR(VALUE(RIGHT(B187,2)),0)</f>
        <v>6</v>
      </c>
      <c r="L187" s="42" t="str">
        <f aca="false">IFERROR(INDEX(Calendar!$E$2:$E$25,MATCH(B187,Calendar!$A$2:$A$25,0)),"UNMATCHED")</f>
        <v>Actual</v>
      </c>
      <c r="M187" s="42" t="n">
        <f aca="false">Sales_Transactions!F187</f>
        <v>257</v>
      </c>
      <c r="N187" s="52" t="n">
        <f aca="false">Sales_Transactions!I187</f>
        <v>47704.34</v>
      </c>
      <c r="O187" s="52" t="n">
        <f aca="false">Sales_Transactions!J187</f>
        <v>30390.25</v>
      </c>
      <c r="P187" s="52" t="n">
        <f aca="false">Sales_Transactions!K187</f>
        <v>17314.09</v>
      </c>
      <c r="Q187" s="42" t="n">
        <f aca="false">IF(ISNUMBER(MATCH(E187,Product_Master!$A$2:$A$9,0)),0,1)</f>
        <v>0</v>
      </c>
      <c r="R187" s="42" t="n">
        <f aca="false">IF(ISNUMBER(MATCH(D187,Customer_Master!$A$2:$A$49,0)),0,1)</f>
        <v>0</v>
      </c>
      <c r="S187" s="42" t="n">
        <f aca="false">IF(ISNUMBER(MATCH(B187,Calendar!$A$2:$A$25,0)),0,1)</f>
        <v>0</v>
      </c>
      <c r="T187" s="42" t="n">
        <f aca="false">IF(COUNTIF(Sales_Transactions!$A$2:$A$865,A187)&gt;1,1,0)</f>
        <v>0</v>
      </c>
      <c r="U187" s="42" t="n">
        <f aca="false">IF(OR(ABS(Sales_Transactions!F187*Sales_Transactions!G187-Sales_Transactions!I187)&gt;0.01,ABS(Sales_Transactions!F187*Sales_Transactions!H187-Sales_Transactions!J187)&gt;0.01,ABS(Sales_Transactions!I187-Sales_Transactions!J187-Sales_Transactions!K187)&gt;0.01),1,0)</f>
        <v>0</v>
      </c>
      <c r="V187" s="42" t="n">
        <f aca="false">IF(C187&lt;&gt;L187,1,0)</f>
        <v>0</v>
      </c>
      <c r="W187" s="42" t="n">
        <f aca="false">IF(SUM(Q187:V187)&gt;0,1,0)</f>
        <v>0</v>
      </c>
    </row>
    <row r="188" customFormat="false" ht="15" hidden="false" customHeight="false" outlineLevel="0" collapsed="false">
      <c r="A188" s="42" t="str">
        <f aca="false">Sales_Transactions!A188</f>
        <v>INV-06-007</v>
      </c>
      <c r="B188" s="42" t="str">
        <f aca="false">Sales_Transactions!B188</f>
        <v>2025-06</v>
      </c>
      <c r="C188" s="42" t="str">
        <f aca="false">Sales_Transactions!C188</f>
        <v>Actual</v>
      </c>
      <c r="D188" s="42" t="str">
        <f aca="false">Sales_Transactions!D188</f>
        <v>C010</v>
      </c>
      <c r="E188" s="42" t="str">
        <f aca="false">Sales_Transactions!E188</f>
        <v>P004</v>
      </c>
      <c r="F188" s="42" t="str">
        <f aca="false">IFERROR(INDEX(Customer_Master!$C$2:$C$49,MATCH(D188,Customer_Master!$A$2:$A$49,0)),"UNMATCHED")</f>
        <v>North</v>
      </c>
      <c r="G188" s="42" t="str">
        <f aca="false">IFERROR(INDEX(Customer_Master!$D$2:$D$49,MATCH(D188,Customer_Master!$A$2:$A$49,0)),"UNMATCHED")</f>
        <v>Distributor</v>
      </c>
      <c r="H188" s="42" t="str">
        <f aca="false">IFERROR(INDEX(Product_Master!$C$2:$C$9,MATCH(E188,Product_Master!$A$2:$A$9,0)),"UNMATCHED")</f>
        <v>Personal Care</v>
      </c>
      <c r="I188" s="42" t="str">
        <f aca="false">IFERROR(INDEX(Product_Master!$B$2:$B$9,MATCH(E188,Product_Master!$A$2:$A$9,0)),"UNMATCHED")</f>
        <v>Soap 4-pack</v>
      </c>
      <c r="J188" s="42" t="n">
        <f aca="false">IFERROR(INDEX(Calendar!$B$2:$B$25,MATCH(B188,Calendar!$A$2:$A$25,0)),0)</f>
        <v>2025</v>
      </c>
      <c r="K188" s="42" t="n">
        <f aca="false">IFERROR(VALUE(RIGHT(B188,2)),0)</f>
        <v>6</v>
      </c>
      <c r="L188" s="42" t="str">
        <f aca="false">IFERROR(INDEX(Calendar!$E$2:$E$25,MATCH(B188,Calendar!$A$2:$A$25,0)),"UNMATCHED")</f>
        <v>Actual</v>
      </c>
      <c r="M188" s="42" t="n">
        <f aca="false">Sales_Transactions!F188</f>
        <v>455</v>
      </c>
      <c r="N188" s="52" t="n">
        <f aca="false">Sales_Transactions!I188</f>
        <v>72572.5</v>
      </c>
      <c r="O188" s="52" t="n">
        <f aca="false">Sales_Transactions!J188</f>
        <v>44380.7</v>
      </c>
      <c r="P188" s="52" t="n">
        <f aca="false">Sales_Transactions!K188</f>
        <v>28191.8</v>
      </c>
      <c r="Q188" s="42" t="n">
        <f aca="false">IF(ISNUMBER(MATCH(E188,Product_Master!$A$2:$A$9,0)),0,1)</f>
        <v>0</v>
      </c>
      <c r="R188" s="42" t="n">
        <f aca="false">IF(ISNUMBER(MATCH(D188,Customer_Master!$A$2:$A$49,0)),0,1)</f>
        <v>0</v>
      </c>
      <c r="S188" s="42" t="n">
        <f aca="false">IF(ISNUMBER(MATCH(B188,Calendar!$A$2:$A$25,0)),0,1)</f>
        <v>0</v>
      </c>
      <c r="T188" s="42" t="n">
        <f aca="false">IF(COUNTIF(Sales_Transactions!$A$2:$A$865,A188)&gt;1,1,0)</f>
        <v>0</v>
      </c>
      <c r="U188" s="42" t="n">
        <f aca="false">IF(OR(ABS(Sales_Transactions!F188*Sales_Transactions!G188-Sales_Transactions!I188)&gt;0.01,ABS(Sales_Transactions!F188*Sales_Transactions!H188-Sales_Transactions!J188)&gt;0.01,ABS(Sales_Transactions!I188-Sales_Transactions!J188-Sales_Transactions!K188)&gt;0.01),1,0)</f>
        <v>0</v>
      </c>
      <c r="V188" s="42" t="n">
        <f aca="false">IF(C188&lt;&gt;L188,1,0)</f>
        <v>0</v>
      </c>
      <c r="W188" s="42" t="n">
        <f aca="false">IF(SUM(Q188:V188)&gt;0,1,0)</f>
        <v>0</v>
      </c>
    </row>
    <row r="189" customFormat="false" ht="15" hidden="false" customHeight="false" outlineLevel="0" collapsed="false">
      <c r="A189" s="42" t="str">
        <f aca="false">Sales_Transactions!A189</f>
        <v>INV-06-008</v>
      </c>
      <c r="B189" s="42" t="str">
        <f aca="false">Sales_Transactions!B189</f>
        <v>2025-06</v>
      </c>
      <c r="C189" s="42" t="str">
        <f aca="false">Sales_Transactions!C189</f>
        <v>Actual</v>
      </c>
      <c r="D189" s="42" t="str">
        <f aca="false">Sales_Transactions!D189</f>
        <v>C017</v>
      </c>
      <c r="E189" s="42" t="str">
        <f aca="false">Sales_Transactions!E189</f>
        <v>P001</v>
      </c>
      <c r="F189" s="42" t="str">
        <f aca="false">IFERROR(INDEX(Customer_Master!$C$2:$C$49,MATCH(D189,Customer_Master!$A$2:$A$49,0)),"UNMATCHED")</f>
        <v>South</v>
      </c>
      <c r="G189" s="42" t="str">
        <f aca="false">IFERROR(INDEX(Customer_Master!$D$2:$D$49,MATCH(D189,Customer_Master!$A$2:$A$49,0)),"UNMATCHED")</f>
        <v>Modern Trade</v>
      </c>
      <c r="H189" s="42" t="str">
        <f aca="false">IFERROR(INDEX(Product_Master!$C$2:$C$9,MATCH(E189,Product_Master!$A$2:$A$9,0)),"UNMATCHED")</f>
        <v>Home Care</v>
      </c>
      <c r="I189" s="42" t="str">
        <f aca="false">IFERROR(INDEX(Product_Master!$B$2:$B$9,MATCH(E189,Product_Master!$A$2:$A$9,0)),"UNMATCHED")</f>
        <v>Detergent 1kg</v>
      </c>
      <c r="J189" s="42" t="n">
        <f aca="false">IFERROR(INDEX(Calendar!$B$2:$B$25,MATCH(B189,Calendar!$A$2:$A$25,0)),0)</f>
        <v>2025</v>
      </c>
      <c r="K189" s="42" t="n">
        <f aca="false">IFERROR(VALUE(RIGHT(B189,2)),0)</f>
        <v>6</v>
      </c>
      <c r="L189" s="42" t="str">
        <f aca="false">IFERROR(INDEX(Calendar!$E$2:$E$25,MATCH(B189,Calendar!$A$2:$A$25,0)),"UNMATCHED")</f>
        <v>Actual</v>
      </c>
      <c r="M189" s="42" t="n">
        <f aca="false">Sales_Transactions!F189</f>
        <v>150</v>
      </c>
      <c r="N189" s="52" t="n">
        <f aca="false">Sales_Transactions!I189</f>
        <v>32050.5</v>
      </c>
      <c r="O189" s="52" t="n">
        <f aca="false">Sales_Transactions!J189</f>
        <v>20277</v>
      </c>
      <c r="P189" s="52" t="n">
        <f aca="false">Sales_Transactions!K189</f>
        <v>11773.5</v>
      </c>
      <c r="Q189" s="42" t="n">
        <f aca="false">IF(ISNUMBER(MATCH(E189,Product_Master!$A$2:$A$9,0)),0,1)</f>
        <v>0</v>
      </c>
      <c r="R189" s="42" t="n">
        <f aca="false">IF(ISNUMBER(MATCH(D189,Customer_Master!$A$2:$A$49,0)),0,1)</f>
        <v>0</v>
      </c>
      <c r="S189" s="42" t="n">
        <f aca="false">IF(ISNUMBER(MATCH(B189,Calendar!$A$2:$A$25,0)),0,1)</f>
        <v>0</v>
      </c>
      <c r="T189" s="42" t="n">
        <f aca="false">IF(COUNTIF(Sales_Transactions!$A$2:$A$865,A189)&gt;1,1,0)</f>
        <v>0</v>
      </c>
      <c r="U189" s="42" t="n">
        <f aca="false">IF(OR(ABS(Sales_Transactions!F189*Sales_Transactions!G189-Sales_Transactions!I189)&gt;0.01,ABS(Sales_Transactions!F189*Sales_Transactions!H189-Sales_Transactions!J189)&gt;0.01,ABS(Sales_Transactions!I189-Sales_Transactions!J189-Sales_Transactions!K189)&gt;0.01),1,0)</f>
        <v>0</v>
      </c>
      <c r="V189" s="42" t="n">
        <f aca="false">IF(C189&lt;&gt;L189,1,0)</f>
        <v>0</v>
      </c>
      <c r="W189" s="42" t="n">
        <f aca="false">IF(SUM(Q189:V189)&gt;0,1,0)</f>
        <v>0</v>
      </c>
    </row>
    <row r="190" customFormat="false" ht="15" hidden="false" customHeight="false" outlineLevel="0" collapsed="false">
      <c r="A190" s="42" t="str">
        <f aca="false">Sales_Transactions!A190</f>
        <v>INV-06-009</v>
      </c>
      <c r="B190" s="42" t="str">
        <f aca="false">Sales_Transactions!B190</f>
        <v>2025-06</v>
      </c>
      <c r="C190" s="42" t="str">
        <f aca="false">Sales_Transactions!C190</f>
        <v>Actual</v>
      </c>
      <c r="D190" s="42" t="str">
        <f aca="false">Sales_Transactions!D190</f>
        <v>C024</v>
      </c>
      <c r="E190" s="42" t="str">
        <f aca="false">Sales_Transactions!E190</f>
        <v>P006</v>
      </c>
      <c r="F190" s="42" t="str">
        <f aca="false">IFERROR(INDEX(Customer_Master!$C$2:$C$49,MATCH(D190,Customer_Master!$A$2:$A$49,0)),"UNMATCHED")</f>
        <v>East</v>
      </c>
      <c r="G190" s="42" t="str">
        <f aca="false">IFERROR(INDEX(Customer_Master!$D$2:$D$49,MATCH(D190,Customer_Master!$A$2:$A$49,0)),"UNMATCHED")</f>
        <v>Retail</v>
      </c>
      <c r="H190" s="42" t="str">
        <f aca="false">IFERROR(INDEX(Product_Master!$C$2:$C$9,MATCH(E190,Product_Master!$A$2:$A$9,0)),"UNMATCHED")</f>
        <v>Foods</v>
      </c>
      <c r="I190" s="42" t="str">
        <f aca="false">IFERROR(INDEX(Product_Master!$B$2:$B$9,MATCH(E190,Product_Master!$A$2:$A$9,0)),"UNMATCHED")</f>
        <v>Breakfast Cereal</v>
      </c>
      <c r="J190" s="42" t="n">
        <f aca="false">IFERROR(INDEX(Calendar!$B$2:$B$25,MATCH(B190,Calendar!$A$2:$A$25,0)),0)</f>
        <v>2025</v>
      </c>
      <c r="K190" s="42" t="n">
        <f aca="false">IFERROR(VALUE(RIGHT(B190,2)),0)</f>
        <v>6</v>
      </c>
      <c r="L190" s="42" t="str">
        <f aca="false">IFERROR(INDEX(Calendar!$E$2:$E$25,MATCH(B190,Calendar!$A$2:$A$25,0)),"UNMATCHED")</f>
        <v>Actual</v>
      </c>
      <c r="M190" s="42" t="n">
        <f aca="false">Sales_Transactions!F190</f>
        <v>286</v>
      </c>
      <c r="N190" s="52" t="n">
        <f aca="false">Sales_Transactions!I190</f>
        <v>70519.02</v>
      </c>
      <c r="O190" s="52" t="n">
        <f aca="false">Sales_Transactions!J190</f>
        <v>46380.62</v>
      </c>
      <c r="P190" s="52" t="n">
        <f aca="false">Sales_Transactions!K190</f>
        <v>24138.4</v>
      </c>
      <c r="Q190" s="42" t="n">
        <f aca="false">IF(ISNUMBER(MATCH(E190,Product_Master!$A$2:$A$9,0)),0,1)</f>
        <v>0</v>
      </c>
      <c r="R190" s="42" t="n">
        <f aca="false">IF(ISNUMBER(MATCH(D190,Customer_Master!$A$2:$A$49,0)),0,1)</f>
        <v>0</v>
      </c>
      <c r="S190" s="42" t="n">
        <f aca="false">IF(ISNUMBER(MATCH(B190,Calendar!$A$2:$A$25,0)),0,1)</f>
        <v>0</v>
      </c>
      <c r="T190" s="42" t="n">
        <f aca="false">IF(COUNTIF(Sales_Transactions!$A$2:$A$865,A190)&gt;1,1,0)</f>
        <v>0</v>
      </c>
      <c r="U190" s="42" t="n">
        <f aca="false">IF(OR(ABS(Sales_Transactions!F190*Sales_Transactions!G190-Sales_Transactions!I190)&gt;0.01,ABS(Sales_Transactions!F190*Sales_Transactions!H190-Sales_Transactions!J190)&gt;0.01,ABS(Sales_Transactions!I190-Sales_Transactions!J190-Sales_Transactions!K190)&gt;0.01),1,0)</f>
        <v>0</v>
      </c>
      <c r="V190" s="42" t="n">
        <f aca="false">IF(C190&lt;&gt;L190,1,0)</f>
        <v>0</v>
      </c>
      <c r="W190" s="42" t="n">
        <f aca="false">IF(SUM(Q190:V190)&gt;0,1,0)</f>
        <v>0</v>
      </c>
    </row>
    <row r="191" customFormat="false" ht="15" hidden="false" customHeight="false" outlineLevel="0" collapsed="false">
      <c r="A191" s="42" t="str">
        <f aca="false">Sales_Transactions!A191</f>
        <v>INV-06-010</v>
      </c>
      <c r="B191" s="42" t="str">
        <f aca="false">Sales_Transactions!B191</f>
        <v>2025-06</v>
      </c>
      <c r="C191" s="42" t="str">
        <f aca="false">Sales_Transactions!C191</f>
        <v>Actual</v>
      </c>
      <c r="D191" s="42" t="str">
        <f aca="false">Sales_Transactions!D191</f>
        <v>C031</v>
      </c>
      <c r="E191" s="42" t="str">
        <f aca="false">Sales_Transactions!E191</f>
        <v>P003</v>
      </c>
      <c r="F191" s="42" t="str">
        <f aca="false">IFERROR(INDEX(Customer_Master!$C$2:$C$49,MATCH(D191,Customer_Master!$A$2:$A$49,0)),"UNMATCHED")</f>
        <v>West</v>
      </c>
      <c r="G191" s="42" t="str">
        <f aca="false">IFERROR(INDEX(Customer_Master!$D$2:$D$49,MATCH(D191,Customer_Master!$A$2:$A$49,0)),"UNMATCHED")</f>
        <v>Distributor</v>
      </c>
      <c r="H191" s="42" t="str">
        <f aca="false">IFERROR(INDEX(Product_Master!$C$2:$C$9,MATCH(E191,Product_Master!$A$2:$A$9,0)),"UNMATCHED")</f>
        <v>Personal Care</v>
      </c>
      <c r="I191" s="42" t="str">
        <f aca="false">IFERROR(INDEX(Product_Master!$B$2:$B$9,MATCH(E191,Product_Master!$A$2:$A$9,0)),"UNMATCHED")</f>
        <v>Shampoo 400ml</v>
      </c>
      <c r="J191" s="42" t="n">
        <f aca="false">IFERROR(INDEX(Calendar!$B$2:$B$25,MATCH(B191,Calendar!$A$2:$A$25,0)),0)</f>
        <v>2025</v>
      </c>
      <c r="K191" s="42" t="n">
        <f aca="false">IFERROR(VALUE(RIGHT(B191,2)),0)</f>
        <v>6</v>
      </c>
      <c r="L191" s="42" t="str">
        <f aca="false">IFERROR(INDEX(Calendar!$E$2:$E$25,MATCH(B191,Calendar!$A$2:$A$25,0)),"UNMATCHED")</f>
        <v>Actual</v>
      </c>
      <c r="M191" s="42" t="n">
        <f aca="false">Sales_Transactions!F191</f>
        <v>127</v>
      </c>
      <c r="N191" s="52" t="n">
        <f aca="false">Sales_Transactions!I191</f>
        <v>34620.2</v>
      </c>
      <c r="O191" s="52" t="n">
        <f aca="false">Sales_Transactions!J191</f>
        <v>21201.38</v>
      </c>
      <c r="P191" s="52" t="n">
        <f aca="false">Sales_Transactions!K191</f>
        <v>13418.82</v>
      </c>
      <c r="Q191" s="42" t="n">
        <f aca="false">IF(ISNUMBER(MATCH(E191,Product_Master!$A$2:$A$9,0)),0,1)</f>
        <v>0</v>
      </c>
      <c r="R191" s="42" t="n">
        <f aca="false">IF(ISNUMBER(MATCH(D191,Customer_Master!$A$2:$A$49,0)),0,1)</f>
        <v>0</v>
      </c>
      <c r="S191" s="42" t="n">
        <f aca="false">IF(ISNUMBER(MATCH(B191,Calendar!$A$2:$A$25,0)),0,1)</f>
        <v>0</v>
      </c>
      <c r="T191" s="42" t="n">
        <f aca="false">IF(COUNTIF(Sales_Transactions!$A$2:$A$865,A191)&gt;1,1,0)</f>
        <v>0</v>
      </c>
      <c r="U191" s="42" t="n">
        <f aca="false">IF(OR(ABS(Sales_Transactions!F191*Sales_Transactions!G191-Sales_Transactions!I191)&gt;0.01,ABS(Sales_Transactions!F191*Sales_Transactions!H191-Sales_Transactions!J191)&gt;0.01,ABS(Sales_Transactions!I191-Sales_Transactions!J191-Sales_Transactions!K191)&gt;0.01),1,0)</f>
        <v>0</v>
      </c>
      <c r="V191" s="42" t="n">
        <f aca="false">IF(C191&lt;&gt;L191,1,0)</f>
        <v>0</v>
      </c>
      <c r="W191" s="42" t="n">
        <f aca="false">IF(SUM(Q191:V191)&gt;0,1,0)</f>
        <v>0</v>
      </c>
    </row>
    <row r="192" customFormat="false" ht="15" hidden="false" customHeight="false" outlineLevel="0" collapsed="false">
      <c r="A192" s="42" t="str">
        <f aca="false">Sales_Transactions!A192</f>
        <v>INV-06-011</v>
      </c>
      <c r="B192" s="42" t="str">
        <f aca="false">Sales_Transactions!B192</f>
        <v>2025-06</v>
      </c>
      <c r="C192" s="42" t="str">
        <f aca="false">Sales_Transactions!C192</f>
        <v>Actual</v>
      </c>
      <c r="D192" s="42" t="str">
        <f aca="false">Sales_Transactions!D192</f>
        <v>C038</v>
      </c>
      <c r="E192" s="42" t="str">
        <f aca="false">Sales_Transactions!E192</f>
        <v>P008</v>
      </c>
      <c r="F192" s="42" t="str">
        <f aca="false">IFERROR(INDEX(Customer_Master!$C$2:$C$49,MATCH(D192,Customer_Master!$A$2:$A$49,0)),"UNMATCHED")</f>
        <v>North</v>
      </c>
      <c r="G192" s="42" t="str">
        <f aca="false">IFERROR(INDEX(Customer_Master!$D$2:$D$49,MATCH(D192,Customer_Master!$A$2:$A$49,0)),"UNMATCHED")</f>
        <v>Modern Trade</v>
      </c>
      <c r="H192" s="42" t="str">
        <f aca="false">IFERROR(INDEX(Product_Master!$C$2:$C$9,MATCH(E192,Product_Master!$A$2:$A$9,0)),"UNMATCHED")</f>
        <v>Personal Care</v>
      </c>
      <c r="I192" s="42" t="str">
        <f aca="false">IFERROR(INDEX(Product_Master!$B$2:$B$9,MATCH(E192,Product_Master!$A$2:$A$9,0)),"UNMATCHED")</f>
        <v>Body Lotion</v>
      </c>
      <c r="J192" s="42" t="n">
        <f aca="false">IFERROR(INDEX(Calendar!$B$2:$B$25,MATCH(B192,Calendar!$A$2:$A$25,0)),0)</f>
        <v>2025</v>
      </c>
      <c r="K192" s="42" t="n">
        <f aca="false">IFERROR(VALUE(RIGHT(B192,2)),0)</f>
        <v>6</v>
      </c>
      <c r="L192" s="42" t="str">
        <f aca="false">IFERROR(INDEX(Calendar!$E$2:$E$25,MATCH(B192,Calendar!$A$2:$A$25,0)),"UNMATCHED")</f>
        <v>Actual</v>
      </c>
      <c r="M192" s="42" t="n">
        <f aca="false">Sales_Transactions!F192</f>
        <v>321</v>
      </c>
      <c r="N192" s="52" t="n">
        <f aca="false">Sales_Transactions!I192</f>
        <v>95314.53</v>
      </c>
      <c r="O192" s="52" t="n">
        <f aca="false">Sales_Transactions!J192</f>
        <v>64273.83</v>
      </c>
      <c r="P192" s="52" t="n">
        <f aca="false">Sales_Transactions!K192</f>
        <v>31040.7</v>
      </c>
      <c r="Q192" s="42" t="n">
        <f aca="false">IF(ISNUMBER(MATCH(E192,Product_Master!$A$2:$A$9,0)),0,1)</f>
        <v>0</v>
      </c>
      <c r="R192" s="42" t="n">
        <f aca="false">IF(ISNUMBER(MATCH(D192,Customer_Master!$A$2:$A$49,0)),0,1)</f>
        <v>0</v>
      </c>
      <c r="S192" s="42" t="n">
        <f aca="false">IF(ISNUMBER(MATCH(B192,Calendar!$A$2:$A$25,0)),0,1)</f>
        <v>0</v>
      </c>
      <c r="T192" s="42" t="n">
        <f aca="false">IF(COUNTIF(Sales_Transactions!$A$2:$A$865,A192)&gt;1,1,0)</f>
        <v>0</v>
      </c>
      <c r="U192" s="42" t="n">
        <f aca="false">IF(OR(ABS(Sales_Transactions!F192*Sales_Transactions!G192-Sales_Transactions!I192)&gt;0.01,ABS(Sales_Transactions!F192*Sales_Transactions!H192-Sales_Transactions!J192)&gt;0.01,ABS(Sales_Transactions!I192-Sales_Transactions!J192-Sales_Transactions!K192)&gt;0.01),1,0)</f>
        <v>0</v>
      </c>
      <c r="V192" s="42" t="n">
        <f aca="false">IF(C192&lt;&gt;L192,1,0)</f>
        <v>0</v>
      </c>
      <c r="W192" s="42" t="n">
        <f aca="false">IF(SUM(Q192:V192)&gt;0,1,0)</f>
        <v>0</v>
      </c>
    </row>
    <row r="193" customFormat="false" ht="15" hidden="false" customHeight="false" outlineLevel="0" collapsed="false">
      <c r="A193" s="42" t="str">
        <f aca="false">Sales_Transactions!A193</f>
        <v>INV-06-012</v>
      </c>
      <c r="B193" s="42" t="str">
        <f aca="false">Sales_Transactions!B193</f>
        <v>2025-06</v>
      </c>
      <c r="C193" s="42" t="str">
        <f aca="false">Sales_Transactions!C193</f>
        <v>Actual</v>
      </c>
      <c r="D193" s="42" t="str">
        <f aca="false">Sales_Transactions!D193</f>
        <v>C045</v>
      </c>
      <c r="E193" s="42" t="str">
        <f aca="false">Sales_Transactions!E193</f>
        <v>P005</v>
      </c>
      <c r="F193" s="42" t="str">
        <f aca="false">IFERROR(INDEX(Customer_Master!$C$2:$C$49,MATCH(D193,Customer_Master!$A$2:$A$49,0)),"UNMATCHED")</f>
        <v>South</v>
      </c>
      <c r="G193" s="42" t="str">
        <f aca="false">IFERROR(INDEX(Customer_Master!$D$2:$D$49,MATCH(D193,Customer_Master!$A$2:$A$49,0)),"UNMATCHED")</f>
        <v>Retail</v>
      </c>
      <c r="H193" s="42" t="str">
        <f aca="false">IFERROR(INDEX(Product_Master!$C$2:$C$9,MATCH(E193,Product_Master!$A$2:$A$9,0)),"UNMATCHED")</f>
        <v>Foods</v>
      </c>
      <c r="I193" s="42" t="str">
        <f aca="false">IFERROR(INDEX(Product_Master!$B$2:$B$9,MATCH(E193,Product_Master!$A$2:$A$9,0)),"UNMATCHED")</f>
        <v>Biscuits 500g</v>
      </c>
      <c r="J193" s="42" t="n">
        <f aca="false">IFERROR(INDEX(Calendar!$B$2:$B$25,MATCH(B193,Calendar!$A$2:$A$25,0)),0)</f>
        <v>2025</v>
      </c>
      <c r="K193" s="42" t="n">
        <f aca="false">IFERROR(VALUE(RIGHT(B193,2)),0)</f>
        <v>6</v>
      </c>
      <c r="L193" s="42" t="str">
        <f aca="false">IFERROR(INDEX(Calendar!$E$2:$E$25,MATCH(B193,Calendar!$A$2:$A$25,0)),"UNMATCHED")</f>
        <v>Actual</v>
      </c>
      <c r="M193" s="42" t="n">
        <f aca="false">Sales_Transactions!F193</f>
        <v>252</v>
      </c>
      <c r="N193" s="52" t="n">
        <f aca="false">Sales_Transactions!I193</f>
        <v>25434.36</v>
      </c>
      <c r="O193" s="52" t="n">
        <f aca="false">Sales_Transactions!J193</f>
        <v>16871.4</v>
      </c>
      <c r="P193" s="52" t="n">
        <f aca="false">Sales_Transactions!K193</f>
        <v>8562.96</v>
      </c>
      <c r="Q193" s="42" t="n">
        <f aca="false">IF(ISNUMBER(MATCH(E193,Product_Master!$A$2:$A$9,0)),0,1)</f>
        <v>0</v>
      </c>
      <c r="R193" s="42" t="n">
        <f aca="false">IF(ISNUMBER(MATCH(D193,Customer_Master!$A$2:$A$49,0)),0,1)</f>
        <v>0</v>
      </c>
      <c r="S193" s="42" t="n">
        <f aca="false">IF(ISNUMBER(MATCH(B193,Calendar!$A$2:$A$25,0)),0,1)</f>
        <v>0</v>
      </c>
      <c r="T193" s="42" t="n">
        <f aca="false">IF(COUNTIF(Sales_Transactions!$A$2:$A$865,A193)&gt;1,1,0)</f>
        <v>0</v>
      </c>
      <c r="U193" s="42" t="n">
        <f aca="false">IF(OR(ABS(Sales_Transactions!F193*Sales_Transactions!G193-Sales_Transactions!I193)&gt;0.01,ABS(Sales_Transactions!F193*Sales_Transactions!H193-Sales_Transactions!J193)&gt;0.01,ABS(Sales_Transactions!I193-Sales_Transactions!J193-Sales_Transactions!K193)&gt;0.01),1,0)</f>
        <v>0</v>
      </c>
      <c r="V193" s="42" t="n">
        <f aca="false">IF(C193&lt;&gt;L193,1,0)</f>
        <v>0</v>
      </c>
      <c r="W193" s="42" t="n">
        <f aca="false">IF(SUM(Q193:V193)&gt;0,1,0)</f>
        <v>0</v>
      </c>
    </row>
    <row r="194" customFormat="false" ht="15" hidden="false" customHeight="false" outlineLevel="0" collapsed="false">
      <c r="A194" s="42" t="str">
        <f aca="false">Sales_Transactions!A194</f>
        <v>INV-06-013</v>
      </c>
      <c r="B194" s="42" t="str">
        <f aca="false">Sales_Transactions!B194</f>
        <v>2025-06</v>
      </c>
      <c r="C194" s="42" t="str">
        <f aca="false">Sales_Transactions!C194</f>
        <v>Actual</v>
      </c>
      <c r="D194" s="42" t="str">
        <f aca="false">Sales_Transactions!D194</f>
        <v>C004</v>
      </c>
      <c r="E194" s="42" t="str">
        <f aca="false">Sales_Transactions!E194</f>
        <v>P002</v>
      </c>
      <c r="F194" s="42" t="str">
        <f aca="false">IFERROR(INDEX(Customer_Master!$C$2:$C$49,MATCH(D194,Customer_Master!$A$2:$A$49,0)),"UNMATCHED")</f>
        <v>East</v>
      </c>
      <c r="G194" s="42" t="str">
        <f aca="false">IFERROR(INDEX(Customer_Master!$D$2:$D$49,MATCH(D194,Customer_Master!$A$2:$A$49,0)),"UNMATCHED")</f>
        <v>Distributor</v>
      </c>
      <c r="H194" s="42" t="str">
        <f aca="false">IFERROR(INDEX(Product_Master!$C$2:$C$9,MATCH(E194,Product_Master!$A$2:$A$9,0)),"UNMATCHED")</f>
        <v>Home Care</v>
      </c>
      <c r="I194" s="42" t="str">
        <f aca="false">IFERROR(INDEX(Product_Master!$B$2:$B$9,MATCH(E194,Product_Master!$A$2:$A$9,0)),"UNMATCHED")</f>
        <v>Dishwash Gel</v>
      </c>
      <c r="J194" s="42" t="n">
        <f aca="false">IFERROR(INDEX(Calendar!$B$2:$B$25,MATCH(B194,Calendar!$A$2:$A$25,0)),0)</f>
        <v>2025</v>
      </c>
      <c r="K194" s="42" t="n">
        <f aca="false">IFERROR(VALUE(RIGHT(B194,2)),0)</f>
        <v>6</v>
      </c>
      <c r="L194" s="42" t="str">
        <f aca="false">IFERROR(INDEX(Calendar!$E$2:$E$25,MATCH(B194,Calendar!$A$2:$A$25,0)),"UNMATCHED")</f>
        <v>Actual</v>
      </c>
      <c r="M194" s="42" t="n">
        <f aca="false">Sales_Transactions!F194</f>
        <v>279</v>
      </c>
      <c r="N194" s="52" t="n">
        <f aca="false">Sales_Transactions!I194</f>
        <v>37469.7</v>
      </c>
      <c r="O194" s="52" t="n">
        <f aca="false">Sales_Transactions!J194</f>
        <v>24574.32</v>
      </c>
      <c r="P194" s="52" t="n">
        <f aca="false">Sales_Transactions!K194</f>
        <v>12895.38</v>
      </c>
      <c r="Q194" s="42" t="n">
        <f aca="false">IF(ISNUMBER(MATCH(E194,Product_Master!$A$2:$A$9,0)),0,1)</f>
        <v>0</v>
      </c>
      <c r="R194" s="42" t="n">
        <f aca="false">IF(ISNUMBER(MATCH(D194,Customer_Master!$A$2:$A$49,0)),0,1)</f>
        <v>0</v>
      </c>
      <c r="S194" s="42" t="n">
        <f aca="false">IF(ISNUMBER(MATCH(B194,Calendar!$A$2:$A$25,0)),0,1)</f>
        <v>0</v>
      </c>
      <c r="T194" s="42" t="n">
        <f aca="false">IF(COUNTIF(Sales_Transactions!$A$2:$A$865,A194)&gt;1,1,0)</f>
        <v>0</v>
      </c>
      <c r="U194" s="42" t="n">
        <f aca="false">IF(OR(ABS(Sales_Transactions!F194*Sales_Transactions!G194-Sales_Transactions!I194)&gt;0.01,ABS(Sales_Transactions!F194*Sales_Transactions!H194-Sales_Transactions!J194)&gt;0.01,ABS(Sales_Transactions!I194-Sales_Transactions!J194-Sales_Transactions!K194)&gt;0.01),1,0)</f>
        <v>0</v>
      </c>
      <c r="V194" s="42" t="n">
        <f aca="false">IF(C194&lt;&gt;L194,1,0)</f>
        <v>0</v>
      </c>
      <c r="W194" s="42" t="n">
        <f aca="false">IF(SUM(Q194:V194)&gt;0,1,0)</f>
        <v>0</v>
      </c>
    </row>
    <row r="195" customFormat="false" ht="15" hidden="false" customHeight="false" outlineLevel="0" collapsed="false">
      <c r="A195" s="42" t="str">
        <f aca="false">Sales_Transactions!A195</f>
        <v>INV-06-014</v>
      </c>
      <c r="B195" s="42" t="str">
        <f aca="false">Sales_Transactions!B195</f>
        <v>2025-06</v>
      </c>
      <c r="C195" s="42" t="str">
        <f aca="false">Sales_Transactions!C195</f>
        <v>Actual</v>
      </c>
      <c r="D195" s="42" t="str">
        <f aca="false">Sales_Transactions!D195</f>
        <v>C011</v>
      </c>
      <c r="E195" s="42" t="str">
        <f aca="false">Sales_Transactions!E195</f>
        <v>P007</v>
      </c>
      <c r="F195" s="42" t="str">
        <f aca="false">IFERROR(INDEX(Customer_Master!$C$2:$C$49,MATCH(D195,Customer_Master!$A$2:$A$49,0)),"UNMATCHED")</f>
        <v>West</v>
      </c>
      <c r="G195" s="42" t="str">
        <f aca="false">IFERROR(INDEX(Customer_Master!$D$2:$D$49,MATCH(D195,Customer_Master!$A$2:$A$49,0)),"UNMATCHED")</f>
        <v>Modern Trade</v>
      </c>
      <c r="H195" s="42" t="str">
        <f aca="false">IFERROR(INDEX(Product_Master!$C$2:$C$9,MATCH(E195,Product_Master!$A$2:$A$9,0)),"UNMATCHED")</f>
        <v>Home Care</v>
      </c>
      <c r="I195" s="42" t="str">
        <f aca="false">IFERROR(INDEX(Product_Master!$B$2:$B$9,MATCH(E195,Product_Master!$A$2:$A$9,0)),"UNMATCHED")</f>
        <v>Floor Cleaner</v>
      </c>
      <c r="J195" s="42" t="n">
        <f aca="false">IFERROR(INDEX(Calendar!$B$2:$B$25,MATCH(B195,Calendar!$A$2:$A$25,0)),0)</f>
        <v>2025</v>
      </c>
      <c r="K195" s="42" t="n">
        <f aca="false">IFERROR(VALUE(RIGHT(B195,2)),0)</f>
        <v>6</v>
      </c>
      <c r="L195" s="42" t="str">
        <f aca="false">IFERROR(INDEX(Calendar!$E$2:$E$25,MATCH(B195,Calendar!$A$2:$A$25,0)),"UNMATCHED")</f>
        <v>Actual</v>
      </c>
      <c r="M195" s="42" t="n">
        <f aca="false">Sales_Transactions!F195</f>
        <v>300</v>
      </c>
      <c r="N195" s="52" t="n">
        <f aca="false">Sales_Transactions!I195</f>
        <v>52599</v>
      </c>
      <c r="O195" s="52" t="n">
        <f aca="false">Sales_Transactions!J195</f>
        <v>32586</v>
      </c>
      <c r="P195" s="52" t="n">
        <f aca="false">Sales_Transactions!K195</f>
        <v>20013</v>
      </c>
      <c r="Q195" s="42" t="n">
        <f aca="false">IF(ISNUMBER(MATCH(E195,Product_Master!$A$2:$A$9,0)),0,1)</f>
        <v>0</v>
      </c>
      <c r="R195" s="42" t="n">
        <f aca="false">IF(ISNUMBER(MATCH(D195,Customer_Master!$A$2:$A$49,0)),0,1)</f>
        <v>0</v>
      </c>
      <c r="S195" s="42" t="n">
        <f aca="false">IF(ISNUMBER(MATCH(B195,Calendar!$A$2:$A$25,0)),0,1)</f>
        <v>0</v>
      </c>
      <c r="T195" s="42" t="n">
        <f aca="false">IF(COUNTIF(Sales_Transactions!$A$2:$A$865,A195)&gt;1,1,0)</f>
        <v>0</v>
      </c>
      <c r="U195" s="42" t="n">
        <f aca="false">IF(OR(ABS(Sales_Transactions!F195*Sales_Transactions!G195-Sales_Transactions!I195)&gt;0.01,ABS(Sales_Transactions!F195*Sales_Transactions!H195-Sales_Transactions!J195)&gt;0.01,ABS(Sales_Transactions!I195-Sales_Transactions!J195-Sales_Transactions!K195)&gt;0.01),1,0)</f>
        <v>0</v>
      </c>
      <c r="V195" s="42" t="n">
        <f aca="false">IF(C195&lt;&gt;L195,1,0)</f>
        <v>0</v>
      </c>
      <c r="W195" s="42" t="n">
        <f aca="false">IF(SUM(Q195:V195)&gt;0,1,0)</f>
        <v>0</v>
      </c>
    </row>
    <row r="196" customFormat="false" ht="15" hidden="false" customHeight="false" outlineLevel="0" collapsed="false">
      <c r="A196" s="42" t="str">
        <f aca="false">Sales_Transactions!A196</f>
        <v>INV-06-015</v>
      </c>
      <c r="B196" s="42" t="str">
        <f aca="false">Sales_Transactions!B196</f>
        <v>2025-06</v>
      </c>
      <c r="C196" s="42" t="str">
        <f aca="false">Sales_Transactions!C196</f>
        <v>Actual</v>
      </c>
      <c r="D196" s="42" t="str">
        <f aca="false">Sales_Transactions!D196</f>
        <v>C018</v>
      </c>
      <c r="E196" s="42" t="str">
        <f aca="false">Sales_Transactions!E196</f>
        <v>P004</v>
      </c>
      <c r="F196" s="42" t="str">
        <f aca="false">IFERROR(INDEX(Customer_Master!$C$2:$C$49,MATCH(D196,Customer_Master!$A$2:$A$49,0)),"UNMATCHED")</f>
        <v>North</v>
      </c>
      <c r="G196" s="42" t="str">
        <f aca="false">IFERROR(INDEX(Customer_Master!$D$2:$D$49,MATCH(D196,Customer_Master!$A$2:$A$49,0)),"UNMATCHED")</f>
        <v>Retail</v>
      </c>
      <c r="H196" s="42" t="str">
        <f aca="false">IFERROR(INDEX(Product_Master!$C$2:$C$9,MATCH(E196,Product_Master!$A$2:$A$9,0)),"UNMATCHED")</f>
        <v>Personal Care</v>
      </c>
      <c r="I196" s="42" t="str">
        <f aca="false">IFERROR(INDEX(Product_Master!$B$2:$B$9,MATCH(E196,Product_Master!$A$2:$A$9,0)),"UNMATCHED")</f>
        <v>Soap 4-pack</v>
      </c>
      <c r="J196" s="42" t="n">
        <f aca="false">IFERROR(INDEX(Calendar!$B$2:$B$25,MATCH(B196,Calendar!$A$2:$A$25,0)),0)</f>
        <v>2025</v>
      </c>
      <c r="K196" s="42" t="n">
        <f aca="false">IFERROR(VALUE(RIGHT(B196,2)),0)</f>
        <v>6</v>
      </c>
      <c r="L196" s="42" t="str">
        <f aca="false">IFERROR(INDEX(Calendar!$E$2:$E$25,MATCH(B196,Calendar!$A$2:$A$25,0)),"UNMATCHED")</f>
        <v>Actual</v>
      </c>
      <c r="M196" s="42" t="n">
        <f aca="false">Sales_Transactions!F196</f>
        <v>94</v>
      </c>
      <c r="N196" s="52" t="n">
        <f aca="false">Sales_Transactions!I196</f>
        <v>16242.26</v>
      </c>
      <c r="O196" s="52" t="n">
        <f aca="false">Sales_Transactions!J196</f>
        <v>8719.44</v>
      </c>
      <c r="P196" s="52" t="n">
        <f aca="false">Sales_Transactions!K196</f>
        <v>7522.82</v>
      </c>
      <c r="Q196" s="42" t="n">
        <f aca="false">IF(ISNUMBER(MATCH(E196,Product_Master!$A$2:$A$9,0)),0,1)</f>
        <v>0</v>
      </c>
      <c r="R196" s="42" t="n">
        <f aca="false">IF(ISNUMBER(MATCH(D196,Customer_Master!$A$2:$A$49,0)),0,1)</f>
        <v>0</v>
      </c>
      <c r="S196" s="42" t="n">
        <f aca="false">IF(ISNUMBER(MATCH(B196,Calendar!$A$2:$A$25,0)),0,1)</f>
        <v>0</v>
      </c>
      <c r="T196" s="42" t="n">
        <f aca="false">IF(COUNTIF(Sales_Transactions!$A$2:$A$865,A196)&gt;1,1,0)</f>
        <v>0</v>
      </c>
      <c r="U196" s="42" t="n">
        <f aca="false">IF(OR(ABS(Sales_Transactions!F196*Sales_Transactions!G196-Sales_Transactions!I196)&gt;0.01,ABS(Sales_Transactions!F196*Sales_Transactions!H196-Sales_Transactions!J196)&gt;0.01,ABS(Sales_Transactions!I196-Sales_Transactions!J196-Sales_Transactions!K196)&gt;0.01),1,0)</f>
        <v>0</v>
      </c>
      <c r="V196" s="42" t="n">
        <f aca="false">IF(C196&lt;&gt;L196,1,0)</f>
        <v>0</v>
      </c>
      <c r="W196" s="42" t="n">
        <f aca="false">IF(SUM(Q196:V196)&gt;0,1,0)</f>
        <v>0</v>
      </c>
    </row>
    <row r="197" customFormat="false" ht="15" hidden="false" customHeight="false" outlineLevel="0" collapsed="false">
      <c r="A197" s="42" t="str">
        <f aca="false">Sales_Transactions!A197</f>
        <v>INV-06-016</v>
      </c>
      <c r="B197" s="42" t="str">
        <f aca="false">Sales_Transactions!B197</f>
        <v>2025-06</v>
      </c>
      <c r="C197" s="42" t="str">
        <f aca="false">Sales_Transactions!C197</f>
        <v>Actual</v>
      </c>
      <c r="D197" s="42" t="str">
        <f aca="false">Sales_Transactions!D197</f>
        <v>C025</v>
      </c>
      <c r="E197" s="42" t="str">
        <f aca="false">Sales_Transactions!E197</f>
        <v>P001</v>
      </c>
      <c r="F197" s="42" t="str">
        <f aca="false">IFERROR(INDEX(Customer_Master!$C$2:$C$49,MATCH(D197,Customer_Master!$A$2:$A$49,0)),"UNMATCHED")</f>
        <v>South</v>
      </c>
      <c r="G197" s="42" t="str">
        <f aca="false">IFERROR(INDEX(Customer_Master!$D$2:$D$49,MATCH(D197,Customer_Master!$A$2:$A$49,0)),"UNMATCHED")</f>
        <v>Distributor</v>
      </c>
      <c r="H197" s="42" t="str">
        <f aca="false">IFERROR(INDEX(Product_Master!$C$2:$C$9,MATCH(E197,Product_Master!$A$2:$A$9,0)),"UNMATCHED")</f>
        <v>Home Care</v>
      </c>
      <c r="I197" s="42" t="str">
        <f aca="false">IFERROR(INDEX(Product_Master!$B$2:$B$9,MATCH(E197,Product_Master!$A$2:$A$9,0)),"UNMATCHED")</f>
        <v>Detergent 1kg</v>
      </c>
      <c r="J197" s="42" t="n">
        <f aca="false">IFERROR(INDEX(Calendar!$B$2:$B$25,MATCH(B197,Calendar!$A$2:$A$25,0)),0)</f>
        <v>2025</v>
      </c>
      <c r="K197" s="42" t="n">
        <f aca="false">IFERROR(VALUE(RIGHT(B197,2)),0)</f>
        <v>6</v>
      </c>
      <c r="L197" s="42" t="str">
        <f aca="false">IFERROR(INDEX(Calendar!$E$2:$E$25,MATCH(B197,Calendar!$A$2:$A$25,0)),"UNMATCHED")</f>
        <v>Actual</v>
      </c>
      <c r="M197" s="42" t="n">
        <f aca="false">Sales_Transactions!F197</f>
        <v>264</v>
      </c>
      <c r="N197" s="52" t="n">
        <f aca="false">Sales_Transactions!I197</f>
        <v>50957.28</v>
      </c>
      <c r="O197" s="52" t="n">
        <f aca="false">Sales_Transactions!J197</f>
        <v>33741.84</v>
      </c>
      <c r="P197" s="52" t="n">
        <f aca="false">Sales_Transactions!K197</f>
        <v>17215.44</v>
      </c>
      <c r="Q197" s="42" t="n">
        <f aca="false">IF(ISNUMBER(MATCH(E197,Product_Master!$A$2:$A$9,0)),0,1)</f>
        <v>0</v>
      </c>
      <c r="R197" s="42" t="n">
        <f aca="false">IF(ISNUMBER(MATCH(D197,Customer_Master!$A$2:$A$49,0)),0,1)</f>
        <v>0</v>
      </c>
      <c r="S197" s="42" t="n">
        <f aca="false">IF(ISNUMBER(MATCH(B197,Calendar!$A$2:$A$25,0)),0,1)</f>
        <v>0</v>
      </c>
      <c r="T197" s="42" t="n">
        <f aca="false">IF(COUNTIF(Sales_Transactions!$A$2:$A$865,A197)&gt;1,1,0)</f>
        <v>0</v>
      </c>
      <c r="U197" s="42" t="n">
        <f aca="false">IF(OR(ABS(Sales_Transactions!F197*Sales_Transactions!G197-Sales_Transactions!I197)&gt;0.01,ABS(Sales_Transactions!F197*Sales_Transactions!H197-Sales_Transactions!J197)&gt;0.01,ABS(Sales_Transactions!I197-Sales_Transactions!J197-Sales_Transactions!K197)&gt;0.01),1,0)</f>
        <v>0</v>
      </c>
      <c r="V197" s="42" t="n">
        <f aca="false">IF(C197&lt;&gt;L197,1,0)</f>
        <v>0</v>
      </c>
      <c r="W197" s="42" t="n">
        <f aca="false">IF(SUM(Q197:V197)&gt;0,1,0)</f>
        <v>0</v>
      </c>
    </row>
    <row r="198" customFormat="false" ht="15" hidden="false" customHeight="false" outlineLevel="0" collapsed="false">
      <c r="A198" s="42" t="str">
        <f aca="false">Sales_Transactions!A198</f>
        <v>INV-06-017</v>
      </c>
      <c r="B198" s="42" t="str">
        <f aca="false">Sales_Transactions!B198</f>
        <v>2025-06</v>
      </c>
      <c r="C198" s="42" t="str">
        <f aca="false">Sales_Transactions!C198</f>
        <v>Actual</v>
      </c>
      <c r="D198" s="42" t="str">
        <f aca="false">Sales_Transactions!D198</f>
        <v>C032</v>
      </c>
      <c r="E198" s="42" t="str">
        <f aca="false">Sales_Transactions!E198</f>
        <v>P006</v>
      </c>
      <c r="F198" s="42" t="str">
        <f aca="false">IFERROR(INDEX(Customer_Master!$C$2:$C$49,MATCH(D198,Customer_Master!$A$2:$A$49,0)),"UNMATCHED")</f>
        <v>East</v>
      </c>
      <c r="G198" s="42" t="str">
        <f aca="false">IFERROR(INDEX(Customer_Master!$D$2:$D$49,MATCH(D198,Customer_Master!$A$2:$A$49,0)),"UNMATCHED")</f>
        <v>Modern Trade</v>
      </c>
      <c r="H198" s="42" t="str">
        <f aca="false">IFERROR(INDEX(Product_Master!$C$2:$C$9,MATCH(E198,Product_Master!$A$2:$A$9,0)),"UNMATCHED")</f>
        <v>Foods</v>
      </c>
      <c r="I198" s="42" t="str">
        <f aca="false">IFERROR(INDEX(Product_Master!$B$2:$B$9,MATCH(E198,Product_Master!$A$2:$A$9,0)),"UNMATCHED")</f>
        <v>Breakfast Cereal</v>
      </c>
      <c r="J198" s="42" t="n">
        <f aca="false">IFERROR(INDEX(Calendar!$B$2:$B$25,MATCH(B198,Calendar!$A$2:$A$25,0)),0)</f>
        <v>2025</v>
      </c>
      <c r="K198" s="42" t="n">
        <f aca="false">IFERROR(VALUE(RIGHT(B198,2)),0)</f>
        <v>6</v>
      </c>
      <c r="L198" s="42" t="str">
        <f aca="false">IFERROR(INDEX(Calendar!$E$2:$E$25,MATCH(B198,Calendar!$A$2:$A$25,0)),"UNMATCHED")</f>
        <v>Actual</v>
      </c>
      <c r="M198" s="42" t="n">
        <f aca="false">Sales_Transactions!F198</f>
        <v>418</v>
      </c>
      <c r="N198" s="52" t="n">
        <f aca="false">Sales_Transactions!I198</f>
        <v>95421.04</v>
      </c>
      <c r="O198" s="52" t="n">
        <f aca="false">Sales_Transactions!J198</f>
        <v>62842.12</v>
      </c>
      <c r="P198" s="52" t="n">
        <f aca="false">Sales_Transactions!K198</f>
        <v>32578.92</v>
      </c>
      <c r="Q198" s="42" t="n">
        <f aca="false">IF(ISNUMBER(MATCH(E198,Product_Master!$A$2:$A$9,0)),0,1)</f>
        <v>0</v>
      </c>
      <c r="R198" s="42" t="n">
        <f aca="false">IF(ISNUMBER(MATCH(D198,Customer_Master!$A$2:$A$49,0)),0,1)</f>
        <v>0</v>
      </c>
      <c r="S198" s="42" t="n">
        <f aca="false">IF(ISNUMBER(MATCH(B198,Calendar!$A$2:$A$25,0)),0,1)</f>
        <v>0</v>
      </c>
      <c r="T198" s="42" t="n">
        <f aca="false">IF(COUNTIF(Sales_Transactions!$A$2:$A$865,A198)&gt;1,1,0)</f>
        <v>0</v>
      </c>
      <c r="U198" s="42" t="n">
        <f aca="false">IF(OR(ABS(Sales_Transactions!F198*Sales_Transactions!G198-Sales_Transactions!I198)&gt;0.01,ABS(Sales_Transactions!F198*Sales_Transactions!H198-Sales_Transactions!J198)&gt;0.01,ABS(Sales_Transactions!I198-Sales_Transactions!J198-Sales_Transactions!K198)&gt;0.01),1,0)</f>
        <v>0</v>
      </c>
      <c r="V198" s="42" t="n">
        <f aca="false">IF(C198&lt;&gt;L198,1,0)</f>
        <v>0</v>
      </c>
      <c r="W198" s="42" t="n">
        <f aca="false">IF(SUM(Q198:V198)&gt;0,1,0)</f>
        <v>0</v>
      </c>
    </row>
    <row r="199" customFormat="false" ht="15" hidden="false" customHeight="false" outlineLevel="0" collapsed="false">
      <c r="A199" s="42" t="str">
        <f aca="false">Sales_Transactions!A199</f>
        <v>INV-06-018</v>
      </c>
      <c r="B199" s="42" t="str">
        <f aca="false">Sales_Transactions!B199</f>
        <v>2025-06</v>
      </c>
      <c r="C199" s="42" t="str">
        <f aca="false">Sales_Transactions!C199</f>
        <v>Actual</v>
      </c>
      <c r="D199" s="42" t="str">
        <f aca="false">Sales_Transactions!D199</f>
        <v>C039</v>
      </c>
      <c r="E199" s="42" t="str">
        <f aca="false">Sales_Transactions!E199</f>
        <v>P003</v>
      </c>
      <c r="F199" s="42" t="str">
        <f aca="false">IFERROR(INDEX(Customer_Master!$C$2:$C$49,MATCH(D199,Customer_Master!$A$2:$A$49,0)),"UNMATCHED")</f>
        <v>West</v>
      </c>
      <c r="G199" s="42" t="str">
        <f aca="false">IFERROR(INDEX(Customer_Master!$D$2:$D$49,MATCH(D199,Customer_Master!$A$2:$A$49,0)),"UNMATCHED")</f>
        <v>Retail</v>
      </c>
      <c r="H199" s="42" t="str">
        <f aca="false">IFERROR(INDEX(Product_Master!$C$2:$C$9,MATCH(E199,Product_Master!$A$2:$A$9,0)),"UNMATCHED")</f>
        <v>Personal Care</v>
      </c>
      <c r="I199" s="42" t="str">
        <f aca="false">IFERROR(INDEX(Product_Master!$B$2:$B$9,MATCH(E199,Product_Master!$A$2:$A$9,0)),"UNMATCHED")</f>
        <v>Shampoo 400ml</v>
      </c>
      <c r="J199" s="42" t="n">
        <f aca="false">IFERROR(INDEX(Calendar!$B$2:$B$25,MATCH(B199,Calendar!$A$2:$A$25,0)),0)</f>
        <v>2025</v>
      </c>
      <c r="K199" s="42" t="n">
        <f aca="false">IFERROR(VALUE(RIGHT(B199,2)),0)</f>
        <v>6</v>
      </c>
      <c r="L199" s="42" t="str">
        <f aca="false">IFERROR(INDEX(Calendar!$E$2:$E$25,MATCH(B199,Calendar!$A$2:$A$25,0)),"UNMATCHED")</f>
        <v>Actual</v>
      </c>
      <c r="M199" s="42" t="n">
        <f aca="false">Sales_Transactions!F199</f>
        <v>211</v>
      </c>
      <c r="N199" s="52" t="n">
        <f aca="false">Sales_Transactions!I199</f>
        <v>54113.06</v>
      </c>
      <c r="O199" s="52" t="n">
        <f aca="false">Sales_Transactions!J199</f>
        <v>34726.38</v>
      </c>
      <c r="P199" s="52" t="n">
        <f aca="false">Sales_Transactions!K199</f>
        <v>19386.68</v>
      </c>
      <c r="Q199" s="42" t="n">
        <f aca="false">IF(ISNUMBER(MATCH(E199,Product_Master!$A$2:$A$9,0)),0,1)</f>
        <v>0</v>
      </c>
      <c r="R199" s="42" t="n">
        <f aca="false">IF(ISNUMBER(MATCH(D199,Customer_Master!$A$2:$A$49,0)),0,1)</f>
        <v>0</v>
      </c>
      <c r="S199" s="42" t="n">
        <f aca="false">IF(ISNUMBER(MATCH(B199,Calendar!$A$2:$A$25,0)),0,1)</f>
        <v>0</v>
      </c>
      <c r="T199" s="42" t="n">
        <f aca="false">IF(COUNTIF(Sales_Transactions!$A$2:$A$865,A199)&gt;1,1,0)</f>
        <v>0</v>
      </c>
      <c r="U199" s="42" t="n">
        <f aca="false">IF(OR(ABS(Sales_Transactions!F199*Sales_Transactions!G199-Sales_Transactions!I199)&gt;0.01,ABS(Sales_Transactions!F199*Sales_Transactions!H199-Sales_Transactions!J199)&gt;0.01,ABS(Sales_Transactions!I199-Sales_Transactions!J199-Sales_Transactions!K199)&gt;0.01),1,0)</f>
        <v>0</v>
      </c>
      <c r="V199" s="42" t="n">
        <f aca="false">IF(C199&lt;&gt;L199,1,0)</f>
        <v>0</v>
      </c>
      <c r="W199" s="42" t="n">
        <f aca="false">IF(SUM(Q199:V199)&gt;0,1,0)</f>
        <v>0</v>
      </c>
    </row>
    <row r="200" customFormat="false" ht="15" hidden="false" customHeight="false" outlineLevel="0" collapsed="false">
      <c r="A200" s="42" t="str">
        <f aca="false">Sales_Transactions!A200</f>
        <v>INV-06-019</v>
      </c>
      <c r="B200" s="42" t="str">
        <f aca="false">Sales_Transactions!B200</f>
        <v>2025-06</v>
      </c>
      <c r="C200" s="42" t="str">
        <f aca="false">Sales_Transactions!C200</f>
        <v>Actual</v>
      </c>
      <c r="D200" s="42" t="str">
        <f aca="false">Sales_Transactions!D200</f>
        <v>C046</v>
      </c>
      <c r="E200" s="42" t="str">
        <f aca="false">Sales_Transactions!E200</f>
        <v>P008</v>
      </c>
      <c r="F200" s="42" t="str">
        <f aca="false">IFERROR(INDEX(Customer_Master!$C$2:$C$49,MATCH(D200,Customer_Master!$A$2:$A$49,0)),"UNMATCHED")</f>
        <v>North</v>
      </c>
      <c r="G200" s="42" t="str">
        <f aca="false">IFERROR(INDEX(Customer_Master!$D$2:$D$49,MATCH(D200,Customer_Master!$A$2:$A$49,0)),"UNMATCHED")</f>
        <v>Distributor</v>
      </c>
      <c r="H200" s="42" t="str">
        <f aca="false">IFERROR(INDEX(Product_Master!$C$2:$C$9,MATCH(E200,Product_Master!$A$2:$A$9,0)),"UNMATCHED")</f>
        <v>Personal Care</v>
      </c>
      <c r="I200" s="42" t="str">
        <f aca="false">IFERROR(INDEX(Product_Master!$B$2:$B$9,MATCH(E200,Product_Master!$A$2:$A$9,0)),"UNMATCHED")</f>
        <v>Body Lotion</v>
      </c>
      <c r="J200" s="42" t="n">
        <f aca="false">IFERROR(INDEX(Calendar!$B$2:$B$25,MATCH(B200,Calendar!$A$2:$A$25,0)),0)</f>
        <v>2025</v>
      </c>
      <c r="K200" s="42" t="n">
        <f aca="false">IFERROR(VALUE(RIGHT(B200,2)),0)</f>
        <v>6</v>
      </c>
      <c r="L200" s="42" t="str">
        <f aca="false">IFERROR(INDEX(Calendar!$E$2:$E$25,MATCH(B200,Calendar!$A$2:$A$25,0)),"UNMATCHED")</f>
        <v>Actual</v>
      </c>
      <c r="M200" s="42" t="n">
        <f aca="false">Sales_Transactions!F200</f>
        <v>163</v>
      </c>
      <c r="N200" s="52" t="n">
        <f aca="false">Sales_Transactions!I200</f>
        <v>48790.79</v>
      </c>
      <c r="O200" s="52" t="n">
        <f aca="false">Sales_Transactions!J200</f>
        <v>33480.2</v>
      </c>
      <c r="P200" s="52" t="n">
        <f aca="false">Sales_Transactions!K200</f>
        <v>15310.59</v>
      </c>
      <c r="Q200" s="42" t="n">
        <f aca="false">IF(ISNUMBER(MATCH(E200,Product_Master!$A$2:$A$9,0)),0,1)</f>
        <v>0</v>
      </c>
      <c r="R200" s="42" t="n">
        <f aca="false">IF(ISNUMBER(MATCH(D200,Customer_Master!$A$2:$A$49,0)),0,1)</f>
        <v>0</v>
      </c>
      <c r="S200" s="42" t="n">
        <f aca="false">IF(ISNUMBER(MATCH(B200,Calendar!$A$2:$A$25,0)),0,1)</f>
        <v>0</v>
      </c>
      <c r="T200" s="42" t="n">
        <f aca="false">IF(COUNTIF(Sales_Transactions!$A$2:$A$865,A200)&gt;1,1,0)</f>
        <v>0</v>
      </c>
      <c r="U200" s="42" t="n">
        <f aca="false">IF(OR(ABS(Sales_Transactions!F200*Sales_Transactions!G200-Sales_Transactions!I200)&gt;0.01,ABS(Sales_Transactions!F200*Sales_Transactions!H200-Sales_Transactions!J200)&gt;0.01,ABS(Sales_Transactions!I200-Sales_Transactions!J200-Sales_Transactions!K200)&gt;0.01),1,0)</f>
        <v>0</v>
      </c>
      <c r="V200" s="42" t="n">
        <f aca="false">IF(C200&lt;&gt;L200,1,0)</f>
        <v>0</v>
      </c>
      <c r="W200" s="42" t="n">
        <f aca="false">IF(SUM(Q200:V200)&gt;0,1,0)</f>
        <v>0</v>
      </c>
    </row>
    <row r="201" customFormat="false" ht="15" hidden="false" customHeight="false" outlineLevel="0" collapsed="false">
      <c r="A201" s="42" t="str">
        <f aca="false">Sales_Transactions!A201</f>
        <v>INV-06-020</v>
      </c>
      <c r="B201" s="42" t="str">
        <f aca="false">Sales_Transactions!B201</f>
        <v>2025-06</v>
      </c>
      <c r="C201" s="42" t="str">
        <f aca="false">Sales_Transactions!C201</f>
        <v>Actual</v>
      </c>
      <c r="D201" s="42" t="str">
        <f aca="false">Sales_Transactions!D201</f>
        <v>C005</v>
      </c>
      <c r="E201" s="42" t="str">
        <f aca="false">Sales_Transactions!E201</f>
        <v>P005</v>
      </c>
      <c r="F201" s="42" t="str">
        <f aca="false">IFERROR(INDEX(Customer_Master!$C$2:$C$49,MATCH(D201,Customer_Master!$A$2:$A$49,0)),"UNMATCHED")</f>
        <v>South</v>
      </c>
      <c r="G201" s="42" t="str">
        <f aca="false">IFERROR(INDEX(Customer_Master!$D$2:$D$49,MATCH(D201,Customer_Master!$A$2:$A$49,0)),"UNMATCHED")</f>
        <v>Modern Trade</v>
      </c>
      <c r="H201" s="42" t="str">
        <f aca="false">IFERROR(INDEX(Product_Master!$C$2:$C$9,MATCH(E201,Product_Master!$A$2:$A$9,0)),"UNMATCHED")</f>
        <v>Foods</v>
      </c>
      <c r="I201" s="42" t="str">
        <f aca="false">IFERROR(INDEX(Product_Master!$B$2:$B$9,MATCH(E201,Product_Master!$A$2:$A$9,0)),"UNMATCHED")</f>
        <v>Biscuits 500g</v>
      </c>
      <c r="J201" s="42" t="n">
        <f aca="false">IFERROR(INDEX(Calendar!$B$2:$B$25,MATCH(B201,Calendar!$A$2:$A$25,0)),0)</f>
        <v>2025</v>
      </c>
      <c r="K201" s="42" t="n">
        <f aca="false">IFERROR(VALUE(RIGHT(B201,2)),0)</f>
        <v>6</v>
      </c>
      <c r="L201" s="42" t="str">
        <f aca="false">IFERROR(INDEX(Calendar!$E$2:$E$25,MATCH(B201,Calendar!$A$2:$A$25,0)),"UNMATCHED")</f>
        <v>Actual</v>
      </c>
      <c r="M201" s="42" t="n">
        <f aca="false">Sales_Transactions!F201</f>
        <v>143</v>
      </c>
      <c r="N201" s="52" t="n">
        <f aca="false">Sales_Transactions!I201</f>
        <v>15152.28</v>
      </c>
      <c r="O201" s="52" t="n">
        <f aca="false">Sales_Transactions!J201</f>
        <v>9448.01</v>
      </c>
      <c r="P201" s="52" t="n">
        <f aca="false">Sales_Transactions!K201</f>
        <v>5704.27</v>
      </c>
      <c r="Q201" s="42" t="n">
        <f aca="false">IF(ISNUMBER(MATCH(E201,Product_Master!$A$2:$A$9,0)),0,1)</f>
        <v>0</v>
      </c>
      <c r="R201" s="42" t="n">
        <f aca="false">IF(ISNUMBER(MATCH(D201,Customer_Master!$A$2:$A$49,0)),0,1)</f>
        <v>0</v>
      </c>
      <c r="S201" s="42" t="n">
        <f aca="false">IF(ISNUMBER(MATCH(B201,Calendar!$A$2:$A$25,0)),0,1)</f>
        <v>0</v>
      </c>
      <c r="T201" s="42" t="n">
        <f aca="false">IF(COUNTIF(Sales_Transactions!$A$2:$A$865,A201)&gt;1,1,0)</f>
        <v>0</v>
      </c>
      <c r="U201" s="42" t="n">
        <f aca="false">IF(OR(ABS(Sales_Transactions!F201*Sales_Transactions!G201-Sales_Transactions!I201)&gt;0.01,ABS(Sales_Transactions!F201*Sales_Transactions!H201-Sales_Transactions!J201)&gt;0.01,ABS(Sales_Transactions!I201-Sales_Transactions!J201-Sales_Transactions!K201)&gt;0.01),1,0)</f>
        <v>0</v>
      </c>
      <c r="V201" s="42" t="n">
        <f aca="false">IF(C201&lt;&gt;L201,1,0)</f>
        <v>0</v>
      </c>
      <c r="W201" s="42" t="n">
        <f aca="false">IF(SUM(Q201:V201)&gt;0,1,0)</f>
        <v>0</v>
      </c>
    </row>
    <row r="202" customFormat="false" ht="15" hidden="false" customHeight="false" outlineLevel="0" collapsed="false">
      <c r="A202" s="42" t="str">
        <f aca="false">Sales_Transactions!A202</f>
        <v>INV-06-021</v>
      </c>
      <c r="B202" s="42" t="str">
        <f aca="false">Sales_Transactions!B202</f>
        <v>2025-06</v>
      </c>
      <c r="C202" s="42" t="str">
        <f aca="false">Sales_Transactions!C202</f>
        <v>Actual</v>
      </c>
      <c r="D202" s="42" t="str">
        <f aca="false">Sales_Transactions!D202</f>
        <v>C012</v>
      </c>
      <c r="E202" s="42" t="str">
        <f aca="false">Sales_Transactions!E202</f>
        <v>P002</v>
      </c>
      <c r="F202" s="42" t="str">
        <f aca="false">IFERROR(INDEX(Customer_Master!$C$2:$C$49,MATCH(D202,Customer_Master!$A$2:$A$49,0)),"UNMATCHED")</f>
        <v>East</v>
      </c>
      <c r="G202" s="42" t="str">
        <f aca="false">IFERROR(INDEX(Customer_Master!$D$2:$D$49,MATCH(D202,Customer_Master!$A$2:$A$49,0)),"UNMATCHED")</f>
        <v>Retail</v>
      </c>
      <c r="H202" s="42" t="str">
        <f aca="false">IFERROR(INDEX(Product_Master!$C$2:$C$9,MATCH(E202,Product_Master!$A$2:$A$9,0)),"UNMATCHED")</f>
        <v>Home Care</v>
      </c>
      <c r="I202" s="42" t="str">
        <f aca="false">IFERROR(INDEX(Product_Master!$B$2:$B$9,MATCH(E202,Product_Master!$A$2:$A$9,0)),"UNMATCHED")</f>
        <v>Dishwash Gel</v>
      </c>
      <c r="J202" s="42" t="n">
        <f aca="false">IFERROR(INDEX(Calendar!$B$2:$B$25,MATCH(B202,Calendar!$A$2:$A$25,0)),0)</f>
        <v>2025</v>
      </c>
      <c r="K202" s="42" t="n">
        <f aca="false">IFERROR(VALUE(RIGHT(B202,2)),0)</f>
        <v>6</v>
      </c>
      <c r="L202" s="42" t="str">
        <f aca="false">IFERROR(INDEX(Calendar!$E$2:$E$25,MATCH(B202,Calendar!$A$2:$A$25,0)),"UNMATCHED")</f>
        <v>Actual</v>
      </c>
      <c r="M202" s="42" t="n">
        <f aca="false">Sales_Transactions!F202</f>
        <v>443</v>
      </c>
      <c r="N202" s="52" t="n">
        <f aca="false">Sales_Transactions!I202</f>
        <v>59308.84</v>
      </c>
      <c r="O202" s="52" t="n">
        <f aca="false">Sales_Transactions!J202</f>
        <v>36481.05</v>
      </c>
      <c r="P202" s="52" t="n">
        <f aca="false">Sales_Transactions!K202</f>
        <v>22827.79</v>
      </c>
      <c r="Q202" s="42" t="n">
        <f aca="false">IF(ISNUMBER(MATCH(E202,Product_Master!$A$2:$A$9,0)),0,1)</f>
        <v>0</v>
      </c>
      <c r="R202" s="42" t="n">
        <f aca="false">IF(ISNUMBER(MATCH(D202,Customer_Master!$A$2:$A$49,0)),0,1)</f>
        <v>0</v>
      </c>
      <c r="S202" s="42" t="n">
        <f aca="false">IF(ISNUMBER(MATCH(B202,Calendar!$A$2:$A$25,0)),0,1)</f>
        <v>0</v>
      </c>
      <c r="T202" s="42" t="n">
        <f aca="false">IF(COUNTIF(Sales_Transactions!$A$2:$A$865,A202)&gt;1,1,0)</f>
        <v>0</v>
      </c>
      <c r="U202" s="42" t="n">
        <f aca="false">IF(OR(ABS(Sales_Transactions!F202*Sales_Transactions!G202-Sales_Transactions!I202)&gt;0.01,ABS(Sales_Transactions!F202*Sales_Transactions!H202-Sales_Transactions!J202)&gt;0.01,ABS(Sales_Transactions!I202-Sales_Transactions!J202-Sales_Transactions!K202)&gt;0.01),1,0)</f>
        <v>0</v>
      </c>
      <c r="V202" s="42" t="n">
        <f aca="false">IF(C202&lt;&gt;L202,1,0)</f>
        <v>0</v>
      </c>
      <c r="W202" s="42" t="n">
        <f aca="false">IF(SUM(Q202:V202)&gt;0,1,0)</f>
        <v>0</v>
      </c>
    </row>
    <row r="203" customFormat="false" ht="15" hidden="false" customHeight="false" outlineLevel="0" collapsed="false">
      <c r="A203" s="42" t="str">
        <f aca="false">Sales_Transactions!A203</f>
        <v>INV-06-022</v>
      </c>
      <c r="B203" s="42" t="str">
        <f aca="false">Sales_Transactions!B203</f>
        <v>2025-06</v>
      </c>
      <c r="C203" s="42" t="str">
        <f aca="false">Sales_Transactions!C203</f>
        <v>Actual</v>
      </c>
      <c r="D203" s="42" t="str">
        <f aca="false">Sales_Transactions!D203</f>
        <v>C019</v>
      </c>
      <c r="E203" s="42" t="str">
        <f aca="false">Sales_Transactions!E203</f>
        <v>P007</v>
      </c>
      <c r="F203" s="42" t="str">
        <f aca="false">IFERROR(INDEX(Customer_Master!$C$2:$C$49,MATCH(D203,Customer_Master!$A$2:$A$49,0)),"UNMATCHED")</f>
        <v>West</v>
      </c>
      <c r="G203" s="42" t="str">
        <f aca="false">IFERROR(INDEX(Customer_Master!$D$2:$D$49,MATCH(D203,Customer_Master!$A$2:$A$49,0)),"UNMATCHED")</f>
        <v>Distributor</v>
      </c>
      <c r="H203" s="42" t="str">
        <f aca="false">IFERROR(INDEX(Product_Master!$C$2:$C$9,MATCH(E203,Product_Master!$A$2:$A$9,0)),"UNMATCHED")</f>
        <v>Home Care</v>
      </c>
      <c r="I203" s="42" t="str">
        <f aca="false">IFERROR(INDEX(Product_Master!$B$2:$B$9,MATCH(E203,Product_Master!$A$2:$A$9,0)),"UNMATCHED")</f>
        <v>Floor Cleaner</v>
      </c>
      <c r="J203" s="42" t="n">
        <f aca="false">IFERROR(INDEX(Calendar!$B$2:$B$25,MATCH(B203,Calendar!$A$2:$A$25,0)),0)</f>
        <v>2025</v>
      </c>
      <c r="K203" s="42" t="n">
        <f aca="false">IFERROR(VALUE(RIGHT(B203,2)),0)</f>
        <v>6</v>
      </c>
      <c r="L203" s="42" t="str">
        <f aca="false">IFERROR(INDEX(Calendar!$E$2:$E$25,MATCH(B203,Calendar!$A$2:$A$25,0)),"UNMATCHED")</f>
        <v>Actual</v>
      </c>
      <c r="M203" s="42" t="n">
        <f aca="false">Sales_Transactions!F203</f>
        <v>395</v>
      </c>
      <c r="N203" s="52" t="n">
        <f aca="false">Sales_Transactions!I203</f>
        <v>72719.5</v>
      </c>
      <c r="O203" s="52" t="n">
        <f aca="false">Sales_Transactions!J203</f>
        <v>46440.15</v>
      </c>
      <c r="P203" s="52" t="n">
        <f aca="false">Sales_Transactions!K203</f>
        <v>26279.35</v>
      </c>
      <c r="Q203" s="42" t="n">
        <f aca="false">IF(ISNUMBER(MATCH(E203,Product_Master!$A$2:$A$9,0)),0,1)</f>
        <v>0</v>
      </c>
      <c r="R203" s="42" t="n">
        <f aca="false">IF(ISNUMBER(MATCH(D203,Customer_Master!$A$2:$A$49,0)),0,1)</f>
        <v>0</v>
      </c>
      <c r="S203" s="42" t="n">
        <f aca="false">IF(ISNUMBER(MATCH(B203,Calendar!$A$2:$A$25,0)),0,1)</f>
        <v>0</v>
      </c>
      <c r="T203" s="42" t="n">
        <f aca="false">IF(COUNTIF(Sales_Transactions!$A$2:$A$865,A203)&gt;1,1,0)</f>
        <v>0</v>
      </c>
      <c r="U203" s="42" t="n">
        <f aca="false">IF(OR(ABS(Sales_Transactions!F203*Sales_Transactions!G203-Sales_Transactions!I203)&gt;0.01,ABS(Sales_Transactions!F203*Sales_Transactions!H203-Sales_Transactions!J203)&gt;0.01,ABS(Sales_Transactions!I203-Sales_Transactions!J203-Sales_Transactions!K203)&gt;0.01),1,0)</f>
        <v>0</v>
      </c>
      <c r="V203" s="42" t="n">
        <f aca="false">IF(C203&lt;&gt;L203,1,0)</f>
        <v>0</v>
      </c>
      <c r="W203" s="42" t="n">
        <f aca="false">IF(SUM(Q203:V203)&gt;0,1,0)</f>
        <v>0</v>
      </c>
    </row>
    <row r="204" customFormat="false" ht="15" hidden="false" customHeight="false" outlineLevel="0" collapsed="false">
      <c r="A204" s="42" t="str">
        <f aca="false">Sales_Transactions!A204</f>
        <v>INV-06-023</v>
      </c>
      <c r="B204" s="42" t="str">
        <f aca="false">Sales_Transactions!B204</f>
        <v>2025-06</v>
      </c>
      <c r="C204" s="42" t="str">
        <f aca="false">Sales_Transactions!C204</f>
        <v>Actual</v>
      </c>
      <c r="D204" s="42" t="str">
        <f aca="false">Sales_Transactions!D204</f>
        <v>C026</v>
      </c>
      <c r="E204" s="42" t="str">
        <f aca="false">Sales_Transactions!E204</f>
        <v>P004</v>
      </c>
      <c r="F204" s="42" t="str">
        <f aca="false">IFERROR(INDEX(Customer_Master!$C$2:$C$49,MATCH(D204,Customer_Master!$A$2:$A$49,0)),"UNMATCHED")</f>
        <v>North</v>
      </c>
      <c r="G204" s="42" t="str">
        <f aca="false">IFERROR(INDEX(Customer_Master!$D$2:$D$49,MATCH(D204,Customer_Master!$A$2:$A$49,0)),"UNMATCHED")</f>
        <v>Modern Trade</v>
      </c>
      <c r="H204" s="42" t="str">
        <f aca="false">IFERROR(INDEX(Product_Master!$C$2:$C$9,MATCH(E204,Product_Master!$A$2:$A$9,0)),"UNMATCHED")</f>
        <v>Personal Care</v>
      </c>
      <c r="I204" s="42" t="str">
        <f aca="false">IFERROR(INDEX(Product_Master!$B$2:$B$9,MATCH(E204,Product_Master!$A$2:$A$9,0)),"UNMATCHED")</f>
        <v>Soap 4-pack</v>
      </c>
      <c r="J204" s="42" t="n">
        <f aca="false">IFERROR(INDEX(Calendar!$B$2:$B$25,MATCH(B204,Calendar!$A$2:$A$25,0)),0)</f>
        <v>2025</v>
      </c>
      <c r="K204" s="42" t="n">
        <f aca="false">IFERROR(VALUE(RIGHT(B204,2)),0)</f>
        <v>6</v>
      </c>
      <c r="L204" s="42" t="str">
        <f aca="false">IFERROR(INDEX(Calendar!$E$2:$E$25,MATCH(B204,Calendar!$A$2:$A$25,0)),"UNMATCHED")</f>
        <v>Actual</v>
      </c>
      <c r="M204" s="42" t="n">
        <f aca="false">Sales_Transactions!F204</f>
        <v>143</v>
      </c>
      <c r="N204" s="52" t="n">
        <f aca="false">Sales_Transactions!I204</f>
        <v>24801.92</v>
      </c>
      <c r="O204" s="52" t="n">
        <f aca="false">Sales_Transactions!J204</f>
        <v>13449.15</v>
      </c>
      <c r="P204" s="52" t="n">
        <f aca="false">Sales_Transactions!K204</f>
        <v>11352.77</v>
      </c>
      <c r="Q204" s="42" t="n">
        <f aca="false">IF(ISNUMBER(MATCH(E204,Product_Master!$A$2:$A$9,0)),0,1)</f>
        <v>0</v>
      </c>
      <c r="R204" s="42" t="n">
        <f aca="false">IF(ISNUMBER(MATCH(D204,Customer_Master!$A$2:$A$49,0)),0,1)</f>
        <v>0</v>
      </c>
      <c r="S204" s="42" t="n">
        <f aca="false">IF(ISNUMBER(MATCH(B204,Calendar!$A$2:$A$25,0)),0,1)</f>
        <v>0</v>
      </c>
      <c r="T204" s="42" t="n">
        <f aca="false">IF(COUNTIF(Sales_Transactions!$A$2:$A$865,A204)&gt;1,1,0)</f>
        <v>0</v>
      </c>
      <c r="U204" s="42" t="n">
        <f aca="false">IF(OR(ABS(Sales_Transactions!F204*Sales_Transactions!G204-Sales_Transactions!I204)&gt;0.01,ABS(Sales_Transactions!F204*Sales_Transactions!H204-Sales_Transactions!J204)&gt;0.01,ABS(Sales_Transactions!I204-Sales_Transactions!J204-Sales_Transactions!K204)&gt;0.01),1,0)</f>
        <v>0</v>
      </c>
      <c r="V204" s="42" t="n">
        <f aca="false">IF(C204&lt;&gt;L204,1,0)</f>
        <v>0</v>
      </c>
      <c r="W204" s="42" t="n">
        <f aca="false">IF(SUM(Q204:V204)&gt;0,1,0)</f>
        <v>0</v>
      </c>
    </row>
    <row r="205" customFormat="false" ht="15" hidden="false" customHeight="false" outlineLevel="0" collapsed="false">
      <c r="A205" s="42" t="str">
        <f aca="false">Sales_Transactions!A205</f>
        <v>INV-06-024</v>
      </c>
      <c r="B205" s="42" t="str">
        <f aca="false">Sales_Transactions!B205</f>
        <v>2025-06</v>
      </c>
      <c r="C205" s="42" t="str">
        <f aca="false">Sales_Transactions!C205</f>
        <v>Actual</v>
      </c>
      <c r="D205" s="42" t="str">
        <f aca="false">Sales_Transactions!D205</f>
        <v>C033</v>
      </c>
      <c r="E205" s="42" t="str">
        <f aca="false">Sales_Transactions!E205</f>
        <v>P001</v>
      </c>
      <c r="F205" s="42" t="str">
        <f aca="false">IFERROR(INDEX(Customer_Master!$C$2:$C$49,MATCH(D205,Customer_Master!$A$2:$A$49,0)),"UNMATCHED")</f>
        <v>South</v>
      </c>
      <c r="G205" s="42" t="str">
        <f aca="false">IFERROR(INDEX(Customer_Master!$D$2:$D$49,MATCH(D205,Customer_Master!$A$2:$A$49,0)),"UNMATCHED")</f>
        <v>Retail</v>
      </c>
      <c r="H205" s="42" t="str">
        <f aca="false">IFERROR(INDEX(Product_Master!$C$2:$C$9,MATCH(E205,Product_Master!$A$2:$A$9,0)),"UNMATCHED")</f>
        <v>Home Care</v>
      </c>
      <c r="I205" s="42" t="str">
        <f aca="false">IFERROR(INDEX(Product_Master!$B$2:$B$9,MATCH(E205,Product_Master!$A$2:$A$9,0)),"UNMATCHED")</f>
        <v>Detergent 1kg</v>
      </c>
      <c r="J205" s="42" t="n">
        <f aca="false">IFERROR(INDEX(Calendar!$B$2:$B$25,MATCH(B205,Calendar!$A$2:$A$25,0)),0)</f>
        <v>2025</v>
      </c>
      <c r="K205" s="42" t="n">
        <f aca="false">IFERROR(VALUE(RIGHT(B205,2)),0)</f>
        <v>6</v>
      </c>
      <c r="L205" s="42" t="str">
        <f aca="false">IFERROR(INDEX(Calendar!$E$2:$E$25,MATCH(B205,Calendar!$A$2:$A$25,0)),"UNMATCHED")</f>
        <v>Actual</v>
      </c>
      <c r="M205" s="42" t="n">
        <f aca="false">Sales_Transactions!F205</f>
        <v>244</v>
      </c>
      <c r="N205" s="52" t="n">
        <f aca="false">Sales_Transactions!I205</f>
        <v>46323.4</v>
      </c>
      <c r="O205" s="52" t="n">
        <f aca="false">Sales_Transactions!J205</f>
        <v>31019.72</v>
      </c>
      <c r="P205" s="52" t="n">
        <f aca="false">Sales_Transactions!K205</f>
        <v>15303.68</v>
      </c>
      <c r="Q205" s="42" t="n">
        <f aca="false">IF(ISNUMBER(MATCH(E205,Product_Master!$A$2:$A$9,0)),0,1)</f>
        <v>0</v>
      </c>
      <c r="R205" s="42" t="n">
        <f aca="false">IF(ISNUMBER(MATCH(D205,Customer_Master!$A$2:$A$49,0)),0,1)</f>
        <v>0</v>
      </c>
      <c r="S205" s="42" t="n">
        <f aca="false">IF(ISNUMBER(MATCH(B205,Calendar!$A$2:$A$25,0)),0,1)</f>
        <v>0</v>
      </c>
      <c r="T205" s="42" t="n">
        <f aca="false">IF(COUNTIF(Sales_Transactions!$A$2:$A$865,A205)&gt;1,1,0)</f>
        <v>0</v>
      </c>
      <c r="U205" s="42" t="n">
        <f aca="false">IF(OR(ABS(Sales_Transactions!F205*Sales_Transactions!G205-Sales_Transactions!I205)&gt;0.01,ABS(Sales_Transactions!F205*Sales_Transactions!H205-Sales_Transactions!J205)&gt;0.01,ABS(Sales_Transactions!I205-Sales_Transactions!J205-Sales_Transactions!K205)&gt;0.01),1,0)</f>
        <v>0</v>
      </c>
      <c r="V205" s="42" t="n">
        <f aca="false">IF(C205&lt;&gt;L205,1,0)</f>
        <v>0</v>
      </c>
      <c r="W205" s="42" t="n">
        <f aca="false">IF(SUM(Q205:V205)&gt;0,1,0)</f>
        <v>0</v>
      </c>
    </row>
    <row r="206" customFormat="false" ht="15" hidden="false" customHeight="false" outlineLevel="0" collapsed="false">
      <c r="A206" s="42" t="str">
        <f aca="false">Sales_Transactions!A206</f>
        <v>INV-06-025</v>
      </c>
      <c r="B206" s="42" t="str">
        <f aca="false">Sales_Transactions!B206</f>
        <v>2025-06</v>
      </c>
      <c r="C206" s="42" t="str">
        <f aca="false">Sales_Transactions!C206</f>
        <v>Actual</v>
      </c>
      <c r="D206" s="42" t="str">
        <f aca="false">Sales_Transactions!D206</f>
        <v>C040</v>
      </c>
      <c r="E206" s="42" t="str">
        <f aca="false">Sales_Transactions!E206</f>
        <v>P006</v>
      </c>
      <c r="F206" s="42" t="str">
        <f aca="false">IFERROR(INDEX(Customer_Master!$C$2:$C$49,MATCH(D206,Customer_Master!$A$2:$A$49,0)),"UNMATCHED")</f>
        <v>East</v>
      </c>
      <c r="G206" s="42" t="str">
        <f aca="false">IFERROR(INDEX(Customer_Master!$D$2:$D$49,MATCH(D206,Customer_Master!$A$2:$A$49,0)),"UNMATCHED")</f>
        <v>Distributor</v>
      </c>
      <c r="H206" s="42" t="str">
        <f aca="false">IFERROR(INDEX(Product_Master!$C$2:$C$9,MATCH(E206,Product_Master!$A$2:$A$9,0)),"UNMATCHED")</f>
        <v>Foods</v>
      </c>
      <c r="I206" s="42" t="str">
        <f aca="false">IFERROR(INDEX(Product_Master!$B$2:$B$9,MATCH(E206,Product_Master!$A$2:$A$9,0)),"UNMATCHED")</f>
        <v>Breakfast Cereal</v>
      </c>
      <c r="J206" s="42" t="n">
        <f aca="false">IFERROR(INDEX(Calendar!$B$2:$B$25,MATCH(B206,Calendar!$A$2:$A$25,0)),0)</f>
        <v>2025</v>
      </c>
      <c r="K206" s="42" t="n">
        <f aca="false">IFERROR(VALUE(RIGHT(B206,2)),0)</f>
        <v>6</v>
      </c>
      <c r="L206" s="42" t="str">
        <f aca="false">IFERROR(INDEX(Calendar!$E$2:$E$25,MATCH(B206,Calendar!$A$2:$A$25,0)),"UNMATCHED")</f>
        <v>Actual</v>
      </c>
      <c r="M206" s="42" t="n">
        <f aca="false">Sales_Transactions!F206</f>
        <v>244</v>
      </c>
      <c r="N206" s="52" t="n">
        <f aca="false">Sales_Transactions!I206</f>
        <v>60033.76</v>
      </c>
      <c r="O206" s="52" t="n">
        <f aca="false">Sales_Transactions!J206</f>
        <v>40689.44</v>
      </c>
      <c r="P206" s="52" t="n">
        <f aca="false">Sales_Transactions!K206</f>
        <v>19344.32</v>
      </c>
      <c r="Q206" s="42" t="n">
        <f aca="false">IF(ISNUMBER(MATCH(E206,Product_Master!$A$2:$A$9,0)),0,1)</f>
        <v>0</v>
      </c>
      <c r="R206" s="42" t="n">
        <f aca="false">IF(ISNUMBER(MATCH(D206,Customer_Master!$A$2:$A$49,0)),0,1)</f>
        <v>0</v>
      </c>
      <c r="S206" s="42" t="n">
        <f aca="false">IF(ISNUMBER(MATCH(B206,Calendar!$A$2:$A$25,0)),0,1)</f>
        <v>0</v>
      </c>
      <c r="T206" s="42" t="n">
        <f aca="false">IF(COUNTIF(Sales_Transactions!$A$2:$A$865,A206)&gt;1,1,0)</f>
        <v>0</v>
      </c>
      <c r="U206" s="42" t="n">
        <f aca="false">IF(OR(ABS(Sales_Transactions!F206*Sales_Transactions!G206-Sales_Transactions!I206)&gt;0.01,ABS(Sales_Transactions!F206*Sales_Transactions!H206-Sales_Transactions!J206)&gt;0.01,ABS(Sales_Transactions!I206-Sales_Transactions!J206-Sales_Transactions!K206)&gt;0.01),1,0)</f>
        <v>0</v>
      </c>
      <c r="V206" s="42" t="n">
        <f aca="false">IF(C206&lt;&gt;L206,1,0)</f>
        <v>0</v>
      </c>
      <c r="W206" s="42" t="n">
        <f aca="false">IF(SUM(Q206:V206)&gt;0,1,0)</f>
        <v>0</v>
      </c>
    </row>
    <row r="207" customFormat="false" ht="15" hidden="false" customHeight="false" outlineLevel="0" collapsed="false">
      <c r="A207" s="42" t="str">
        <f aca="false">Sales_Transactions!A207</f>
        <v>INV-06-026</v>
      </c>
      <c r="B207" s="42" t="str">
        <f aca="false">Sales_Transactions!B207</f>
        <v>2025-06</v>
      </c>
      <c r="C207" s="42" t="str">
        <f aca="false">Sales_Transactions!C207</f>
        <v>Actual</v>
      </c>
      <c r="D207" s="42" t="str">
        <f aca="false">Sales_Transactions!D207</f>
        <v>C047</v>
      </c>
      <c r="E207" s="42" t="str">
        <f aca="false">Sales_Transactions!E207</f>
        <v>P003</v>
      </c>
      <c r="F207" s="42" t="str">
        <f aca="false">IFERROR(INDEX(Customer_Master!$C$2:$C$49,MATCH(D207,Customer_Master!$A$2:$A$49,0)),"UNMATCHED")</f>
        <v>West</v>
      </c>
      <c r="G207" s="42" t="str">
        <f aca="false">IFERROR(INDEX(Customer_Master!$D$2:$D$49,MATCH(D207,Customer_Master!$A$2:$A$49,0)),"UNMATCHED")</f>
        <v>Modern Trade</v>
      </c>
      <c r="H207" s="42" t="str">
        <f aca="false">IFERROR(INDEX(Product_Master!$C$2:$C$9,MATCH(E207,Product_Master!$A$2:$A$9,0)),"UNMATCHED")</f>
        <v>Personal Care</v>
      </c>
      <c r="I207" s="42" t="str">
        <f aca="false">IFERROR(INDEX(Product_Master!$B$2:$B$9,MATCH(E207,Product_Master!$A$2:$A$9,0)),"UNMATCHED")</f>
        <v>Shampoo 400ml</v>
      </c>
      <c r="J207" s="42" t="n">
        <f aca="false">IFERROR(INDEX(Calendar!$B$2:$B$25,MATCH(B207,Calendar!$A$2:$A$25,0)),0)</f>
        <v>2025</v>
      </c>
      <c r="K207" s="42" t="n">
        <f aca="false">IFERROR(VALUE(RIGHT(B207,2)),0)</f>
        <v>6</v>
      </c>
      <c r="L207" s="42" t="str">
        <f aca="false">IFERROR(INDEX(Calendar!$E$2:$E$25,MATCH(B207,Calendar!$A$2:$A$25,0)),"UNMATCHED")</f>
        <v>Actual</v>
      </c>
      <c r="M207" s="42" t="n">
        <f aca="false">Sales_Transactions!F207</f>
        <v>277</v>
      </c>
      <c r="N207" s="52" t="n">
        <f aca="false">Sales_Transactions!I207</f>
        <v>73028.28</v>
      </c>
      <c r="O207" s="52" t="n">
        <f aca="false">Sales_Transactions!J207</f>
        <v>49535.91</v>
      </c>
      <c r="P207" s="52" t="n">
        <f aca="false">Sales_Transactions!K207</f>
        <v>23492.37</v>
      </c>
      <c r="Q207" s="42" t="n">
        <f aca="false">IF(ISNUMBER(MATCH(E207,Product_Master!$A$2:$A$9,0)),0,1)</f>
        <v>0</v>
      </c>
      <c r="R207" s="42" t="n">
        <f aca="false">IF(ISNUMBER(MATCH(D207,Customer_Master!$A$2:$A$49,0)),0,1)</f>
        <v>0</v>
      </c>
      <c r="S207" s="42" t="n">
        <f aca="false">IF(ISNUMBER(MATCH(B207,Calendar!$A$2:$A$25,0)),0,1)</f>
        <v>0</v>
      </c>
      <c r="T207" s="42" t="n">
        <f aca="false">IF(COUNTIF(Sales_Transactions!$A$2:$A$865,A207)&gt;1,1,0)</f>
        <v>0</v>
      </c>
      <c r="U207" s="42" t="n">
        <f aca="false">IF(OR(ABS(Sales_Transactions!F207*Sales_Transactions!G207-Sales_Transactions!I207)&gt;0.01,ABS(Sales_Transactions!F207*Sales_Transactions!H207-Sales_Transactions!J207)&gt;0.01,ABS(Sales_Transactions!I207-Sales_Transactions!J207-Sales_Transactions!K207)&gt;0.01),1,0)</f>
        <v>0</v>
      </c>
      <c r="V207" s="42" t="n">
        <f aca="false">IF(C207&lt;&gt;L207,1,0)</f>
        <v>0</v>
      </c>
      <c r="W207" s="42" t="n">
        <f aca="false">IF(SUM(Q207:V207)&gt;0,1,0)</f>
        <v>0</v>
      </c>
    </row>
    <row r="208" customFormat="false" ht="15" hidden="false" customHeight="false" outlineLevel="0" collapsed="false">
      <c r="A208" s="42" t="str">
        <f aca="false">Sales_Transactions!A208</f>
        <v>INV-06-027</v>
      </c>
      <c r="B208" s="42" t="str">
        <f aca="false">Sales_Transactions!B208</f>
        <v>2025-06</v>
      </c>
      <c r="C208" s="42" t="str">
        <f aca="false">Sales_Transactions!C208</f>
        <v>Actual</v>
      </c>
      <c r="D208" s="42" t="str">
        <f aca="false">Sales_Transactions!D208</f>
        <v>C006</v>
      </c>
      <c r="E208" s="42" t="str">
        <f aca="false">Sales_Transactions!E208</f>
        <v>P008</v>
      </c>
      <c r="F208" s="42" t="str">
        <f aca="false">IFERROR(INDEX(Customer_Master!$C$2:$C$49,MATCH(D208,Customer_Master!$A$2:$A$49,0)),"UNMATCHED")</f>
        <v>North</v>
      </c>
      <c r="G208" s="42" t="str">
        <f aca="false">IFERROR(INDEX(Customer_Master!$D$2:$D$49,MATCH(D208,Customer_Master!$A$2:$A$49,0)),"UNMATCHED")</f>
        <v>Retail</v>
      </c>
      <c r="H208" s="42" t="str">
        <f aca="false">IFERROR(INDEX(Product_Master!$C$2:$C$9,MATCH(E208,Product_Master!$A$2:$A$9,0)),"UNMATCHED")</f>
        <v>Personal Care</v>
      </c>
      <c r="I208" s="42" t="str">
        <f aca="false">IFERROR(INDEX(Product_Master!$B$2:$B$9,MATCH(E208,Product_Master!$A$2:$A$9,0)),"UNMATCHED")</f>
        <v>Body Lotion</v>
      </c>
      <c r="J208" s="42" t="n">
        <f aca="false">IFERROR(INDEX(Calendar!$B$2:$B$25,MATCH(B208,Calendar!$A$2:$A$25,0)),0)</f>
        <v>2025</v>
      </c>
      <c r="K208" s="42" t="n">
        <f aca="false">IFERROR(VALUE(RIGHT(B208,2)),0)</f>
        <v>6</v>
      </c>
      <c r="L208" s="42" t="str">
        <f aca="false">IFERROR(INDEX(Calendar!$E$2:$E$25,MATCH(B208,Calendar!$A$2:$A$25,0)),"UNMATCHED")</f>
        <v>Actual</v>
      </c>
      <c r="M208" s="42" t="n">
        <f aca="false">Sales_Transactions!F208</f>
        <v>123</v>
      </c>
      <c r="N208" s="52" t="n">
        <f aca="false">Sales_Transactions!I208</f>
        <v>38655.21</v>
      </c>
      <c r="O208" s="52" t="n">
        <f aca="false">Sales_Transactions!J208</f>
        <v>26328.15</v>
      </c>
      <c r="P208" s="52" t="n">
        <f aca="false">Sales_Transactions!K208</f>
        <v>12327.06</v>
      </c>
      <c r="Q208" s="42" t="n">
        <f aca="false">IF(ISNUMBER(MATCH(E208,Product_Master!$A$2:$A$9,0)),0,1)</f>
        <v>0</v>
      </c>
      <c r="R208" s="42" t="n">
        <f aca="false">IF(ISNUMBER(MATCH(D208,Customer_Master!$A$2:$A$49,0)),0,1)</f>
        <v>0</v>
      </c>
      <c r="S208" s="42" t="n">
        <f aca="false">IF(ISNUMBER(MATCH(B208,Calendar!$A$2:$A$25,0)),0,1)</f>
        <v>0</v>
      </c>
      <c r="T208" s="42" t="n">
        <f aca="false">IF(COUNTIF(Sales_Transactions!$A$2:$A$865,A208)&gt;1,1,0)</f>
        <v>0</v>
      </c>
      <c r="U208" s="42" t="n">
        <f aca="false">IF(OR(ABS(Sales_Transactions!F208*Sales_Transactions!G208-Sales_Transactions!I208)&gt;0.01,ABS(Sales_Transactions!F208*Sales_Transactions!H208-Sales_Transactions!J208)&gt;0.01,ABS(Sales_Transactions!I208-Sales_Transactions!J208-Sales_Transactions!K208)&gt;0.01),1,0)</f>
        <v>0</v>
      </c>
      <c r="V208" s="42" t="n">
        <f aca="false">IF(C208&lt;&gt;L208,1,0)</f>
        <v>0</v>
      </c>
      <c r="W208" s="42" t="n">
        <f aca="false">IF(SUM(Q208:V208)&gt;0,1,0)</f>
        <v>0</v>
      </c>
    </row>
    <row r="209" customFormat="false" ht="15" hidden="false" customHeight="false" outlineLevel="0" collapsed="false">
      <c r="A209" s="42" t="str">
        <f aca="false">Sales_Transactions!A209</f>
        <v>INV-06-028</v>
      </c>
      <c r="B209" s="42" t="str">
        <f aca="false">Sales_Transactions!B209</f>
        <v>2025-06</v>
      </c>
      <c r="C209" s="42" t="str">
        <f aca="false">Sales_Transactions!C209</f>
        <v>Actual</v>
      </c>
      <c r="D209" s="42" t="str">
        <f aca="false">Sales_Transactions!D209</f>
        <v>C013</v>
      </c>
      <c r="E209" s="42" t="str">
        <f aca="false">Sales_Transactions!E209</f>
        <v>P005</v>
      </c>
      <c r="F209" s="42" t="str">
        <f aca="false">IFERROR(INDEX(Customer_Master!$C$2:$C$49,MATCH(D209,Customer_Master!$A$2:$A$49,0)),"UNMATCHED")</f>
        <v>South</v>
      </c>
      <c r="G209" s="42" t="str">
        <f aca="false">IFERROR(INDEX(Customer_Master!$D$2:$D$49,MATCH(D209,Customer_Master!$A$2:$A$49,0)),"UNMATCHED")</f>
        <v>Distributor</v>
      </c>
      <c r="H209" s="42" t="str">
        <f aca="false">IFERROR(INDEX(Product_Master!$C$2:$C$9,MATCH(E209,Product_Master!$A$2:$A$9,0)),"UNMATCHED")</f>
        <v>Foods</v>
      </c>
      <c r="I209" s="42" t="str">
        <f aca="false">IFERROR(INDEX(Product_Master!$B$2:$B$9,MATCH(E209,Product_Master!$A$2:$A$9,0)),"UNMATCHED")</f>
        <v>Biscuits 500g</v>
      </c>
      <c r="J209" s="42" t="n">
        <f aca="false">IFERROR(INDEX(Calendar!$B$2:$B$25,MATCH(B209,Calendar!$A$2:$A$25,0)),0)</f>
        <v>2025</v>
      </c>
      <c r="K209" s="42" t="n">
        <f aca="false">IFERROR(VALUE(RIGHT(B209,2)),0)</f>
        <v>6</v>
      </c>
      <c r="L209" s="42" t="str">
        <f aca="false">IFERROR(INDEX(Calendar!$E$2:$E$25,MATCH(B209,Calendar!$A$2:$A$25,0)),"UNMATCHED")</f>
        <v>Actual</v>
      </c>
      <c r="M209" s="42" t="n">
        <f aca="false">Sales_Transactions!F209</f>
        <v>209</v>
      </c>
      <c r="N209" s="52" t="n">
        <f aca="false">Sales_Transactions!I209</f>
        <v>20766.24</v>
      </c>
      <c r="O209" s="52" t="n">
        <f aca="false">Sales_Transactions!J209</f>
        <v>14740.77</v>
      </c>
      <c r="P209" s="52" t="n">
        <f aca="false">Sales_Transactions!K209</f>
        <v>6025.47</v>
      </c>
      <c r="Q209" s="42" t="n">
        <f aca="false">IF(ISNUMBER(MATCH(E209,Product_Master!$A$2:$A$9,0)),0,1)</f>
        <v>0</v>
      </c>
      <c r="R209" s="42" t="n">
        <f aca="false">IF(ISNUMBER(MATCH(D209,Customer_Master!$A$2:$A$49,0)),0,1)</f>
        <v>0</v>
      </c>
      <c r="S209" s="42" t="n">
        <f aca="false">IF(ISNUMBER(MATCH(B209,Calendar!$A$2:$A$25,0)),0,1)</f>
        <v>0</v>
      </c>
      <c r="T209" s="42" t="n">
        <f aca="false">IF(COUNTIF(Sales_Transactions!$A$2:$A$865,A209)&gt;1,1,0)</f>
        <v>0</v>
      </c>
      <c r="U209" s="42" t="n">
        <f aca="false">IF(OR(ABS(Sales_Transactions!F209*Sales_Transactions!G209-Sales_Transactions!I209)&gt;0.01,ABS(Sales_Transactions!F209*Sales_Transactions!H209-Sales_Transactions!J209)&gt;0.01,ABS(Sales_Transactions!I209-Sales_Transactions!J209-Sales_Transactions!K209)&gt;0.01),1,0)</f>
        <v>0</v>
      </c>
      <c r="V209" s="42" t="n">
        <f aca="false">IF(C209&lt;&gt;L209,1,0)</f>
        <v>0</v>
      </c>
      <c r="W209" s="42" t="n">
        <f aca="false">IF(SUM(Q209:V209)&gt;0,1,0)</f>
        <v>0</v>
      </c>
    </row>
    <row r="210" customFormat="false" ht="15" hidden="false" customHeight="false" outlineLevel="0" collapsed="false">
      <c r="A210" s="42" t="str">
        <f aca="false">Sales_Transactions!A210</f>
        <v>INV-06-029</v>
      </c>
      <c r="B210" s="42" t="str">
        <f aca="false">Sales_Transactions!B210</f>
        <v>2025-06</v>
      </c>
      <c r="C210" s="42" t="str">
        <f aca="false">Sales_Transactions!C210</f>
        <v>Actual</v>
      </c>
      <c r="D210" s="42" t="str">
        <f aca="false">Sales_Transactions!D210</f>
        <v>C020</v>
      </c>
      <c r="E210" s="42" t="str">
        <f aca="false">Sales_Transactions!E210</f>
        <v>P002</v>
      </c>
      <c r="F210" s="42" t="str">
        <f aca="false">IFERROR(INDEX(Customer_Master!$C$2:$C$49,MATCH(D210,Customer_Master!$A$2:$A$49,0)),"UNMATCHED")</f>
        <v>East</v>
      </c>
      <c r="G210" s="42" t="str">
        <f aca="false">IFERROR(INDEX(Customer_Master!$D$2:$D$49,MATCH(D210,Customer_Master!$A$2:$A$49,0)),"UNMATCHED")</f>
        <v>Modern Trade</v>
      </c>
      <c r="H210" s="42" t="str">
        <f aca="false">IFERROR(INDEX(Product_Master!$C$2:$C$9,MATCH(E210,Product_Master!$A$2:$A$9,0)),"UNMATCHED")</f>
        <v>Home Care</v>
      </c>
      <c r="I210" s="42" t="str">
        <f aca="false">IFERROR(INDEX(Product_Master!$B$2:$B$9,MATCH(E210,Product_Master!$A$2:$A$9,0)),"UNMATCHED")</f>
        <v>Dishwash Gel</v>
      </c>
      <c r="J210" s="42" t="n">
        <f aca="false">IFERROR(INDEX(Calendar!$B$2:$B$25,MATCH(B210,Calendar!$A$2:$A$25,0)),0)</f>
        <v>2025</v>
      </c>
      <c r="K210" s="42" t="n">
        <f aca="false">IFERROR(VALUE(RIGHT(B210,2)),0)</f>
        <v>6</v>
      </c>
      <c r="L210" s="42" t="str">
        <f aca="false">IFERROR(INDEX(Calendar!$E$2:$E$25,MATCH(B210,Calendar!$A$2:$A$25,0)),"UNMATCHED")</f>
        <v>Actual</v>
      </c>
      <c r="M210" s="42" t="n">
        <f aca="false">Sales_Transactions!F210</f>
        <v>435</v>
      </c>
      <c r="N210" s="52" t="n">
        <f aca="false">Sales_Transactions!I210</f>
        <v>61060.95</v>
      </c>
      <c r="O210" s="52" t="n">
        <f aca="false">Sales_Transactions!J210</f>
        <v>34760.85</v>
      </c>
      <c r="P210" s="52" t="n">
        <f aca="false">Sales_Transactions!K210</f>
        <v>26300.1</v>
      </c>
      <c r="Q210" s="42" t="n">
        <f aca="false">IF(ISNUMBER(MATCH(E210,Product_Master!$A$2:$A$9,0)),0,1)</f>
        <v>0</v>
      </c>
      <c r="R210" s="42" t="n">
        <f aca="false">IF(ISNUMBER(MATCH(D210,Customer_Master!$A$2:$A$49,0)),0,1)</f>
        <v>0</v>
      </c>
      <c r="S210" s="42" t="n">
        <f aca="false">IF(ISNUMBER(MATCH(B210,Calendar!$A$2:$A$25,0)),0,1)</f>
        <v>0</v>
      </c>
      <c r="T210" s="42" t="n">
        <f aca="false">IF(COUNTIF(Sales_Transactions!$A$2:$A$865,A210)&gt;1,1,0)</f>
        <v>0</v>
      </c>
      <c r="U210" s="42" t="n">
        <f aca="false">IF(OR(ABS(Sales_Transactions!F210*Sales_Transactions!G210-Sales_Transactions!I210)&gt;0.01,ABS(Sales_Transactions!F210*Sales_Transactions!H210-Sales_Transactions!J210)&gt;0.01,ABS(Sales_Transactions!I210-Sales_Transactions!J210-Sales_Transactions!K210)&gt;0.01),1,0)</f>
        <v>0</v>
      </c>
      <c r="V210" s="42" t="n">
        <f aca="false">IF(C210&lt;&gt;L210,1,0)</f>
        <v>0</v>
      </c>
      <c r="W210" s="42" t="n">
        <f aca="false">IF(SUM(Q210:V210)&gt;0,1,0)</f>
        <v>0</v>
      </c>
    </row>
    <row r="211" customFormat="false" ht="15" hidden="false" customHeight="false" outlineLevel="0" collapsed="false">
      <c r="A211" s="42" t="str">
        <f aca="false">Sales_Transactions!A211</f>
        <v>INV-06-030</v>
      </c>
      <c r="B211" s="42" t="str">
        <f aca="false">Sales_Transactions!B211</f>
        <v>2025-06</v>
      </c>
      <c r="C211" s="42" t="str">
        <f aca="false">Sales_Transactions!C211</f>
        <v>Actual</v>
      </c>
      <c r="D211" s="42" t="str">
        <f aca="false">Sales_Transactions!D211</f>
        <v>C027</v>
      </c>
      <c r="E211" s="42" t="str">
        <f aca="false">Sales_Transactions!E211</f>
        <v>P007</v>
      </c>
      <c r="F211" s="42" t="str">
        <f aca="false">IFERROR(INDEX(Customer_Master!$C$2:$C$49,MATCH(D211,Customer_Master!$A$2:$A$49,0)),"UNMATCHED")</f>
        <v>West</v>
      </c>
      <c r="G211" s="42" t="str">
        <f aca="false">IFERROR(INDEX(Customer_Master!$D$2:$D$49,MATCH(D211,Customer_Master!$A$2:$A$49,0)),"UNMATCHED")</f>
        <v>Retail</v>
      </c>
      <c r="H211" s="42" t="str">
        <f aca="false">IFERROR(INDEX(Product_Master!$C$2:$C$9,MATCH(E211,Product_Master!$A$2:$A$9,0)),"UNMATCHED")</f>
        <v>Home Care</v>
      </c>
      <c r="I211" s="42" t="str">
        <f aca="false">IFERROR(INDEX(Product_Master!$B$2:$B$9,MATCH(E211,Product_Master!$A$2:$A$9,0)),"UNMATCHED")</f>
        <v>Floor Cleaner</v>
      </c>
      <c r="J211" s="42" t="n">
        <f aca="false">IFERROR(INDEX(Calendar!$B$2:$B$25,MATCH(B211,Calendar!$A$2:$A$25,0)),0)</f>
        <v>2025</v>
      </c>
      <c r="K211" s="42" t="n">
        <f aca="false">IFERROR(VALUE(RIGHT(B211,2)),0)</f>
        <v>6</v>
      </c>
      <c r="L211" s="42" t="str">
        <f aca="false">IFERROR(INDEX(Calendar!$E$2:$E$25,MATCH(B211,Calendar!$A$2:$A$25,0)),"UNMATCHED")</f>
        <v>Actual</v>
      </c>
      <c r="M211" s="42" t="n">
        <f aca="false">Sales_Transactions!F211</f>
        <v>374</v>
      </c>
      <c r="N211" s="52" t="n">
        <f aca="false">Sales_Transactions!I211</f>
        <v>70472.82</v>
      </c>
      <c r="O211" s="52" t="n">
        <f aca="false">Sales_Transactions!J211</f>
        <v>41959.06</v>
      </c>
      <c r="P211" s="52" t="n">
        <f aca="false">Sales_Transactions!K211</f>
        <v>28513.76</v>
      </c>
      <c r="Q211" s="42" t="n">
        <f aca="false">IF(ISNUMBER(MATCH(E211,Product_Master!$A$2:$A$9,0)),0,1)</f>
        <v>0</v>
      </c>
      <c r="R211" s="42" t="n">
        <f aca="false">IF(ISNUMBER(MATCH(D211,Customer_Master!$A$2:$A$49,0)),0,1)</f>
        <v>0</v>
      </c>
      <c r="S211" s="42" t="n">
        <f aca="false">IF(ISNUMBER(MATCH(B211,Calendar!$A$2:$A$25,0)),0,1)</f>
        <v>0</v>
      </c>
      <c r="T211" s="42" t="n">
        <f aca="false">IF(COUNTIF(Sales_Transactions!$A$2:$A$865,A211)&gt;1,1,0)</f>
        <v>0</v>
      </c>
      <c r="U211" s="42" t="n">
        <f aca="false">IF(OR(ABS(Sales_Transactions!F211*Sales_Transactions!G211-Sales_Transactions!I211)&gt;0.01,ABS(Sales_Transactions!F211*Sales_Transactions!H211-Sales_Transactions!J211)&gt;0.01,ABS(Sales_Transactions!I211-Sales_Transactions!J211-Sales_Transactions!K211)&gt;0.01),1,0)</f>
        <v>0</v>
      </c>
      <c r="V211" s="42" t="n">
        <f aca="false">IF(C211&lt;&gt;L211,1,0)</f>
        <v>0</v>
      </c>
      <c r="W211" s="42" t="n">
        <f aca="false">IF(SUM(Q211:V211)&gt;0,1,0)</f>
        <v>0</v>
      </c>
    </row>
    <row r="212" customFormat="false" ht="15" hidden="false" customHeight="false" outlineLevel="0" collapsed="false">
      <c r="A212" s="42" t="str">
        <f aca="false">Sales_Transactions!A212</f>
        <v>INV-06-031</v>
      </c>
      <c r="B212" s="42" t="str">
        <f aca="false">Sales_Transactions!B212</f>
        <v>2025-06</v>
      </c>
      <c r="C212" s="42" t="str">
        <f aca="false">Sales_Transactions!C212</f>
        <v>Actual</v>
      </c>
      <c r="D212" s="42" t="str">
        <f aca="false">Sales_Transactions!D212</f>
        <v>C034</v>
      </c>
      <c r="E212" s="42" t="str">
        <f aca="false">Sales_Transactions!E212</f>
        <v>P004</v>
      </c>
      <c r="F212" s="42" t="str">
        <f aca="false">IFERROR(INDEX(Customer_Master!$C$2:$C$49,MATCH(D212,Customer_Master!$A$2:$A$49,0)),"UNMATCHED")</f>
        <v>North</v>
      </c>
      <c r="G212" s="42" t="str">
        <f aca="false">IFERROR(INDEX(Customer_Master!$D$2:$D$49,MATCH(D212,Customer_Master!$A$2:$A$49,0)),"UNMATCHED")</f>
        <v>Distributor</v>
      </c>
      <c r="H212" s="42" t="str">
        <f aca="false">IFERROR(INDEX(Product_Master!$C$2:$C$9,MATCH(E212,Product_Master!$A$2:$A$9,0)),"UNMATCHED")</f>
        <v>Personal Care</v>
      </c>
      <c r="I212" s="42" t="str">
        <f aca="false">IFERROR(INDEX(Product_Master!$B$2:$B$9,MATCH(E212,Product_Master!$A$2:$A$9,0)),"UNMATCHED")</f>
        <v>Soap 4-pack</v>
      </c>
      <c r="J212" s="42" t="n">
        <f aca="false">IFERROR(INDEX(Calendar!$B$2:$B$25,MATCH(B212,Calendar!$A$2:$A$25,0)),0)</f>
        <v>2025</v>
      </c>
      <c r="K212" s="42" t="n">
        <f aca="false">IFERROR(VALUE(RIGHT(B212,2)),0)</f>
        <v>6</v>
      </c>
      <c r="L212" s="42" t="str">
        <f aca="false">IFERROR(INDEX(Calendar!$E$2:$E$25,MATCH(B212,Calendar!$A$2:$A$25,0)),"UNMATCHED")</f>
        <v>Actual</v>
      </c>
      <c r="M212" s="42" t="n">
        <f aca="false">Sales_Transactions!F212</f>
        <v>304</v>
      </c>
      <c r="N212" s="52" t="n">
        <f aca="false">Sales_Transactions!I212</f>
        <v>51923.2</v>
      </c>
      <c r="O212" s="52" t="n">
        <f aca="false">Sales_Transactions!J212</f>
        <v>28256.8</v>
      </c>
      <c r="P212" s="52" t="n">
        <f aca="false">Sales_Transactions!K212</f>
        <v>23666.4</v>
      </c>
      <c r="Q212" s="42" t="n">
        <f aca="false">IF(ISNUMBER(MATCH(E212,Product_Master!$A$2:$A$9,0)),0,1)</f>
        <v>0</v>
      </c>
      <c r="R212" s="42" t="n">
        <f aca="false">IF(ISNUMBER(MATCH(D212,Customer_Master!$A$2:$A$49,0)),0,1)</f>
        <v>0</v>
      </c>
      <c r="S212" s="42" t="n">
        <f aca="false">IF(ISNUMBER(MATCH(B212,Calendar!$A$2:$A$25,0)),0,1)</f>
        <v>0</v>
      </c>
      <c r="T212" s="42" t="n">
        <f aca="false">IF(COUNTIF(Sales_Transactions!$A$2:$A$865,A212)&gt;1,1,0)</f>
        <v>0</v>
      </c>
      <c r="U212" s="42" t="n">
        <f aca="false">IF(OR(ABS(Sales_Transactions!F212*Sales_Transactions!G212-Sales_Transactions!I212)&gt;0.01,ABS(Sales_Transactions!F212*Sales_Transactions!H212-Sales_Transactions!J212)&gt;0.01,ABS(Sales_Transactions!I212-Sales_Transactions!J212-Sales_Transactions!K212)&gt;0.01),1,0)</f>
        <v>0</v>
      </c>
      <c r="V212" s="42" t="n">
        <f aca="false">IF(C212&lt;&gt;L212,1,0)</f>
        <v>0</v>
      </c>
      <c r="W212" s="42" t="n">
        <f aca="false">IF(SUM(Q212:V212)&gt;0,1,0)</f>
        <v>0</v>
      </c>
    </row>
    <row r="213" customFormat="false" ht="15" hidden="false" customHeight="false" outlineLevel="0" collapsed="false">
      <c r="A213" s="42" t="str">
        <f aca="false">Sales_Transactions!A213</f>
        <v>INV-06-032</v>
      </c>
      <c r="B213" s="42" t="str">
        <f aca="false">Sales_Transactions!B213</f>
        <v>2025-06</v>
      </c>
      <c r="C213" s="42" t="str">
        <f aca="false">Sales_Transactions!C213</f>
        <v>Actual</v>
      </c>
      <c r="D213" s="42" t="str">
        <f aca="false">Sales_Transactions!D213</f>
        <v>C041</v>
      </c>
      <c r="E213" s="42" t="str">
        <f aca="false">Sales_Transactions!E213</f>
        <v>P001</v>
      </c>
      <c r="F213" s="42" t="str">
        <f aca="false">IFERROR(INDEX(Customer_Master!$C$2:$C$49,MATCH(D213,Customer_Master!$A$2:$A$49,0)),"UNMATCHED")</f>
        <v>South</v>
      </c>
      <c r="G213" s="42" t="str">
        <f aca="false">IFERROR(INDEX(Customer_Master!$D$2:$D$49,MATCH(D213,Customer_Master!$A$2:$A$49,0)),"UNMATCHED")</f>
        <v>Modern Trade</v>
      </c>
      <c r="H213" s="42" t="str">
        <f aca="false">IFERROR(INDEX(Product_Master!$C$2:$C$9,MATCH(E213,Product_Master!$A$2:$A$9,0)),"UNMATCHED")</f>
        <v>Home Care</v>
      </c>
      <c r="I213" s="42" t="str">
        <f aca="false">IFERROR(INDEX(Product_Master!$B$2:$B$9,MATCH(E213,Product_Master!$A$2:$A$9,0)),"UNMATCHED")</f>
        <v>Detergent 1kg</v>
      </c>
      <c r="J213" s="42" t="n">
        <f aca="false">IFERROR(INDEX(Calendar!$B$2:$B$25,MATCH(B213,Calendar!$A$2:$A$25,0)),0)</f>
        <v>2025</v>
      </c>
      <c r="K213" s="42" t="n">
        <f aca="false">IFERROR(VALUE(RIGHT(B213,2)),0)</f>
        <v>6</v>
      </c>
      <c r="L213" s="42" t="str">
        <f aca="false">IFERROR(INDEX(Calendar!$E$2:$E$25,MATCH(B213,Calendar!$A$2:$A$25,0)),"UNMATCHED")</f>
        <v>Actual</v>
      </c>
      <c r="M213" s="42" t="n">
        <f aca="false">Sales_Transactions!F213</f>
        <v>416</v>
      </c>
      <c r="N213" s="52" t="n">
        <f aca="false">Sales_Transactions!I213</f>
        <v>81627.52</v>
      </c>
      <c r="O213" s="52" t="n">
        <f aca="false">Sales_Transactions!J213</f>
        <v>58314.88</v>
      </c>
      <c r="P213" s="52" t="n">
        <f aca="false">Sales_Transactions!K213</f>
        <v>23312.64</v>
      </c>
      <c r="Q213" s="42" t="n">
        <f aca="false">IF(ISNUMBER(MATCH(E213,Product_Master!$A$2:$A$9,0)),0,1)</f>
        <v>0</v>
      </c>
      <c r="R213" s="42" t="n">
        <f aca="false">IF(ISNUMBER(MATCH(D213,Customer_Master!$A$2:$A$49,0)),0,1)</f>
        <v>0</v>
      </c>
      <c r="S213" s="42" t="n">
        <f aca="false">IF(ISNUMBER(MATCH(B213,Calendar!$A$2:$A$25,0)),0,1)</f>
        <v>0</v>
      </c>
      <c r="T213" s="42" t="n">
        <f aca="false">IF(COUNTIF(Sales_Transactions!$A$2:$A$865,A213)&gt;1,1,0)</f>
        <v>0</v>
      </c>
      <c r="U213" s="42" t="n">
        <f aca="false">IF(OR(ABS(Sales_Transactions!F213*Sales_Transactions!G213-Sales_Transactions!I213)&gt;0.01,ABS(Sales_Transactions!F213*Sales_Transactions!H213-Sales_Transactions!J213)&gt;0.01,ABS(Sales_Transactions!I213-Sales_Transactions!J213-Sales_Transactions!K213)&gt;0.01),1,0)</f>
        <v>0</v>
      </c>
      <c r="V213" s="42" t="n">
        <f aca="false">IF(C213&lt;&gt;L213,1,0)</f>
        <v>0</v>
      </c>
      <c r="W213" s="42" t="n">
        <f aca="false">IF(SUM(Q213:V213)&gt;0,1,0)</f>
        <v>0</v>
      </c>
    </row>
    <row r="214" customFormat="false" ht="15" hidden="false" customHeight="false" outlineLevel="0" collapsed="false">
      <c r="A214" s="42" t="str">
        <f aca="false">Sales_Transactions!A214</f>
        <v>INV-06-033</v>
      </c>
      <c r="B214" s="42" t="str">
        <f aca="false">Sales_Transactions!B214</f>
        <v>2025-06</v>
      </c>
      <c r="C214" s="42" t="str">
        <f aca="false">Sales_Transactions!C214</f>
        <v>Actual</v>
      </c>
      <c r="D214" s="42" t="str">
        <f aca="false">Sales_Transactions!D214</f>
        <v>C048</v>
      </c>
      <c r="E214" s="42" t="str">
        <f aca="false">Sales_Transactions!E214</f>
        <v>P006</v>
      </c>
      <c r="F214" s="42" t="str">
        <f aca="false">IFERROR(INDEX(Customer_Master!$C$2:$C$49,MATCH(D214,Customer_Master!$A$2:$A$49,0)),"UNMATCHED")</f>
        <v>East</v>
      </c>
      <c r="G214" s="42" t="str">
        <f aca="false">IFERROR(INDEX(Customer_Master!$D$2:$D$49,MATCH(D214,Customer_Master!$A$2:$A$49,0)),"UNMATCHED")</f>
        <v>Retail</v>
      </c>
      <c r="H214" s="42" t="str">
        <f aca="false">IFERROR(INDEX(Product_Master!$C$2:$C$9,MATCH(E214,Product_Master!$A$2:$A$9,0)),"UNMATCHED")</f>
        <v>Foods</v>
      </c>
      <c r="I214" s="42" t="str">
        <f aca="false">IFERROR(INDEX(Product_Master!$B$2:$B$9,MATCH(E214,Product_Master!$A$2:$A$9,0)),"UNMATCHED")</f>
        <v>Breakfast Cereal</v>
      </c>
      <c r="J214" s="42" t="n">
        <f aca="false">IFERROR(INDEX(Calendar!$B$2:$B$25,MATCH(B214,Calendar!$A$2:$A$25,0)),0)</f>
        <v>2025</v>
      </c>
      <c r="K214" s="42" t="n">
        <f aca="false">IFERROR(VALUE(RIGHT(B214,2)),0)</f>
        <v>6</v>
      </c>
      <c r="L214" s="42" t="str">
        <f aca="false">IFERROR(INDEX(Calendar!$E$2:$E$25,MATCH(B214,Calendar!$A$2:$A$25,0)),"UNMATCHED")</f>
        <v>Actual</v>
      </c>
      <c r="M214" s="42" t="n">
        <f aca="false">Sales_Transactions!F214</f>
        <v>335</v>
      </c>
      <c r="N214" s="52" t="n">
        <f aca="false">Sales_Transactions!I214</f>
        <v>77200.75</v>
      </c>
      <c r="O214" s="52" t="n">
        <f aca="false">Sales_Transactions!J214</f>
        <v>56196.25</v>
      </c>
      <c r="P214" s="52" t="n">
        <f aca="false">Sales_Transactions!K214</f>
        <v>21004.5</v>
      </c>
      <c r="Q214" s="42" t="n">
        <f aca="false">IF(ISNUMBER(MATCH(E214,Product_Master!$A$2:$A$9,0)),0,1)</f>
        <v>0</v>
      </c>
      <c r="R214" s="42" t="n">
        <f aca="false">IF(ISNUMBER(MATCH(D214,Customer_Master!$A$2:$A$49,0)),0,1)</f>
        <v>0</v>
      </c>
      <c r="S214" s="42" t="n">
        <f aca="false">IF(ISNUMBER(MATCH(B214,Calendar!$A$2:$A$25,0)),0,1)</f>
        <v>0</v>
      </c>
      <c r="T214" s="42" t="n">
        <f aca="false">IF(COUNTIF(Sales_Transactions!$A$2:$A$865,A214)&gt;1,1,0)</f>
        <v>0</v>
      </c>
      <c r="U214" s="42" t="n">
        <f aca="false">IF(OR(ABS(Sales_Transactions!F214*Sales_Transactions!G214-Sales_Transactions!I214)&gt;0.01,ABS(Sales_Transactions!F214*Sales_Transactions!H214-Sales_Transactions!J214)&gt;0.01,ABS(Sales_Transactions!I214-Sales_Transactions!J214-Sales_Transactions!K214)&gt;0.01),1,0)</f>
        <v>0</v>
      </c>
      <c r="V214" s="42" t="n">
        <f aca="false">IF(C214&lt;&gt;L214,1,0)</f>
        <v>0</v>
      </c>
      <c r="W214" s="42" t="n">
        <f aca="false">IF(SUM(Q214:V214)&gt;0,1,0)</f>
        <v>0</v>
      </c>
    </row>
    <row r="215" customFormat="false" ht="15" hidden="false" customHeight="false" outlineLevel="0" collapsed="false">
      <c r="A215" s="42" t="str">
        <f aca="false">Sales_Transactions!A215</f>
        <v>INV-06-034</v>
      </c>
      <c r="B215" s="42" t="str">
        <f aca="false">Sales_Transactions!B215</f>
        <v>2025-06</v>
      </c>
      <c r="C215" s="42" t="str">
        <f aca="false">Sales_Transactions!C215</f>
        <v>Actual</v>
      </c>
      <c r="D215" s="42" t="str">
        <f aca="false">Sales_Transactions!D215</f>
        <v>C007</v>
      </c>
      <c r="E215" s="42" t="str">
        <f aca="false">Sales_Transactions!E215</f>
        <v>P003</v>
      </c>
      <c r="F215" s="42" t="str">
        <f aca="false">IFERROR(INDEX(Customer_Master!$C$2:$C$49,MATCH(D215,Customer_Master!$A$2:$A$49,0)),"UNMATCHED")</f>
        <v>West</v>
      </c>
      <c r="G215" s="42" t="str">
        <f aca="false">IFERROR(INDEX(Customer_Master!$D$2:$D$49,MATCH(D215,Customer_Master!$A$2:$A$49,0)),"UNMATCHED")</f>
        <v>Distributor</v>
      </c>
      <c r="H215" s="42" t="str">
        <f aca="false">IFERROR(INDEX(Product_Master!$C$2:$C$9,MATCH(E215,Product_Master!$A$2:$A$9,0)),"UNMATCHED")</f>
        <v>Personal Care</v>
      </c>
      <c r="I215" s="42" t="str">
        <f aca="false">IFERROR(INDEX(Product_Master!$B$2:$B$9,MATCH(E215,Product_Master!$A$2:$A$9,0)),"UNMATCHED")</f>
        <v>Shampoo 400ml</v>
      </c>
      <c r="J215" s="42" t="n">
        <f aca="false">IFERROR(INDEX(Calendar!$B$2:$B$25,MATCH(B215,Calendar!$A$2:$A$25,0)),0)</f>
        <v>2025</v>
      </c>
      <c r="K215" s="42" t="n">
        <f aca="false">IFERROR(VALUE(RIGHT(B215,2)),0)</f>
        <v>6</v>
      </c>
      <c r="L215" s="42" t="str">
        <f aca="false">IFERROR(INDEX(Calendar!$E$2:$E$25,MATCH(B215,Calendar!$A$2:$A$25,0)),"UNMATCHED")</f>
        <v>Actual</v>
      </c>
      <c r="M215" s="42" t="n">
        <f aca="false">Sales_Transactions!F215</f>
        <v>410</v>
      </c>
      <c r="N215" s="52" t="n">
        <f aca="false">Sales_Transactions!I215</f>
        <v>115476.5</v>
      </c>
      <c r="O215" s="52" t="n">
        <f aca="false">Sales_Transactions!J215</f>
        <v>71171.9</v>
      </c>
      <c r="P215" s="52" t="n">
        <f aca="false">Sales_Transactions!K215</f>
        <v>44304.6</v>
      </c>
      <c r="Q215" s="42" t="n">
        <f aca="false">IF(ISNUMBER(MATCH(E215,Product_Master!$A$2:$A$9,0)),0,1)</f>
        <v>0</v>
      </c>
      <c r="R215" s="42" t="n">
        <f aca="false">IF(ISNUMBER(MATCH(D215,Customer_Master!$A$2:$A$49,0)),0,1)</f>
        <v>0</v>
      </c>
      <c r="S215" s="42" t="n">
        <f aca="false">IF(ISNUMBER(MATCH(B215,Calendar!$A$2:$A$25,0)),0,1)</f>
        <v>0</v>
      </c>
      <c r="T215" s="42" t="n">
        <f aca="false">IF(COUNTIF(Sales_Transactions!$A$2:$A$865,A215)&gt;1,1,0)</f>
        <v>0</v>
      </c>
      <c r="U215" s="42" t="n">
        <f aca="false">IF(OR(ABS(Sales_Transactions!F215*Sales_Transactions!G215-Sales_Transactions!I215)&gt;0.01,ABS(Sales_Transactions!F215*Sales_Transactions!H215-Sales_Transactions!J215)&gt;0.01,ABS(Sales_Transactions!I215-Sales_Transactions!J215-Sales_Transactions!K215)&gt;0.01),1,0)</f>
        <v>0</v>
      </c>
      <c r="V215" s="42" t="n">
        <f aca="false">IF(C215&lt;&gt;L215,1,0)</f>
        <v>0</v>
      </c>
      <c r="W215" s="42" t="n">
        <f aca="false">IF(SUM(Q215:V215)&gt;0,1,0)</f>
        <v>0</v>
      </c>
    </row>
    <row r="216" customFormat="false" ht="15" hidden="false" customHeight="false" outlineLevel="0" collapsed="false">
      <c r="A216" s="42" t="str">
        <f aca="false">Sales_Transactions!A216</f>
        <v>INV-06-035</v>
      </c>
      <c r="B216" s="42" t="str">
        <f aca="false">Sales_Transactions!B216</f>
        <v>2025-06</v>
      </c>
      <c r="C216" s="42" t="str">
        <f aca="false">Sales_Transactions!C216</f>
        <v>Actual</v>
      </c>
      <c r="D216" s="42" t="str">
        <f aca="false">Sales_Transactions!D216</f>
        <v>C014</v>
      </c>
      <c r="E216" s="42" t="str">
        <f aca="false">Sales_Transactions!E216</f>
        <v>P008</v>
      </c>
      <c r="F216" s="42" t="str">
        <f aca="false">IFERROR(INDEX(Customer_Master!$C$2:$C$49,MATCH(D216,Customer_Master!$A$2:$A$49,0)),"UNMATCHED")</f>
        <v>North</v>
      </c>
      <c r="G216" s="42" t="str">
        <f aca="false">IFERROR(INDEX(Customer_Master!$D$2:$D$49,MATCH(D216,Customer_Master!$A$2:$A$49,0)),"UNMATCHED")</f>
        <v>Modern Trade</v>
      </c>
      <c r="H216" s="42" t="str">
        <f aca="false">IFERROR(INDEX(Product_Master!$C$2:$C$9,MATCH(E216,Product_Master!$A$2:$A$9,0)),"UNMATCHED")</f>
        <v>Personal Care</v>
      </c>
      <c r="I216" s="42" t="str">
        <f aca="false">IFERROR(INDEX(Product_Master!$B$2:$B$9,MATCH(E216,Product_Master!$A$2:$A$9,0)),"UNMATCHED")</f>
        <v>Body Lotion</v>
      </c>
      <c r="J216" s="42" t="n">
        <f aca="false">IFERROR(INDEX(Calendar!$B$2:$B$25,MATCH(B216,Calendar!$A$2:$A$25,0)),0)</f>
        <v>2025</v>
      </c>
      <c r="K216" s="42" t="n">
        <f aca="false">IFERROR(VALUE(RIGHT(B216,2)),0)</f>
        <v>6</v>
      </c>
      <c r="L216" s="42" t="str">
        <f aca="false">IFERROR(INDEX(Calendar!$E$2:$E$25,MATCH(B216,Calendar!$A$2:$A$25,0)),"UNMATCHED")</f>
        <v>Actual</v>
      </c>
      <c r="M216" s="42" t="n">
        <f aca="false">Sales_Transactions!F216</f>
        <v>163</v>
      </c>
      <c r="N216" s="52" t="n">
        <f aca="false">Sales_Transactions!I216</f>
        <v>50146.95</v>
      </c>
      <c r="O216" s="52" t="n">
        <f aca="false">Sales_Transactions!J216</f>
        <v>34508.73</v>
      </c>
      <c r="P216" s="52" t="n">
        <f aca="false">Sales_Transactions!K216</f>
        <v>15638.22</v>
      </c>
      <c r="Q216" s="42" t="n">
        <f aca="false">IF(ISNUMBER(MATCH(E216,Product_Master!$A$2:$A$9,0)),0,1)</f>
        <v>0</v>
      </c>
      <c r="R216" s="42" t="n">
        <f aca="false">IF(ISNUMBER(MATCH(D216,Customer_Master!$A$2:$A$49,0)),0,1)</f>
        <v>0</v>
      </c>
      <c r="S216" s="42" t="n">
        <f aca="false">IF(ISNUMBER(MATCH(B216,Calendar!$A$2:$A$25,0)),0,1)</f>
        <v>0</v>
      </c>
      <c r="T216" s="42" t="n">
        <f aca="false">IF(COUNTIF(Sales_Transactions!$A$2:$A$865,A216)&gt;1,1,0)</f>
        <v>0</v>
      </c>
      <c r="U216" s="42" t="n">
        <f aca="false">IF(OR(ABS(Sales_Transactions!F216*Sales_Transactions!G216-Sales_Transactions!I216)&gt;0.01,ABS(Sales_Transactions!F216*Sales_Transactions!H216-Sales_Transactions!J216)&gt;0.01,ABS(Sales_Transactions!I216-Sales_Transactions!J216-Sales_Transactions!K216)&gt;0.01),1,0)</f>
        <v>0</v>
      </c>
      <c r="V216" s="42" t="n">
        <f aca="false">IF(C216&lt;&gt;L216,1,0)</f>
        <v>0</v>
      </c>
      <c r="W216" s="42" t="n">
        <f aca="false">IF(SUM(Q216:V216)&gt;0,1,0)</f>
        <v>0</v>
      </c>
    </row>
    <row r="217" customFormat="false" ht="15" hidden="false" customHeight="false" outlineLevel="0" collapsed="false">
      <c r="A217" s="42" t="str">
        <f aca="false">Sales_Transactions!A217</f>
        <v>INV-06-036</v>
      </c>
      <c r="B217" s="42" t="str">
        <f aca="false">Sales_Transactions!B217</f>
        <v>2025-06</v>
      </c>
      <c r="C217" s="42" t="str">
        <f aca="false">Sales_Transactions!C217</f>
        <v>Actual</v>
      </c>
      <c r="D217" s="42" t="str">
        <f aca="false">Sales_Transactions!D217</f>
        <v>C021</v>
      </c>
      <c r="E217" s="42" t="str">
        <f aca="false">Sales_Transactions!E217</f>
        <v>P005</v>
      </c>
      <c r="F217" s="42" t="str">
        <f aca="false">IFERROR(INDEX(Customer_Master!$C$2:$C$49,MATCH(D217,Customer_Master!$A$2:$A$49,0)),"UNMATCHED")</f>
        <v>South</v>
      </c>
      <c r="G217" s="42" t="str">
        <f aca="false">IFERROR(INDEX(Customer_Master!$D$2:$D$49,MATCH(D217,Customer_Master!$A$2:$A$49,0)),"UNMATCHED")</f>
        <v>Retail</v>
      </c>
      <c r="H217" s="42" t="str">
        <f aca="false">IFERROR(INDEX(Product_Master!$C$2:$C$9,MATCH(E217,Product_Master!$A$2:$A$9,0)),"UNMATCHED")</f>
        <v>Foods</v>
      </c>
      <c r="I217" s="42" t="str">
        <f aca="false">IFERROR(INDEX(Product_Master!$B$2:$B$9,MATCH(E217,Product_Master!$A$2:$A$9,0)),"UNMATCHED")</f>
        <v>Biscuits 500g</v>
      </c>
      <c r="J217" s="42" t="n">
        <f aca="false">IFERROR(INDEX(Calendar!$B$2:$B$25,MATCH(B217,Calendar!$A$2:$A$25,0)),0)</f>
        <v>2025</v>
      </c>
      <c r="K217" s="42" t="n">
        <f aca="false">IFERROR(VALUE(RIGHT(B217,2)),0)</f>
        <v>6</v>
      </c>
      <c r="L217" s="42" t="str">
        <f aca="false">IFERROR(INDEX(Calendar!$E$2:$E$25,MATCH(B217,Calendar!$A$2:$A$25,0)),"UNMATCHED")</f>
        <v>Actual</v>
      </c>
      <c r="M217" s="42" t="n">
        <f aca="false">Sales_Transactions!F217</f>
        <v>418</v>
      </c>
      <c r="N217" s="52" t="n">
        <f aca="false">Sales_Transactions!I217</f>
        <v>42535.68</v>
      </c>
      <c r="O217" s="52" t="n">
        <f aca="false">Sales_Transactions!J217</f>
        <v>29602.76</v>
      </c>
      <c r="P217" s="52" t="n">
        <f aca="false">Sales_Transactions!K217</f>
        <v>12932.92</v>
      </c>
      <c r="Q217" s="42" t="n">
        <f aca="false">IF(ISNUMBER(MATCH(E217,Product_Master!$A$2:$A$9,0)),0,1)</f>
        <v>0</v>
      </c>
      <c r="R217" s="42" t="n">
        <f aca="false">IF(ISNUMBER(MATCH(D217,Customer_Master!$A$2:$A$49,0)),0,1)</f>
        <v>0</v>
      </c>
      <c r="S217" s="42" t="n">
        <f aca="false">IF(ISNUMBER(MATCH(B217,Calendar!$A$2:$A$25,0)),0,1)</f>
        <v>0</v>
      </c>
      <c r="T217" s="42" t="n">
        <f aca="false">IF(COUNTIF(Sales_Transactions!$A$2:$A$865,A217)&gt;1,1,0)</f>
        <v>0</v>
      </c>
      <c r="U217" s="42" t="n">
        <f aca="false">IF(OR(ABS(Sales_Transactions!F217*Sales_Transactions!G217-Sales_Transactions!I217)&gt;0.01,ABS(Sales_Transactions!F217*Sales_Transactions!H217-Sales_Transactions!J217)&gt;0.01,ABS(Sales_Transactions!I217-Sales_Transactions!J217-Sales_Transactions!K217)&gt;0.01),1,0)</f>
        <v>0</v>
      </c>
      <c r="V217" s="42" t="n">
        <f aca="false">IF(C217&lt;&gt;L217,1,0)</f>
        <v>0</v>
      </c>
      <c r="W217" s="42" t="n">
        <f aca="false">IF(SUM(Q217:V217)&gt;0,1,0)</f>
        <v>0</v>
      </c>
    </row>
    <row r="218" customFormat="false" ht="15" hidden="false" customHeight="false" outlineLevel="0" collapsed="false">
      <c r="A218" s="42" t="str">
        <f aca="false">Sales_Transactions!A218</f>
        <v>INV-07-001</v>
      </c>
      <c r="B218" s="42" t="str">
        <f aca="false">Sales_Transactions!B218</f>
        <v>2025-07</v>
      </c>
      <c r="C218" s="42" t="str">
        <f aca="false">Sales_Transactions!C218</f>
        <v>Actual</v>
      </c>
      <c r="D218" s="42" t="str">
        <f aca="false">Sales_Transactions!D218</f>
        <v>C019</v>
      </c>
      <c r="E218" s="42" t="str">
        <f aca="false">Sales_Transactions!E218</f>
        <v>P007</v>
      </c>
      <c r="F218" s="42" t="str">
        <f aca="false">IFERROR(INDEX(Customer_Master!$C$2:$C$49,MATCH(D218,Customer_Master!$A$2:$A$49,0)),"UNMATCHED")</f>
        <v>West</v>
      </c>
      <c r="G218" s="42" t="str">
        <f aca="false">IFERROR(INDEX(Customer_Master!$D$2:$D$49,MATCH(D218,Customer_Master!$A$2:$A$49,0)),"UNMATCHED")</f>
        <v>Distributor</v>
      </c>
      <c r="H218" s="42" t="str">
        <f aca="false">IFERROR(INDEX(Product_Master!$C$2:$C$9,MATCH(E218,Product_Master!$A$2:$A$9,0)),"UNMATCHED")</f>
        <v>Home Care</v>
      </c>
      <c r="I218" s="42" t="str">
        <f aca="false">IFERROR(INDEX(Product_Master!$B$2:$B$9,MATCH(E218,Product_Master!$A$2:$A$9,0)),"UNMATCHED")</f>
        <v>Floor Cleaner</v>
      </c>
      <c r="J218" s="42" t="n">
        <f aca="false">IFERROR(INDEX(Calendar!$B$2:$B$25,MATCH(B218,Calendar!$A$2:$A$25,0)),0)</f>
        <v>2025</v>
      </c>
      <c r="K218" s="42" t="n">
        <f aca="false">IFERROR(VALUE(RIGHT(B218,2)),0)</f>
        <v>7</v>
      </c>
      <c r="L218" s="42" t="str">
        <f aca="false">IFERROR(INDEX(Calendar!$E$2:$E$25,MATCH(B218,Calendar!$A$2:$A$25,0)),"UNMATCHED")</f>
        <v>Actual</v>
      </c>
      <c r="M218" s="42" t="n">
        <f aca="false">Sales_Transactions!F218</f>
        <v>360</v>
      </c>
      <c r="N218" s="52" t="n">
        <f aca="false">Sales_Transactions!I218</f>
        <v>67762.8</v>
      </c>
      <c r="O218" s="52" t="n">
        <f aca="false">Sales_Transactions!J218</f>
        <v>40957.2</v>
      </c>
      <c r="P218" s="52" t="n">
        <f aca="false">Sales_Transactions!K218</f>
        <v>26805.6</v>
      </c>
      <c r="Q218" s="42" t="n">
        <f aca="false">IF(ISNUMBER(MATCH(E218,Product_Master!$A$2:$A$9,0)),0,1)</f>
        <v>0</v>
      </c>
      <c r="R218" s="42" t="n">
        <f aca="false">IF(ISNUMBER(MATCH(D218,Customer_Master!$A$2:$A$49,0)),0,1)</f>
        <v>0</v>
      </c>
      <c r="S218" s="42" t="n">
        <f aca="false">IF(ISNUMBER(MATCH(B218,Calendar!$A$2:$A$25,0)),0,1)</f>
        <v>0</v>
      </c>
      <c r="T218" s="42" t="n">
        <f aca="false">IF(COUNTIF(Sales_Transactions!$A$2:$A$865,A218)&gt;1,1,0)</f>
        <v>0</v>
      </c>
      <c r="U218" s="42" t="n">
        <f aca="false">IF(OR(ABS(Sales_Transactions!F218*Sales_Transactions!G218-Sales_Transactions!I218)&gt;0.01,ABS(Sales_Transactions!F218*Sales_Transactions!H218-Sales_Transactions!J218)&gt;0.01,ABS(Sales_Transactions!I218-Sales_Transactions!J218-Sales_Transactions!K218)&gt;0.01),1,0)</f>
        <v>0</v>
      </c>
      <c r="V218" s="42" t="n">
        <f aca="false">IF(C218&lt;&gt;L218,1,0)</f>
        <v>0</v>
      </c>
      <c r="W218" s="42" t="n">
        <f aca="false">IF(SUM(Q218:V218)&gt;0,1,0)</f>
        <v>0</v>
      </c>
    </row>
    <row r="219" customFormat="false" ht="15" hidden="false" customHeight="false" outlineLevel="0" collapsed="false">
      <c r="A219" s="42" t="str">
        <f aca="false">Sales_Transactions!A219</f>
        <v>INV-07-002</v>
      </c>
      <c r="B219" s="42" t="str">
        <f aca="false">Sales_Transactions!B219</f>
        <v>2025-07</v>
      </c>
      <c r="C219" s="42" t="str">
        <f aca="false">Sales_Transactions!C219</f>
        <v>Actual</v>
      </c>
      <c r="D219" s="42" t="str">
        <f aca="false">Sales_Transactions!D219</f>
        <v>C026</v>
      </c>
      <c r="E219" s="42" t="str">
        <f aca="false">Sales_Transactions!E219</f>
        <v>P004</v>
      </c>
      <c r="F219" s="42" t="str">
        <f aca="false">IFERROR(INDEX(Customer_Master!$C$2:$C$49,MATCH(D219,Customer_Master!$A$2:$A$49,0)),"UNMATCHED")</f>
        <v>North</v>
      </c>
      <c r="G219" s="42" t="str">
        <f aca="false">IFERROR(INDEX(Customer_Master!$D$2:$D$49,MATCH(D219,Customer_Master!$A$2:$A$49,0)),"UNMATCHED")</f>
        <v>Modern Trade</v>
      </c>
      <c r="H219" s="42" t="str">
        <f aca="false">IFERROR(INDEX(Product_Master!$C$2:$C$9,MATCH(E219,Product_Master!$A$2:$A$9,0)),"UNMATCHED")</f>
        <v>Personal Care</v>
      </c>
      <c r="I219" s="42" t="str">
        <f aca="false">IFERROR(INDEX(Product_Master!$B$2:$B$9,MATCH(E219,Product_Master!$A$2:$A$9,0)),"UNMATCHED")</f>
        <v>Soap 4-pack</v>
      </c>
      <c r="J219" s="42" t="n">
        <f aca="false">IFERROR(INDEX(Calendar!$B$2:$B$25,MATCH(B219,Calendar!$A$2:$A$25,0)),0)</f>
        <v>2025</v>
      </c>
      <c r="K219" s="42" t="n">
        <f aca="false">IFERROR(VALUE(RIGHT(B219,2)),0)</f>
        <v>7</v>
      </c>
      <c r="L219" s="42" t="str">
        <f aca="false">IFERROR(INDEX(Calendar!$E$2:$E$25,MATCH(B219,Calendar!$A$2:$A$25,0)),"UNMATCHED")</f>
        <v>Actual</v>
      </c>
      <c r="M219" s="42" t="n">
        <f aca="false">Sales_Transactions!F219</f>
        <v>459</v>
      </c>
      <c r="N219" s="52" t="n">
        <f aca="false">Sales_Transactions!I219</f>
        <v>77676.57</v>
      </c>
      <c r="O219" s="52" t="n">
        <f aca="false">Sales_Transactions!J219</f>
        <v>44004.33</v>
      </c>
      <c r="P219" s="52" t="n">
        <f aca="false">Sales_Transactions!K219</f>
        <v>33672.24</v>
      </c>
      <c r="Q219" s="42" t="n">
        <f aca="false">IF(ISNUMBER(MATCH(E219,Product_Master!$A$2:$A$9,0)),0,1)</f>
        <v>0</v>
      </c>
      <c r="R219" s="42" t="n">
        <f aca="false">IF(ISNUMBER(MATCH(D219,Customer_Master!$A$2:$A$49,0)),0,1)</f>
        <v>0</v>
      </c>
      <c r="S219" s="42" t="n">
        <f aca="false">IF(ISNUMBER(MATCH(B219,Calendar!$A$2:$A$25,0)),0,1)</f>
        <v>0</v>
      </c>
      <c r="T219" s="42" t="n">
        <f aca="false">IF(COUNTIF(Sales_Transactions!$A$2:$A$865,A219)&gt;1,1,0)</f>
        <v>0</v>
      </c>
      <c r="U219" s="42" t="n">
        <f aca="false">IF(OR(ABS(Sales_Transactions!F219*Sales_Transactions!G219-Sales_Transactions!I219)&gt;0.01,ABS(Sales_Transactions!F219*Sales_Transactions!H219-Sales_Transactions!J219)&gt;0.01,ABS(Sales_Transactions!I219-Sales_Transactions!J219-Sales_Transactions!K219)&gt;0.01),1,0)</f>
        <v>0</v>
      </c>
      <c r="V219" s="42" t="n">
        <f aca="false">IF(C219&lt;&gt;L219,1,0)</f>
        <v>0</v>
      </c>
      <c r="W219" s="42" t="n">
        <f aca="false">IF(SUM(Q219:V219)&gt;0,1,0)</f>
        <v>0</v>
      </c>
    </row>
    <row r="220" customFormat="false" ht="15" hidden="false" customHeight="false" outlineLevel="0" collapsed="false">
      <c r="A220" s="42" t="str">
        <f aca="false">Sales_Transactions!A220</f>
        <v>INV-07-003</v>
      </c>
      <c r="B220" s="42" t="str">
        <f aca="false">Sales_Transactions!B220</f>
        <v>2025-07</v>
      </c>
      <c r="C220" s="42" t="str">
        <f aca="false">Sales_Transactions!C220</f>
        <v>Actual</v>
      </c>
      <c r="D220" s="42" t="str">
        <f aca="false">Sales_Transactions!D220</f>
        <v>C033</v>
      </c>
      <c r="E220" s="42" t="str">
        <f aca="false">Sales_Transactions!E220</f>
        <v>P001</v>
      </c>
      <c r="F220" s="42" t="str">
        <f aca="false">IFERROR(INDEX(Customer_Master!$C$2:$C$49,MATCH(D220,Customer_Master!$A$2:$A$49,0)),"UNMATCHED")</f>
        <v>South</v>
      </c>
      <c r="G220" s="42" t="str">
        <f aca="false">IFERROR(INDEX(Customer_Master!$D$2:$D$49,MATCH(D220,Customer_Master!$A$2:$A$49,0)),"UNMATCHED")</f>
        <v>Retail</v>
      </c>
      <c r="H220" s="42" t="str">
        <f aca="false">IFERROR(INDEX(Product_Master!$C$2:$C$9,MATCH(E220,Product_Master!$A$2:$A$9,0)),"UNMATCHED")</f>
        <v>Home Care</v>
      </c>
      <c r="I220" s="42" t="str">
        <f aca="false">IFERROR(INDEX(Product_Master!$B$2:$B$9,MATCH(E220,Product_Master!$A$2:$A$9,0)),"UNMATCHED")</f>
        <v>Detergent 1kg</v>
      </c>
      <c r="J220" s="42" t="n">
        <f aca="false">IFERROR(INDEX(Calendar!$B$2:$B$25,MATCH(B220,Calendar!$A$2:$A$25,0)),0)</f>
        <v>2025</v>
      </c>
      <c r="K220" s="42" t="n">
        <f aca="false">IFERROR(VALUE(RIGHT(B220,2)),0)</f>
        <v>7</v>
      </c>
      <c r="L220" s="42" t="str">
        <f aca="false">IFERROR(INDEX(Calendar!$E$2:$E$25,MATCH(B220,Calendar!$A$2:$A$25,0)),"UNMATCHED")</f>
        <v>Actual</v>
      </c>
      <c r="M220" s="42" t="n">
        <f aca="false">Sales_Transactions!F220</f>
        <v>210</v>
      </c>
      <c r="N220" s="52" t="n">
        <f aca="false">Sales_Transactions!I220</f>
        <v>44011.8</v>
      </c>
      <c r="O220" s="52" t="n">
        <f aca="false">Sales_Transactions!J220</f>
        <v>26898.9</v>
      </c>
      <c r="P220" s="52" t="n">
        <f aca="false">Sales_Transactions!K220</f>
        <v>17112.9</v>
      </c>
      <c r="Q220" s="42" t="n">
        <f aca="false">IF(ISNUMBER(MATCH(E220,Product_Master!$A$2:$A$9,0)),0,1)</f>
        <v>0</v>
      </c>
      <c r="R220" s="42" t="n">
        <f aca="false">IF(ISNUMBER(MATCH(D220,Customer_Master!$A$2:$A$49,0)),0,1)</f>
        <v>0</v>
      </c>
      <c r="S220" s="42" t="n">
        <f aca="false">IF(ISNUMBER(MATCH(B220,Calendar!$A$2:$A$25,0)),0,1)</f>
        <v>0</v>
      </c>
      <c r="T220" s="42" t="n">
        <f aca="false">IF(COUNTIF(Sales_Transactions!$A$2:$A$865,A220)&gt;1,1,0)</f>
        <v>0</v>
      </c>
      <c r="U220" s="42" t="n">
        <f aca="false">IF(OR(ABS(Sales_Transactions!F220*Sales_Transactions!G220-Sales_Transactions!I220)&gt;0.01,ABS(Sales_Transactions!F220*Sales_Transactions!H220-Sales_Transactions!J220)&gt;0.01,ABS(Sales_Transactions!I220-Sales_Transactions!J220-Sales_Transactions!K220)&gt;0.01),1,0)</f>
        <v>0</v>
      </c>
      <c r="V220" s="42" t="n">
        <f aca="false">IF(C220&lt;&gt;L220,1,0)</f>
        <v>0</v>
      </c>
      <c r="W220" s="42" t="n">
        <f aca="false">IF(SUM(Q220:V220)&gt;0,1,0)</f>
        <v>0</v>
      </c>
    </row>
    <row r="221" customFormat="false" ht="15" hidden="false" customHeight="false" outlineLevel="0" collapsed="false">
      <c r="A221" s="42" t="str">
        <f aca="false">Sales_Transactions!A221</f>
        <v>INV-07-004</v>
      </c>
      <c r="B221" s="42" t="str">
        <f aca="false">Sales_Transactions!B221</f>
        <v>2025-07</v>
      </c>
      <c r="C221" s="42" t="str">
        <f aca="false">Sales_Transactions!C221</f>
        <v>Actual</v>
      </c>
      <c r="D221" s="42" t="str">
        <f aca="false">Sales_Transactions!D221</f>
        <v>C040</v>
      </c>
      <c r="E221" s="42" t="str">
        <f aca="false">Sales_Transactions!E221</f>
        <v>P006</v>
      </c>
      <c r="F221" s="42" t="str">
        <f aca="false">IFERROR(INDEX(Customer_Master!$C$2:$C$49,MATCH(D221,Customer_Master!$A$2:$A$49,0)),"UNMATCHED")</f>
        <v>East</v>
      </c>
      <c r="G221" s="42" t="str">
        <f aca="false">IFERROR(INDEX(Customer_Master!$D$2:$D$49,MATCH(D221,Customer_Master!$A$2:$A$49,0)),"UNMATCHED")</f>
        <v>Distributor</v>
      </c>
      <c r="H221" s="42" t="str">
        <f aca="false">IFERROR(INDEX(Product_Master!$C$2:$C$9,MATCH(E221,Product_Master!$A$2:$A$9,0)),"UNMATCHED")</f>
        <v>Foods</v>
      </c>
      <c r="I221" s="42" t="str">
        <f aca="false">IFERROR(INDEX(Product_Master!$B$2:$B$9,MATCH(E221,Product_Master!$A$2:$A$9,0)),"UNMATCHED")</f>
        <v>Breakfast Cereal</v>
      </c>
      <c r="J221" s="42" t="n">
        <f aca="false">IFERROR(INDEX(Calendar!$B$2:$B$25,MATCH(B221,Calendar!$A$2:$A$25,0)),0)</f>
        <v>2025</v>
      </c>
      <c r="K221" s="42" t="n">
        <f aca="false">IFERROR(VALUE(RIGHT(B221,2)),0)</f>
        <v>7</v>
      </c>
      <c r="L221" s="42" t="str">
        <f aca="false">IFERROR(INDEX(Calendar!$E$2:$E$25,MATCH(B221,Calendar!$A$2:$A$25,0)),"UNMATCHED")</f>
        <v>Actual</v>
      </c>
      <c r="M221" s="42" t="n">
        <f aca="false">Sales_Transactions!F221</f>
        <v>315</v>
      </c>
      <c r="N221" s="52" t="n">
        <f aca="false">Sales_Transactions!I221</f>
        <v>74034.45</v>
      </c>
      <c r="O221" s="52" t="n">
        <f aca="false">Sales_Transactions!J221</f>
        <v>49914.9</v>
      </c>
      <c r="P221" s="52" t="n">
        <f aca="false">Sales_Transactions!K221</f>
        <v>24119.55</v>
      </c>
      <c r="Q221" s="42" t="n">
        <f aca="false">IF(ISNUMBER(MATCH(E221,Product_Master!$A$2:$A$9,0)),0,1)</f>
        <v>0</v>
      </c>
      <c r="R221" s="42" t="n">
        <f aca="false">IF(ISNUMBER(MATCH(D221,Customer_Master!$A$2:$A$49,0)),0,1)</f>
        <v>0</v>
      </c>
      <c r="S221" s="42" t="n">
        <f aca="false">IF(ISNUMBER(MATCH(B221,Calendar!$A$2:$A$25,0)),0,1)</f>
        <v>0</v>
      </c>
      <c r="T221" s="42" t="n">
        <f aca="false">IF(COUNTIF(Sales_Transactions!$A$2:$A$865,A221)&gt;1,1,0)</f>
        <v>0</v>
      </c>
      <c r="U221" s="42" t="n">
        <f aca="false">IF(OR(ABS(Sales_Transactions!F221*Sales_Transactions!G221-Sales_Transactions!I221)&gt;0.01,ABS(Sales_Transactions!F221*Sales_Transactions!H221-Sales_Transactions!J221)&gt;0.01,ABS(Sales_Transactions!I221-Sales_Transactions!J221-Sales_Transactions!K221)&gt;0.01),1,0)</f>
        <v>0</v>
      </c>
      <c r="V221" s="42" t="n">
        <f aca="false">IF(C221&lt;&gt;L221,1,0)</f>
        <v>0</v>
      </c>
      <c r="W221" s="42" t="n">
        <f aca="false">IF(SUM(Q221:V221)&gt;0,1,0)</f>
        <v>0</v>
      </c>
    </row>
    <row r="222" customFormat="false" ht="15" hidden="false" customHeight="false" outlineLevel="0" collapsed="false">
      <c r="A222" s="42" t="str">
        <f aca="false">Sales_Transactions!A222</f>
        <v>INV-07-005</v>
      </c>
      <c r="B222" s="42" t="str">
        <f aca="false">Sales_Transactions!B222</f>
        <v>2025-07</v>
      </c>
      <c r="C222" s="42" t="str">
        <f aca="false">Sales_Transactions!C222</f>
        <v>Actual</v>
      </c>
      <c r="D222" s="42" t="str">
        <f aca="false">Sales_Transactions!D222</f>
        <v>C047</v>
      </c>
      <c r="E222" s="42" t="str">
        <f aca="false">Sales_Transactions!E222</f>
        <v>P003</v>
      </c>
      <c r="F222" s="42" t="str">
        <f aca="false">IFERROR(INDEX(Customer_Master!$C$2:$C$49,MATCH(D222,Customer_Master!$A$2:$A$49,0)),"UNMATCHED")</f>
        <v>West</v>
      </c>
      <c r="G222" s="42" t="str">
        <f aca="false">IFERROR(INDEX(Customer_Master!$D$2:$D$49,MATCH(D222,Customer_Master!$A$2:$A$49,0)),"UNMATCHED")</f>
        <v>Modern Trade</v>
      </c>
      <c r="H222" s="42" t="str">
        <f aca="false">IFERROR(INDEX(Product_Master!$C$2:$C$9,MATCH(E222,Product_Master!$A$2:$A$9,0)),"UNMATCHED")</f>
        <v>Personal Care</v>
      </c>
      <c r="I222" s="42" t="str">
        <f aca="false">IFERROR(INDEX(Product_Master!$B$2:$B$9,MATCH(E222,Product_Master!$A$2:$A$9,0)),"UNMATCHED")</f>
        <v>Shampoo 400ml</v>
      </c>
      <c r="J222" s="42" t="n">
        <f aca="false">IFERROR(INDEX(Calendar!$B$2:$B$25,MATCH(B222,Calendar!$A$2:$A$25,0)),0)</f>
        <v>2025</v>
      </c>
      <c r="K222" s="42" t="n">
        <f aca="false">IFERROR(VALUE(RIGHT(B222,2)),0)</f>
        <v>7</v>
      </c>
      <c r="L222" s="42" t="str">
        <f aca="false">IFERROR(INDEX(Calendar!$E$2:$E$25,MATCH(B222,Calendar!$A$2:$A$25,0)),"UNMATCHED")</f>
        <v>Actual</v>
      </c>
      <c r="M222" s="42" t="n">
        <f aca="false">Sales_Transactions!F222</f>
        <v>397</v>
      </c>
      <c r="N222" s="52" t="n">
        <f aca="false">Sales_Transactions!I222</f>
        <v>108587.44</v>
      </c>
      <c r="O222" s="52" t="n">
        <f aca="false">Sales_Transactions!J222</f>
        <v>67910.82</v>
      </c>
      <c r="P222" s="52" t="n">
        <f aca="false">Sales_Transactions!K222</f>
        <v>40676.62</v>
      </c>
      <c r="Q222" s="42" t="n">
        <f aca="false">IF(ISNUMBER(MATCH(E222,Product_Master!$A$2:$A$9,0)),0,1)</f>
        <v>0</v>
      </c>
      <c r="R222" s="42" t="n">
        <f aca="false">IF(ISNUMBER(MATCH(D222,Customer_Master!$A$2:$A$49,0)),0,1)</f>
        <v>0</v>
      </c>
      <c r="S222" s="42" t="n">
        <f aca="false">IF(ISNUMBER(MATCH(B222,Calendar!$A$2:$A$25,0)),0,1)</f>
        <v>0</v>
      </c>
      <c r="T222" s="42" t="n">
        <f aca="false">IF(COUNTIF(Sales_Transactions!$A$2:$A$865,A222)&gt;1,1,0)</f>
        <v>0</v>
      </c>
      <c r="U222" s="42" t="n">
        <f aca="false">IF(OR(ABS(Sales_Transactions!F222*Sales_Transactions!G222-Sales_Transactions!I222)&gt;0.01,ABS(Sales_Transactions!F222*Sales_Transactions!H222-Sales_Transactions!J222)&gt;0.01,ABS(Sales_Transactions!I222-Sales_Transactions!J222-Sales_Transactions!K222)&gt;0.01),1,0)</f>
        <v>0</v>
      </c>
      <c r="V222" s="42" t="n">
        <f aca="false">IF(C222&lt;&gt;L222,1,0)</f>
        <v>0</v>
      </c>
      <c r="W222" s="42" t="n">
        <f aca="false">IF(SUM(Q222:V222)&gt;0,1,0)</f>
        <v>0</v>
      </c>
    </row>
    <row r="223" customFormat="false" ht="15" hidden="false" customHeight="false" outlineLevel="0" collapsed="false">
      <c r="A223" s="42" t="str">
        <f aca="false">Sales_Transactions!A223</f>
        <v>INV-07-006</v>
      </c>
      <c r="B223" s="42" t="str">
        <f aca="false">Sales_Transactions!B223</f>
        <v>2025-07</v>
      </c>
      <c r="C223" s="42" t="str">
        <f aca="false">Sales_Transactions!C223</f>
        <v>Actual</v>
      </c>
      <c r="D223" s="42" t="str">
        <f aca="false">Sales_Transactions!D223</f>
        <v>C006</v>
      </c>
      <c r="E223" s="42" t="str">
        <f aca="false">Sales_Transactions!E223</f>
        <v>P008</v>
      </c>
      <c r="F223" s="42" t="str">
        <f aca="false">IFERROR(INDEX(Customer_Master!$C$2:$C$49,MATCH(D223,Customer_Master!$A$2:$A$49,0)),"UNMATCHED")</f>
        <v>North</v>
      </c>
      <c r="G223" s="42" t="str">
        <f aca="false">IFERROR(INDEX(Customer_Master!$D$2:$D$49,MATCH(D223,Customer_Master!$A$2:$A$49,0)),"UNMATCHED")</f>
        <v>Retail</v>
      </c>
      <c r="H223" s="42" t="str">
        <f aca="false">IFERROR(INDEX(Product_Master!$C$2:$C$9,MATCH(E223,Product_Master!$A$2:$A$9,0)),"UNMATCHED")</f>
        <v>Personal Care</v>
      </c>
      <c r="I223" s="42" t="str">
        <f aca="false">IFERROR(INDEX(Product_Master!$B$2:$B$9,MATCH(E223,Product_Master!$A$2:$A$9,0)),"UNMATCHED")</f>
        <v>Body Lotion</v>
      </c>
      <c r="J223" s="42" t="n">
        <f aca="false">IFERROR(INDEX(Calendar!$B$2:$B$25,MATCH(B223,Calendar!$A$2:$A$25,0)),0)</f>
        <v>2025</v>
      </c>
      <c r="K223" s="42" t="n">
        <f aca="false">IFERROR(VALUE(RIGHT(B223,2)),0)</f>
        <v>7</v>
      </c>
      <c r="L223" s="42" t="str">
        <f aca="false">IFERROR(INDEX(Calendar!$E$2:$E$25,MATCH(B223,Calendar!$A$2:$A$25,0)),"UNMATCHED")</f>
        <v>Actual</v>
      </c>
      <c r="M223" s="42" t="n">
        <f aca="false">Sales_Transactions!F223</f>
        <v>338</v>
      </c>
      <c r="N223" s="52" t="n">
        <f aca="false">Sales_Transactions!I223</f>
        <v>109917.6</v>
      </c>
      <c r="O223" s="52" t="n">
        <f aca="false">Sales_Transactions!J223</f>
        <v>67035.54</v>
      </c>
      <c r="P223" s="52" t="n">
        <f aca="false">Sales_Transactions!K223</f>
        <v>42882.06</v>
      </c>
      <c r="Q223" s="42" t="n">
        <f aca="false">IF(ISNUMBER(MATCH(E223,Product_Master!$A$2:$A$9,0)),0,1)</f>
        <v>0</v>
      </c>
      <c r="R223" s="42" t="n">
        <f aca="false">IF(ISNUMBER(MATCH(D223,Customer_Master!$A$2:$A$49,0)),0,1)</f>
        <v>0</v>
      </c>
      <c r="S223" s="42" t="n">
        <f aca="false">IF(ISNUMBER(MATCH(B223,Calendar!$A$2:$A$25,0)),0,1)</f>
        <v>0</v>
      </c>
      <c r="T223" s="42" t="n">
        <f aca="false">IF(COUNTIF(Sales_Transactions!$A$2:$A$865,A223)&gt;1,1,0)</f>
        <v>0</v>
      </c>
      <c r="U223" s="42" t="n">
        <f aca="false">IF(OR(ABS(Sales_Transactions!F223*Sales_Transactions!G223-Sales_Transactions!I223)&gt;0.01,ABS(Sales_Transactions!F223*Sales_Transactions!H223-Sales_Transactions!J223)&gt;0.01,ABS(Sales_Transactions!I223-Sales_Transactions!J223-Sales_Transactions!K223)&gt;0.01),1,0)</f>
        <v>0</v>
      </c>
      <c r="V223" s="42" t="n">
        <f aca="false">IF(C223&lt;&gt;L223,1,0)</f>
        <v>0</v>
      </c>
      <c r="W223" s="42" t="n">
        <f aca="false">IF(SUM(Q223:V223)&gt;0,1,0)</f>
        <v>0</v>
      </c>
    </row>
    <row r="224" customFormat="false" ht="15" hidden="false" customHeight="false" outlineLevel="0" collapsed="false">
      <c r="A224" s="42" t="str">
        <f aca="false">Sales_Transactions!A224</f>
        <v>INV-07-007</v>
      </c>
      <c r="B224" s="42" t="str">
        <f aca="false">Sales_Transactions!B224</f>
        <v>2025-07</v>
      </c>
      <c r="C224" s="42" t="str">
        <f aca="false">Sales_Transactions!C224</f>
        <v>Actual</v>
      </c>
      <c r="D224" s="42" t="str">
        <f aca="false">Sales_Transactions!D224</f>
        <v>C013</v>
      </c>
      <c r="E224" s="42" t="str">
        <f aca="false">Sales_Transactions!E224</f>
        <v>P005</v>
      </c>
      <c r="F224" s="42" t="str">
        <f aca="false">IFERROR(INDEX(Customer_Master!$C$2:$C$49,MATCH(D224,Customer_Master!$A$2:$A$49,0)),"UNMATCHED")</f>
        <v>South</v>
      </c>
      <c r="G224" s="42" t="str">
        <f aca="false">IFERROR(INDEX(Customer_Master!$D$2:$D$49,MATCH(D224,Customer_Master!$A$2:$A$49,0)),"UNMATCHED")</f>
        <v>Distributor</v>
      </c>
      <c r="H224" s="42" t="str">
        <f aca="false">IFERROR(INDEX(Product_Master!$C$2:$C$9,MATCH(E224,Product_Master!$A$2:$A$9,0)),"UNMATCHED")</f>
        <v>Foods</v>
      </c>
      <c r="I224" s="42" t="str">
        <f aca="false">IFERROR(INDEX(Product_Master!$B$2:$B$9,MATCH(E224,Product_Master!$A$2:$A$9,0)),"UNMATCHED")</f>
        <v>Biscuits 500g</v>
      </c>
      <c r="J224" s="42" t="n">
        <f aca="false">IFERROR(INDEX(Calendar!$B$2:$B$25,MATCH(B224,Calendar!$A$2:$A$25,0)),0)</f>
        <v>2025</v>
      </c>
      <c r="K224" s="42" t="n">
        <f aca="false">IFERROR(VALUE(RIGHT(B224,2)),0)</f>
        <v>7</v>
      </c>
      <c r="L224" s="42" t="str">
        <f aca="false">IFERROR(INDEX(Calendar!$E$2:$E$25,MATCH(B224,Calendar!$A$2:$A$25,0)),"UNMATCHED")</f>
        <v>Actual</v>
      </c>
      <c r="M224" s="42" t="n">
        <f aca="false">Sales_Transactions!F224</f>
        <v>193</v>
      </c>
      <c r="N224" s="52" t="n">
        <f aca="false">Sales_Transactions!I224</f>
        <v>19873.21</v>
      </c>
      <c r="O224" s="52" t="n">
        <f aca="false">Sales_Transactions!J224</f>
        <v>12815.2</v>
      </c>
      <c r="P224" s="52" t="n">
        <f aca="false">Sales_Transactions!K224</f>
        <v>7058.01</v>
      </c>
      <c r="Q224" s="42" t="n">
        <f aca="false">IF(ISNUMBER(MATCH(E224,Product_Master!$A$2:$A$9,0)),0,1)</f>
        <v>0</v>
      </c>
      <c r="R224" s="42" t="n">
        <f aca="false">IF(ISNUMBER(MATCH(D224,Customer_Master!$A$2:$A$49,0)),0,1)</f>
        <v>0</v>
      </c>
      <c r="S224" s="42" t="n">
        <f aca="false">IF(ISNUMBER(MATCH(B224,Calendar!$A$2:$A$25,0)),0,1)</f>
        <v>0</v>
      </c>
      <c r="T224" s="42" t="n">
        <f aca="false">IF(COUNTIF(Sales_Transactions!$A$2:$A$865,A224)&gt;1,1,0)</f>
        <v>0</v>
      </c>
      <c r="U224" s="42" t="n">
        <f aca="false">IF(OR(ABS(Sales_Transactions!F224*Sales_Transactions!G224-Sales_Transactions!I224)&gt;0.01,ABS(Sales_Transactions!F224*Sales_Transactions!H224-Sales_Transactions!J224)&gt;0.01,ABS(Sales_Transactions!I224-Sales_Transactions!J224-Sales_Transactions!K224)&gt;0.01),1,0)</f>
        <v>0</v>
      </c>
      <c r="V224" s="42" t="n">
        <f aca="false">IF(C224&lt;&gt;L224,1,0)</f>
        <v>0</v>
      </c>
      <c r="W224" s="42" t="n">
        <f aca="false">IF(SUM(Q224:V224)&gt;0,1,0)</f>
        <v>0</v>
      </c>
    </row>
    <row r="225" customFormat="false" ht="15" hidden="false" customHeight="false" outlineLevel="0" collapsed="false">
      <c r="A225" s="42" t="str">
        <f aca="false">Sales_Transactions!A225</f>
        <v>INV-07-008</v>
      </c>
      <c r="B225" s="42" t="str">
        <f aca="false">Sales_Transactions!B225</f>
        <v>2025-07</v>
      </c>
      <c r="C225" s="42" t="str">
        <f aca="false">Sales_Transactions!C225</f>
        <v>Actual</v>
      </c>
      <c r="D225" s="42" t="str">
        <f aca="false">Sales_Transactions!D225</f>
        <v>C020</v>
      </c>
      <c r="E225" s="42" t="str">
        <f aca="false">Sales_Transactions!E225</f>
        <v>P002</v>
      </c>
      <c r="F225" s="42" t="str">
        <f aca="false">IFERROR(INDEX(Customer_Master!$C$2:$C$49,MATCH(D225,Customer_Master!$A$2:$A$49,0)),"UNMATCHED")</f>
        <v>East</v>
      </c>
      <c r="G225" s="42" t="str">
        <f aca="false">IFERROR(INDEX(Customer_Master!$D$2:$D$49,MATCH(D225,Customer_Master!$A$2:$A$49,0)),"UNMATCHED")</f>
        <v>Modern Trade</v>
      </c>
      <c r="H225" s="42" t="str">
        <f aca="false">IFERROR(INDEX(Product_Master!$C$2:$C$9,MATCH(E225,Product_Master!$A$2:$A$9,0)),"UNMATCHED")</f>
        <v>Home Care</v>
      </c>
      <c r="I225" s="42" t="str">
        <f aca="false">IFERROR(INDEX(Product_Master!$B$2:$B$9,MATCH(E225,Product_Master!$A$2:$A$9,0)),"UNMATCHED")</f>
        <v>Dishwash Gel</v>
      </c>
      <c r="J225" s="42" t="n">
        <f aca="false">IFERROR(INDEX(Calendar!$B$2:$B$25,MATCH(B225,Calendar!$A$2:$A$25,0)),0)</f>
        <v>2025</v>
      </c>
      <c r="K225" s="42" t="n">
        <f aca="false">IFERROR(VALUE(RIGHT(B225,2)),0)</f>
        <v>7</v>
      </c>
      <c r="L225" s="42" t="str">
        <f aca="false">IFERROR(INDEX(Calendar!$E$2:$E$25,MATCH(B225,Calendar!$A$2:$A$25,0)),"UNMATCHED")</f>
        <v>Actual</v>
      </c>
      <c r="M225" s="42" t="n">
        <f aca="false">Sales_Transactions!F225</f>
        <v>228</v>
      </c>
      <c r="N225" s="52" t="n">
        <f aca="false">Sales_Transactions!I225</f>
        <v>33205.92</v>
      </c>
      <c r="O225" s="52" t="n">
        <f aca="false">Sales_Transactions!J225</f>
        <v>19521.36</v>
      </c>
      <c r="P225" s="52" t="n">
        <f aca="false">Sales_Transactions!K225</f>
        <v>13684.56</v>
      </c>
      <c r="Q225" s="42" t="n">
        <f aca="false">IF(ISNUMBER(MATCH(E225,Product_Master!$A$2:$A$9,0)),0,1)</f>
        <v>0</v>
      </c>
      <c r="R225" s="42" t="n">
        <f aca="false">IF(ISNUMBER(MATCH(D225,Customer_Master!$A$2:$A$49,0)),0,1)</f>
        <v>0</v>
      </c>
      <c r="S225" s="42" t="n">
        <f aca="false">IF(ISNUMBER(MATCH(B225,Calendar!$A$2:$A$25,0)),0,1)</f>
        <v>0</v>
      </c>
      <c r="T225" s="42" t="n">
        <f aca="false">IF(COUNTIF(Sales_Transactions!$A$2:$A$865,A225)&gt;1,1,0)</f>
        <v>0</v>
      </c>
      <c r="U225" s="42" t="n">
        <f aca="false">IF(OR(ABS(Sales_Transactions!F225*Sales_Transactions!G225-Sales_Transactions!I225)&gt;0.01,ABS(Sales_Transactions!F225*Sales_Transactions!H225-Sales_Transactions!J225)&gt;0.01,ABS(Sales_Transactions!I225-Sales_Transactions!J225-Sales_Transactions!K225)&gt;0.01),1,0)</f>
        <v>0</v>
      </c>
      <c r="V225" s="42" t="n">
        <f aca="false">IF(C225&lt;&gt;L225,1,0)</f>
        <v>0</v>
      </c>
      <c r="W225" s="42" t="n">
        <f aca="false">IF(SUM(Q225:V225)&gt;0,1,0)</f>
        <v>0</v>
      </c>
    </row>
    <row r="226" customFormat="false" ht="15" hidden="false" customHeight="false" outlineLevel="0" collapsed="false">
      <c r="A226" s="42" t="str">
        <f aca="false">Sales_Transactions!A226</f>
        <v>INV-07-009</v>
      </c>
      <c r="B226" s="42" t="str">
        <f aca="false">Sales_Transactions!B226</f>
        <v>2025-07</v>
      </c>
      <c r="C226" s="42" t="str">
        <f aca="false">Sales_Transactions!C226</f>
        <v>Actual</v>
      </c>
      <c r="D226" s="42" t="str">
        <f aca="false">Sales_Transactions!D226</f>
        <v>C027</v>
      </c>
      <c r="E226" s="42" t="str">
        <f aca="false">Sales_Transactions!E226</f>
        <v>P007</v>
      </c>
      <c r="F226" s="42" t="str">
        <f aca="false">IFERROR(INDEX(Customer_Master!$C$2:$C$49,MATCH(D226,Customer_Master!$A$2:$A$49,0)),"UNMATCHED")</f>
        <v>West</v>
      </c>
      <c r="G226" s="42" t="str">
        <f aca="false">IFERROR(INDEX(Customer_Master!$D$2:$D$49,MATCH(D226,Customer_Master!$A$2:$A$49,0)),"UNMATCHED")</f>
        <v>Retail</v>
      </c>
      <c r="H226" s="42" t="str">
        <f aca="false">IFERROR(INDEX(Product_Master!$C$2:$C$9,MATCH(E226,Product_Master!$A$2:$A$9,0)),"UNMATCHED")</f>
        <v>Home Care</v>
      </c>
      <c r="I226" s="42" t="str">
        <f aca="false">IFERROR(INDEX(Product_Master!$B$2:$B$9,MATCH(E226,Product_Master!$A$2:$A$9,0)),"UNMATCHED")</f>
        <v>Floor Cleaner</v>
      </c>
      <c r="J226" s="42" t="n">
        <f aca="false">IFERROR(INDEX(Calendar!$B$2:$B$25,MATCH(B226,Calendar!$A$2:$A$25,0)),0)</f>
        <v>2025</v>
      </c>
      <c r="K226" s="42" t="n">
        <f aca="false">IFERROR(VALUE(RIGHT(B226,2)),0)</f>
        <v>7</v>
      </c>
      <c r="L226" s="42" t="str">
        <f aca="false">IFERROR(INDEX(Calendar!$E$2:$E$25,MATCH(B226,Calendar!$A$2:$A$25,0)),"UNMATCHED")</f>
        <v>Actual</v>
      </c>
      <c r="M226" s="42" t="n">
        <f aca="false">Sales_Transactions!F226</f>
        <v>226</v>
      </c>
      <c r="N226" s="52" t="n">
        <f aca="false">Sales_Transactions!I226</f>
        <v>41319.58</v>
      </c>
      <c r="O226" s="52" t="n">
        <f aca="false">Sales_Transactions!J226</f>
        <v>25867.96</v>
      </c>
      <c r="P226" s="52" t="n">
        <f aca="false">Sales_Transactions!K226</f>
        <v>15451.62</v>
      </c>
      <c r="Q226" s="42" t="n">
        <f aca="false">IF(ISNUMBER(MATCH(E226,Product_Master!$A$2:$A$9,0)),0,1)</f>
        <v>0</v>
      </c>
      <c r="R226" s="42" t="n">
        <f aca="false">IF(ISNUMBER(MATCH(D226,Customer_Master!$A$2:$A$49,0)),0,1)</f>
        <v>0</v>
      </c>
      <c r="S226" s="42" t="n">
        <f aca="false">IF(ISNUMBER(MATCH(B226,Calendar!$A$2:$A$25,0)),0,1)</f>
        <v>0</v>
      </c>
      <c r="T226" s="42" t="n">
        <f aca="false">IF(COUNTIF(Sales_Transactions!$A$2:$A$865,A226)&gt;1,1,0)</f>
        <v>0</v>
      </c>
      <c r="U226" s="42" t="n">
        <f aca="false">IF(OR(ABS(Sales_Transactions!F226*Sales_Transactions!G226-Sales_Transactions!I226)&gt;0.01,ABS(Sales_Transactions!F226*Sales_Transactions!H226-Sales_Transactions!J226)&gt;0.01,ABS(Sales_Transactions!I226-Sales_Transactions!J226-Sales_Transactions!K226)&gt;0.01),1,0)</f>
        <v>0</v>
      </c>
      <c r="V226" s="42" t="n">
        <f aca="false">IF(C226&lt;&gt;L226,1,0)</f>
        <v>0</v>
      </c>
      <c r="W226" s="42" t="n">
        <f aca="false">IF(SUM(Q226:V226)&gt;0,1,0)</f>
        <v>0</v>
      </c>
    </row>
    <row r="227" customFormat="false" ht="15" hidden="false" customHeight="false" outlineLevel="0" collapsed="false">
      <c r="A227" s="42" t="str">
        <f aca="false">Sales_Transactions!A227</f>
        <v>INV-07-010</v>
      </c>
      <c r="B227" s="42" t="str">
        <f aca="false">Sales_Transactions!B227</f>
        <v>2025-07</v>
      </c>
      <c r="C227" s="42" t="str">
        <f aca="false">Sales_Transactions!C227</f>
        <v>Actual</v>
      </c>
      <c r="D227" s="42" t="str">
        <f aca="false">Sales_Transactions!D227</f>
        <v>C034</v>
      </c>
      <c r="E227" s="42" t="str">
        <f aca="false">Sales_Transactions!E227</f>
        <v>P004</v>
      </c>
      <c r="F227" s="42" t="str">
        <f aca="false">IFERROR(INDEX(Customer_Master!$C$2:$C$49,MATCH(D227,Customer_Master!$A$2:$A$49,0)),"UNMATCHED")</f>
        <v>North</v>
      </c>
      <c r="G227" s="42" t="str">
        <f aca="false">IFERROR(INDEX(Customer_Master!$D$2:$D$49,MATCH(D227,Customer_Master!$A$2:$A$49,0)),"UNMATCHED")</f>
        <v>Distributor</v>
      </c>
      <c r="H227" s="42" t="str">
        <f aca="false">IFERROR(INDEX(Product_Master!$C$2:$C$9,MATCH(E227,Product_Master!$A$2:$A$9,0)),"UNMATCHED")</f>
        <v>Personal Care</v>
      </c>
      <c r="I227" s="42" t="str">
        <f aca="false">IFERROR(INDEX(Product_Master!$B$2:$B$9,MATCH(E227,Product_Master!$A$2:$A$9,0)),"UNMATCHED")</f>
        <v>Soap 4-pack</v>
      </c>
      <c r="J227" s="42" t="n">
        <f aca="false">IFERROR(INDEX(Calendar!$B$2:$B$25,MATCH(B227,Calendar!$A$2:$A$25,0)),0)</f>
        <v>2025</v>
      </c>
      <c r="K227" s="42" t="n">
        <f aca="false">IFERROR(VALUE(RIGHT(B227,2)),0)</f>
        <v>7</v>
      </c>
      <c r="L227" s="42" t="str">
        <f aca="false">IFERROR(INDEX(Calendar!$E$2:$E$25,MATCH(B227,Calendar!$A$2:$A$25,0)),"UNMATCHED")</f>
        <v>Actual</v>
      </c>
      <c r="M227" s="42" t="n">
        <f aca="false">Sales_Transactions!F227</f>
        <v>182</v>
      </c>
      <c r="N227" s="52" t="n">
        <f aca="false">Sales_Transactions!I227</f>
        <v>28701.4</v>
      </c>
      <c r="O227" s="52" t="n">
        <f aca="false">Sales_Transactions!J227</f>
        <v>18283.72</v>
      </c>
      <c r="P227" s="52" t="n">
        <f aca="false">Sales_Transactions!K227</f>
        <v>10417.68</v>
      </c>
      <c r="Q227" s="42" t="n">
        <f aca="false">IF(ISNUMBER(MATCH(E227,Product_Master!$A$2:$A$9,0)),0,1)</f>
        <v>0</v>
      </c>
      <c r="R227" s="42" t="n">
        <f aca="false">IF(ISNUMBER(MATCH(D227,Customer_Master!$A$2:$A$49,0)),0,1)</f>
        <v>0</v>
      </c>
      <c r="S227" s="42" t="n">
        <f aca="false">IF(ISNUMBER(MATCH(B227,Calendar!$A$2:$A$25,0)),0,1)</f>
        <v>0</v>
      </c>
      <c r="T227" s="42" t="n">
        <f aca="false">IF(COUNTIF(Sales_Transactions!$A$2:$A$865,A227)&gt;1,1,0)</f>
        <v>0</v>
      </c>
      <c r="U227" s="42" t="n">
        <f aca="false">IF(OR(ABS(Sales_Transactions!F227*Sales_Transactions!G227-Sales_Transactions!I227)&gt;0.01,ABS(Sales_Transactions!F227*Sales_Transactions!H227-Sales_Transactions!J227)&gt;0.01,ABS(Sales_Transactions!I227-Sales_Transactions!J227-Sales_Transactions!K227)&gt;0.01),1,0)</f>
        <v>0</v>
      </c>
      <c r="V227" s="42" t="n">
        <f aca="false">IF(C227&lt;&gt;L227,1,0)</f>
        <v>0</v>
      </c>
      <c r="W227" s="42" t="n">
        <f aca="false">IF(SUM(Q227:V227)&gt;0,1,0)</f>
        <v>0</v>
      </c>
    </row>
    <row r="228" customFormat="false" ht="15" hidden="false" customHeight="false" outlineLevel="0" collapsed="false">
      <c r="A228" s="42" t="str">
        <f aca="false">Sales_Transactions!A228</f>
        <v>INV-07-011</v>
      </c>
      <c r="B228" s="42" t="str">
        <f aca="false">Sales_Transactions!B228</f>
        <v>2025-07</v>
      </c>
      <c r="C228" s="42" t="str">
        <f aca="false">Sales_Transactions!C228</f>
        <v>Actual</v>
      </c>
      <c r="D228" s="42" t="str">
        <f aca="false">Sales_Transactions!D228</f>
        <v>C041</v>
      </c>
      <c r="E228" s="42" t="str">
        <f aca="false">Sales_Transactions!E228</f>
        <v>P001</v>
      </c>
      <c r="F228" s="42" t="str">
        <f aca="false">IFERROR(INDEX(Customer_Master!$C$2:$C$49,MATCH(D228,Customer_Master!$A$2:$A$49,0)),"UNMATCHED")</f>
        <v>South</v>
      </c>
      <c r="G228" s="42" t="str">
        <f aca="false">IFERROR(INDEX(Customer_Master!$D$2:$D$49,MATCH(D228,Customer_Master!$A$2:$A$49,0)),"UNMATCHED")</f>
        <v>Modern Trade</v>
      </c>
      <c r="H228" s="42" t="str">
        <f aca="false">IFERROR(INDEX(Product_Master!$C$2:$C$9,MATCH(E228,Product_Master!$A$2:$A$9,0)),"UNMATCHED")</f>
        <v>Home Care</v>
      </c>
      <c r="I228" s="42" t="str">
        <f aca="false">IFERROR(INDEX(Product_Master!$B$2:$B$9,MATCH(E228,Product_Master!$A$2:$A$9,0)),"UNMATCHED")</f>
        <v>Detergent 1kg</v>
      </c>
      <c r="J228" s="42" t="n">
        <f aca="false">IFERROR(INDEX(Calendar!$B$2:$B$25,MATCH(B228,Calendar!$A$2:$A$25,0)),0)</f>
        <v>2025</v>
      </c>
      <c r="K228" s="42" t="n">
        <f aca="false">IFERROR(VALUE(RIGHT(B228,2)),0)</f>
        <v>7</v>
      </c>
      <c r="L228" s="42" t="str">
        <f aca="false">IFERROR(INDEX(Calendar!$E$2:$E$25,MATCH(B228,Calendar!$A$2:$A$25,0)),"UNMATCHED")</f>
        <v>Actual</v>
      </c>
      <c r="M228" s="42" t="n">
        <f aca="false">Sales_Transactions!F228</f>
        <v>335</v>
      </c>
      <c r="N228" s="52" t="n">
        <f aca="false">Sales_Transactions!I228</f>
        <v>67690.1</v>
      </c>
      <c r="O228" s="52" t="n">
        <f aca="false">Sales_Transactions!J228</f>
        <v>43727.55</v>
      </c>
      <c r="P228" s="52" t="n">
        <f aca="false">Sales_Transactions!K228</f>
        <v>23962.55</v>
      </c>
      <c r="Q228" s="42" t="n">
        <f aca="false">IF(ISNUMBER(MATCH(E228,Product_Master!$A$2:$A$9,0)),0,1)</f>
        <v>0</v>
      </c>
      <c r="R228" s="42" t="n">
        <f aca="false">IF(ISNUMBER(MATCH(D228,Customer_Master!$A$2:$A$49,0)),0,1)</f>
        <v>0</v>
      </c>
      <c r="S228" s="42" t="n">
        <f aca="false">IF(ISNUMBER(MATCH(B228,Calendar!$A$2:$A$25,0)),0,1)</f>
        <v>0</v>
      </c>
      <c r="T228" s="42" t="n">
        <f aca="false">IF(COUNTIF(Sales_Transactions!$A$2:$A$865,A228)&gt;1,1,0)</f>
        <v>0</v>
      </c>
      <c r="U228" s="42" t="n">
        <f aca="false">IF(OR(ABS(Sales_Transactions!F228*Sales_Transactions!G228-Sales_Transactions!I228)&gt;0.01,ABS(Sales_Transactions!F228*Sales_Transactions!H228-Sales_Transactions!J228)&gt;0.01,ABS(Sales_Transactions!I228-Sales_Transactions!J228-Sales_Transactions!K228)&gt;0.01),1,0)</f>
        <v>0</v>
      </c>
      <c r="V228" s="42" t="n">
        <f aca="false">IF(C228&lt;&gt;L228,1,0)</f>
        <v>0</v>
      </c>
      <c r="W228" s="42" t="n">
        <f aca="false">IF(SUM(Q228:V228)&gt;0,1,0)</f>
        <v>0</v>
      </c>
    </row>
    <row r="229" customFormat="false" ht="15" hidden="false" customHeight="false" outlineLevel="0" collapsed="false">
      <c r="A229" s="42" t="str">
        <f aca="false">Sales_Transactions!A229</f>
        <v>INV-07-012</v>
      </c>
      <c r="B229" s="42" t="str">
        <f aca="false">Sales_Transactions!B229</f>
        <v>2025-07</v>
      </c>
      <c r="C229" s="42" t="str">
        <f aca="false">Sales_Transactions!C229</f>
        <v>Actual</v>
      </c>
      <c r="D229" s="42" t="str">
        <f aca="false">Sales_Transactions!D229</f>
        <v>C048</v>
      </c>
      <c r="E229" s="42" t="str">
        <f aca="false">Sales_Transactions!E229</f>
        <v>P006</v>
      </c>
      <c r="F229" s="42" t="str">
        <f aca="false">IFERROR(INDEX(Customer_Master!$C$2:$C$49,MATCH(D229,Customer_Master!$A$2:$A$49,0)),"UNMATCHED")</f>
        <v>East</v>
      </c>
      <c r="G229" s="42" t="str">
        <f aca="false">IFERROR(INDEX(Customer_Master!$D$2:$D$49,MATCH(D229,Customer_Master!$A$2:$A$49,0)),"UNMATCHED")</f>
        <v>Retail</v>
      </c>
      <c r="H229" s="42" t="str">
        <f aca="false">IFERROR(INDEX(Product_Master!$C$2:$C$9,MATCH(E229,Product_Master!$A$2:$A$9,0)),"UNMATCHED")</f>
        <v>Foods</v>
      </c>
      <c r="I229" s="42" t="str">
        <f aca="false">IFERROR(INDEX(Product_Master!$B$2:$B$9,MATCH(E229,Product_Master!$A$2:$A$9,0)),"UNMATCHED")</f>
        <v>Breakfast Cereal</v>
      </c>
      <c r="J229" s="42" t="n">
        <f aca="false">IFERROR(INDEX(Calendar!$B$2:$B$25,MATCH(B229,Calendar!$A$2:$A$25,0)),0)</f>
        <v>2025</v>
      </c>
      <c r="K229" s="42" t="n">
        <f aca="false">IFERROR(VALUE(RIGHT(B229,2)),0)</f>
        <v>7</v>
      </c>
      <c r="L229" s="42" t="str">
        <f aca="false">IFERROR(INDEX(Calendar!$E$2:$E$25,MATCH(B229,Calendar!$A$2:$A$25,0)),"UNMATCHED")</f>
        <v>Actual</v>
      </c>
      <c r="M229" s="42" t="n">
        <f aca="false">Sales_Transactions!F229</f>
        <v>328</v>
      </c>
      <c r="N229" s="52" t="n">
        <f aca="false">Sales_Transactions!I229</f>
        <v>81462.08</v>
      </c>
      <c r="O229" s="52" t="n">
        <f aca="false">Sales_Transactions!J229</f>
        <v>52135.6</v>
      </c>
      <c r="P229" s="52" t="n">
        <f aca="false">Sales_Transactions!K229</f>
        <v>29326.48</v>
      </c>
      <c r="Q229" s="42" t="n">
        <f aca="false">IF(ISNUMBER(MATCH(E229,Product_Master!$A$2:$A$9,0)),0,1)</f>
        <v>0</v>
      </c>
      <c r="R229" s="42" t="n">
        <f aca="false">IF(ISNUMBER(MATCH(D229,Customer_Master!$A$2:$A$49,0)),0,1)</f>
        <v>0</v>
      </c>
      <c r="S229" s="42" t="n">
        <f aca="false">IF(ISNUMBER(MATCH(B229,Calendar!$A$2:$A$25,0)),0,1)</f>
        <v>0</v>
      </c>
      <c r="T229" s="42" t="n">
        <f aca="false">IF(COUNTIF(Sales_Transactions!$A$2:$A$865,A229)&gt;1,1,0)</f>
        <v>0</v>
      </c>
      <c r="U229" s="42" t="n">
        <f aca="false">IF(OR(ABS(Sales_Transactions!F229*Sales_Transactions!G229-Sales_Transactions!I229)&gt;0.01,ABS(Sales_Transactions!F229*Sales_Transactions!H229-Sales_Transactions!J229)&gt;0.01,ABS(Sales_Transactions!I229-Sales_Transactions!J229-Sales_Transactions!K229)&gt;0.01),1,0)</f>
        <v>0</v>
      </c>
      <c r="V229" s="42" t="n">
        <f aca="false">IF(C229&lt;&gt;L229,1,0)</f>
        <v>0</v>
      </c>
      <c r="W229" s="42" t="n">
        <f aca="false">IF(SUM(Q229:V229)&gt;0,1,0)</f>
        <v>0</v>
      </c>
    </row>
    <row r="230" customFormat="false" ht="15" hidden="false" customHeight="false" outlineLevel="0" collapsed="false">
      <c r="A230" s="42" t="str">
        <f aca="false">Sales_Transactions!A230</f>
        <v>INV-07-013</v>
      </c>
      <c r="B230" s="42" t="str">
        <f aca="false">Sales_Transactions!B230</f>
        <v>2025-07</v>
      </c>
      <c r="C230" s="42" t="str">
        <f aca="false">Sales_Transactions!C230</f>
        <v>Actual</v>
      </c>
      <c r="D230" s="42" t="str">
        <f aca="false">Sales_Transactions!D230</f>
        <v>C007</v>
      </c>
      <c r="E230" s="42" t="str">
        <f aca="false">Sales_Transactions!E230</f>
        <v>P003</v>
      </c>
      <c r="F230" s="42" t="str">
        <f aca="false">IFERROR(INDEX(Customer_Master!$C$2:$C$49,MATCH(D230,Customer_Master!$A$2:$A$49,0)),"UNMATCHED")</f>
        <v>West</v>
      </c>
      <c r="G230" s="42" t="str">
        <f aca="false">IFERROR(INDEX(Customer_Master!$D$2:$D$49,MATCH(D230,Customer_Master!$A$2:$A$49,0)),"UNMATCHED")</f>
        <v>Distributor</v>
      </c>
      <c r="H230" s="42" t="str">
        <f aca="false">IFERROR(INDEX(Product_Master!$C$2:$C$9,MATCH(E230,Product_Master!$A$2:$A$9,0)),"UNMATCHED")</f>
        <v>Personal Care</v>
      </c>
      <c r="I230" s="42" t="str">
        <f aca="false">IFERROR(INDEX(Product_Master!$B$2:$B$9,MATCH(E230,Product_Master!$A$2:$A$9,0)),"UNMATCHED")</f>
        <v>Shampoo 400ml</v>
      </c>
      <c r="J230" s="42" t="n">
        <f aca="false">IFERROR(INDEX(Calendar!$B$2:$B$25,MATCH(B230,Calendar!$A$2:$A$25,0)),0)</f>
        <v>2025</v>
      </c>
      <c r="K230" s="42" t="n">
        <f aca="false">IFERROR(VALUE(RIGHT(B230,2)),0)</f>
        <v>7</v>
      </c>
      <c r="L230" s="42" t="str">
        <f aca="false">IFERROR(INDEX(Calendar!$E$2:$E$25,MATCH(B230,Calendar!$A$2:$A$25,0)),"UNMATCHED")</f>
        <v>Actual</v>
      </c>
      <c r="M230" s="42" t="n">
        <f aca="false">Sales_Transactions!F230</f>
        <v>93</v>
      </c>
      <c r="N230" s="52" t="n">
        <f aca="false">Sales_Transactions!I230</f>
        <v>23490.87</v>
      </c>
      <c r="O230" s="52" t="n">
        <f aca="false">Sales_Transactions!J230</f>
        <v>15690.03</v>
      </c>
      <c r="P230" s="52" t="n">
        <f aca="false">Sales_Transactions!K230</f>
        <v>7800.84</v>
      </c>
      <c r="Q230" s="42" t="n">
        <f aca="false">IF(ISNUMBER(MATCH(E230,Product_Master!$A$2:$A$9,0)),0,1)</f>
        <v>0</v>
      </c>
      <c r="R230" s="42" t="n">
        <f aca="false">IF(ISNUMBER(MATCH(D230,Customer_Master!$A$2:$A$49,0)),0,1)</f>
        <v>0</v>
      </c>
      <c r="S230" s="42" t="n">
        <f aca="false">IF(ISNUMBER(MATCH(B230,Calendar!$A$2:$A$25,0)),0,1)</f>
        <v>0</v>
      </c>
      <c r="T230" s="42" t="n">
        <f aca="false">IF(COUNTIF(Sales_Transactions!$A$2:$A$865,A230)&gt;1,1,0)</f>
        <v>0</v>
      </c>
      <c r="U230" s="42" t="n">
        <f aca="false">IF(OR(ABS(Sales_Transactions!F230*Sales_Transactions!G230-Sales_Transactions!I230)&gt;0.01,ABS(Sales_Transactions!F230*Sales_Transactions!H230-Sales_Transactions!J230)&gt;0.01,ABS(Sales_Transactions!I230-Sales_Transactions!J230-Sales_Transactions!K230)&gt;0.01),1,0)</f>
        <v>0</v>
      </c>
      <c r="V230" s="42" t="n">
        <f aca="false">IF(C230&lt;&gt;L230,1,0)</f>
        <v>0</v>
      </c>
      <c r="W230" s="42" t="n">
        <f aca="false">IF(SUM(Q230:V230)&gt;0,1,0)</f>
        <v>0</v>
      </c>
    </row>
    <row r="231" customFormat="false" ht="15" hidden="false" customHeight="false" outlineLevel="0" collapsed="false">
      <c r="A231" s="42" t="str">
        <f aca="false">Sales_Transactions!A231</f>
        <v>INV-07-014</v>
      </c>
      <c r="B231" s="42" t="str">
        <f aca="false">Sales_Transactions!B231</f>
        <v>2025-07</v>
      </c>
      <c r="C231" s="42" t="str">
        <f aca="false">Sales_Transactions!C231</f>
        <v>Actual</v>
      </c>
      <c r="D231" s="42" t="str">
        <f aca="false">Sales_Transactions!D231</f>
        <v>C014</v>
      </c>
      <c r="E231" s="42" t="str">
        <f aca="false">Sales_Transactions!E231</f>
        <v>P008</v>
      </c>
      <c r="F231" s="42" t="str">
        <f aca="false">IFERROR(INDEX(Customer_Master!$C$2:$C$49,MATCH(D231,Customer_Master!$A$2:$A$49,0)),"UNMATCHED")</f>
        <v>North</v>
      </c>
      <c r="G231" s="42" t="str">
        <f aca="false">IFERROR(INDEX(Customer_Master!$D$2:$D$49,MATCH(D231,Customer_Master!$A$2:$A$49,0)),"UNMATCHED")</f>
        <v>Modern Trade</v>
      </c>
      <c r="H231" s="42" t="str">
        <f aca="false">IFERROR(INDEX(Product_Master!$C$2:$C$9,MATCH(E231,Product_Master!$A$2:$A$9,0)),"UNMATCHED")</f>
        <v>Personal Care</v>
      </c>
      <c r="I231" s="42" t="str">
        <f aca="false">IFERROR(INDEX(Product_Master!$B$2:$B$9,MATCH(E231,Product_Master!$A$2:$A$9,0)),"UNMATCHED")</f>
        <v>Body Lotion</v>
      </c>
      <c r="J231" s="42" t="n">
        <f aca="false">IFERROR(INDEX(Calendar!$B$2:$B$25,MATCH(B231,Calendar!$A$2:$A$25,0)),0)</f>
        <v>2025</v>
      </c>
      <c r="K231" s="42" t="n">
        <f aca="false">IFERROR(VALUE(RIGHT(B231,2)),0)</f>
        <v>7</v>
      </c>
      <c r="L231" s="42" t="str">
        <f aca="false">IFERROR(INDEX(Calendar!$E$2:$E$25,MATCH(B231,Calendar!$A$2:$A$25,0)),"UNMATCHED")</f>
        <v>Actual</v>
      </c>
      <c r="M231" s="42" t="n">
        <f aca="false">Sales_Transactions!F231</f>
        <v>439</v>
      </c>
      <c r="N231" s="52" t="n">
        <f aca="false">Sales_Transactions!I231</f>
        <v>131493.67</v>
      </c>
      <c r="O231" s="52" t="n">
        <f aca="false">Sales_Transactions!J231</f>
        <v>92194.39</v>
      </c>
      <c r="P231" s="52" t="n">
        <f aca="false">Sales_Transactions!K231</f>
        <v>39299.28</v>
      </c>
      <c r="Q231" s="42" t="n">
        <f aca="false">IF(ISNUMBER(MATCH(E231,Product_Master!$A$2:$A$9,0)),0,1)</f>
        <v>0</v>
      </c>
      <c r="R231" s="42" t="n">
        <f aca="false">IF(ISNUMBER(MATCH(D231,Customer_Master!$A$2:$A$49,0)),0,1)</f>
        <v>0</v>
      </c>
      <c r="S231" s="42" t="n">
        <f aca="false">IF(ISNUMBER(MATCH(B231,Calendar!$A$2:$A$25,0)),0,1)</f>
        <v>0</v>
      </c>
      <c r="T231" s="42" t="n">
        <f aca="false">IF(COUNTIF(Sales_Transactions!$A$2:$A$865,A231)&gt;1,1,0)</f>
        <v>0</v>
      </c>
      <c r="U231" s="42" t="n">
        <f aca="false">IF(OR(ABS(Sales_Transactions!F231*Sales_Transactions!G231-Sales_Transactions!I231)&gt;0.01,ABS(Sales_Transactions!F231*Sales_Transactions!H231-Sales_Transactions!J231)&gt;0.01,ABS(Sales_Transactions!I231-Sales_Transactions!J231-Sales_Transactions!K231)&gt;0.01),1,0)</f>
        <v>0</v>
      </c>
      <c r="V231" s="42" t="n">
        <f aca="false">IF(C231&lt;&gt;L231,1,0)</f>
        <v>0</v>
      </c>
      <c r="W231" s="42" t="n">
        <f aca="false">IF(SUM(Q231:V231)&gt;0,1,0)</f>
        <v>0</v>
      </c>
    </row>
    <row r="232" customFormat="false" ht="15" hidden="false" customHeight="false" outlineLevel="0" collapsed="false">
      <c r="A232" s="42" t="str">
        <f aca="false">Sales_Transactions!A232</f>
        <v>INV-07-015</v>
      </c>
      <c r="B232" s="42" t="str">
        <f aca="false">Sales_Transactions!B232</f>
        <v>2025-07</v>
      </c>
      <c r="C232" s="42" t="str">
        <f aca="false">Sales_Transactions!C232</f>
        <v>Actual</v>
      </c>
      <c r="D232" s="42" t="str">
        <f aca="false">Sales_Transactions!D232</f>
        <v>C021</v>
      </c>
      <c r="E232" s="42" t="str">
        <f aca="false">Sales_Transactions!E232</f>
        <v>P005</v>
      </c>
      <c r="F232" s="42" t="str">
        <f aca="false">IFERROR(INDEX(Customer_Master!$C$2:$C$49,MATCH(D232,Customer_Master!$A$2:$A$49,0)),"UNMATCHED")</f>
        <v>South</v>
      </c>
      <c r="G232" s="42" t="str">
        <f aca="false">IFERROR(INDEX(Customer_Master!$D$2:$D$49,MATCH(D232,Customer_Master!$A$2:$A$49,0)),"UNMATCHED")</f>
        <v>Retail</v>
      </c>
      <c r="H232" s="42" t="str">
        <f aca="false">IFERROR(INDEX(Product_Master!$C$2:$C$9,MATCH(E232,Product_Master!$A$2:$A$9,0)),"UNMATCHED")</f>
        <v>Foods</v>
      </c>
      <c r="I232" s="42" t="str">
        <f aca="false">IFERROR(INDEX(Product_Master!$B$2:$B$9,MATCH(E232,Product_Master!$A$2:$A$9,0)),"UNMATCHED")</f>
        <v>Biscuits 500g</v>
      </c>
      <c r="J232" s="42" t="n">
        <f aca="false">IFERROR(INDEX(Calendar!$B$2:$B$25,MATCH(B232,Calendar!$A$2:$A$25,0)),0)</f>
        <v>2025</v>
      </c>
      <c r="K232" s="42" t="n">
        <f aca="false">IFERROR(VALUE(RIGHT(B232,2)),0)</f>
        <v>7</v>
      </c>
      <c r="L232" s="42" t="str">
        <f aca="false">IFERROR(INDEX(Calendar!$E$2:$E$25,MATCH(B232,Calendar!$A$2:$A$25,0)),"UNMATCHED")</f>
        <v>Actual</v>
      </c>
      <c r="M232" s="42" t="n">
        <f aca="false">Sales_Transactions!F232</f>
        <v>273</v>
      </c>
      <c r="N232" s="52" t="n">
        <f aca="false">Sales_Transactions!I232</f>
        <v>28574.91</v>
      </c>
      <c r="O232" s="52" t="n">
        <f aca="false">Sales_Transactions!J232</f>
        <v>18725.07</v>
      </c>
      <c r="P232" s="52" t="n">
        <f aca="false">Sales_Transactions!K232</f>
        <v>9849.84</v>
      </c>
      <c r="Q232" s="42" t="n">
        <f aca="false">IF(ISNUMBER(MATCH(E232,Product_Master!$A$2:$A$9,0)),0,1)</f>
        <v>0</v>
      </c>
      <c r="R232" s="42" t="n">
        <f aca="false">IF(ISNUMBER(MATCH(D232,Customer_Master!$A$2:$A$49,0)),0,1)</f>
        <v>0</v>
      </c>
      <c r="S232" s="42" t="n">
        <f aca="false">IF(ISNUMBER(MATCH(B232,Calendar!$A$2:$A$25,0)),0,1)</f>
        <v>0</v>
      </c>
      <c r="T232" s="42" t="n">
        <f aca="false">IF(COUNTIF(Sales_Transactions!$A$2:$A$865,A232)&gt;1,1,0)</f>
        <v>0</v>
      </c>
      <c r="U232" s="42" t="n">
        <f aca="false">IF(OR(ABS(Sales_Transactions!F232*Sales_Transactions!G232-Sales_Transactions!I232)&gt;0.01,ABS(Sales_Transactions!F232*Sales_Transactions!H232-Sales_Transactions!J232)&gt;0.01,ABS(Sales_Transactions!I232-Sales_Transactions!J232-Sales_Transactions!K232)&gt;0.01),1,0)</f>
        <v>0</v>
      </c>
      <c r="V232" s="42" t="n">
        <f aca="false">IF(C232&lt;&gt;L232,1,0)</f>
        <v>0</v>
      </c>
      <c r="W232" s="42" t="n">
        <f aca="false">IF(SUM(Q232:V232)&gt;0,1,0)</f>
        <v>0</v>
      </c>
    </row>
    <row r="233" customFormat="false" ht="15" hidden="false" customHeight="false" outlineLevel="0" collapsed="false">
      <c r="A233" s="42" t="str">
        <f aca="false">Sales_Transactions!A233</f>
        <v>INV-07-016</v>
      </c>
      <c r="B233" s="42" t="str">
        <f aca="false">Sales_Transactions!B233</f>
        <v>2025-07</v>
      </c>
      <c r="C233" s="42" t="str">
        <f aca="false">Sales_Transactions!C233</f>
        <v>Actual</v>
      </c>
      <c r="D233" s="42" t="str">
        <f aca="false">Sales_Transactions!D233</f>
        <v>C028</v>
      </c>
      <c r="E233" s="42" t="str">
        <f aca="false">Sales_Transactions!E233</f>
        <v>P002</v>
      </c>
      <c r="F233" s="42" t="str">
        <f aca="false">IFERROR(INDEX(Customer_Master!$C$2:$C$49,MATCH(D233,Customer_Master!$A$2:$A$49,0)),"UNMATCHED")</f>
        <v>East</v>
      </c>
      <c r="G233" s="42" t="str">
        <f aca="false">IFERROR(INDEX(Customer_Master!$D$2:$D$49,MATCH(D233,Customer_Master!$A$2:$A$49,0)),"UNMATCHED")</f>
        <v>Distributor</v>
      </c>
      <c r="H233" s="42" t="str">
        <f aca="false">IFERROR(INDEX(Product_Master!$C$2:$C$9,MATCH(E233,Product_Master!$A$2:$A$9,0)),"UNMATCHED")</f>
        <v>Home Care</v>
      </c>
      <c r="I233" s="42" t="str">
        <f aca="false">IFERROR(INDEX(Product_Master!$B$2:$B$9,MATCH(E233,Product_Master!$A$2:$A$9,0)),"UNMATCHED")</f>
        <v>Dishwash Gel</v>
      </c>
      <c r="J233" s="42" t="n">
        <f aca="false">IFERROR(INDEX(Calendar!$B$2:$B$25,MATCH(B233,Calendar!$A$2:$A$25,0)),0)</f>
        <v>2025</v>
      </c>
      <c r="K233" s="42" t="n">
        <f aca="false">IFERROR(VALUE(RIGHT(B233,2)),0)</f>
        <v>7</v>
      </c>
      <c r="L233" s="42" t="str">
        <f aca="false">IFERROR(INDEX(Calendar!$E$2:$E$25,MATCH(B233,Calendar!$A$2:$A$25,0)),"UNMATCHED")</f>
        <v>Actual</v>
      </c>
      <c r="M233" s="42" t="n">
        <f aca="false">Sales_Transactions!F233</f>
        <v>302</v>
      </c>
      <c r="N233" s="52" t="n">
        <f aca="false">Sales_Transactions!I233</f>
        <v>44647.68</v>
      </c>
      <c r="O233" s="52" t="n">
        <f aca="false">Sales_Transactions!J233</f>
        <v>25410.28</v>
      </c>
      <c r="P233" s="52" t="n">
        <f aca="false">Sales_Transactions!K233</f>
        <v>19237.4</v>
      </c>
      <c r="Q233" s="42" t="n">
        <f aca="false">IF(ISNUMBER(MATCH(E233,Product_Master!$A$2:$A$9,0)),0,1)</f>
        <v>0</v>
      </c>
      <c r="R233" s="42" t="n">
        <f aca="false">IF(ISNUMBER(MATCH(D233,Customer_Master!$A$2:$A$49,0)),0,1)</f>
        <v>0</v>
      </c>
      <c r="S233" s="42" t="n">
        <f aca="false">IF(ISNUMBER(MATCH(B233,Calendar!$A$2:$A$25,0)),0,1)</f>
        <v>0</v>
      </c>
      <c r="T233" s="42" t="n">
        <f aca="false">IF(COUNTIF(Sales_Transactions!$A$2:$A$865,A233)&gt;1,1,0)</f>
        <v>0</v>
      </c>
      <c r="U233" s="42" t="n">
        <f aca="false">IF(OR(ABS(Sales_Transactions!F233*Sales_Transactions!G233-Sales_Transactions!I233)&gt;0.01,ABS(Sales_Transactions!F233*Sales_Transactions!H233-Sales_Transactions!J233)&gt;0.01,ABS(Sales_Transactions!I233-Sales_Transactions!J233-Sales_Transactions!K233)&gt;0.01),1,0)</f>
        <v>0</v>
      </c>
      <c r="V233" s="42" t="n">
        <f aca="false">IF(C233&lt;&gt;L233,1,0)</f>
        <v>0</v>
      </c>
      <c r="W233" s="42" t="n">
        <f aca="false">IF(SUM(Q233:V233)&gt;0,1,0)</f>
        <v>0</v>
      </c>
    </row>
    <row r="234" customFormat="false" ht="15" hidden="false" customHeight="false" outlineLevel="0" collapsed="false">
      <c r="A234" s="42" t="str">
        <f aca="false">Sales_Transactions!A234</f>
        <v>INV-07-017</v>
      </c>
      <c r="B234" s="42" t="str">
        <f aca="false">Sales_Transactions!B234</f>
        <v>2025-07</v>
      </c>
      <c r="C234" s="42" t="str">
        <f aca="false">Sales_Transactions!C234</f>
        <v>Actual</v>
      </c>
      <c r="D234" s="42" t="str">
        <f aca="false">Sales_Transactions!D234</f>
        <v>C035</v>
      </c>
      <c r="E234" s="42" t="str">
        <f aca="false">Sales_Transactions!E234</f>
        <v>P007</v>
      </c>
      <c r="F234" s="42" t="str">
        <f aca="false">IFERROR(INDEX(Customer_Master!$C$2:$C$49,MATCH(D234,Customer_Master!$A$2:$A$49,0)),"UNMATCHED")</f>
        <v>West</v>
      </c>
      <c r="G234" s="42" t="str">
        <f aca="false">IFERROR(INDEX(Customer_Master!$D$2:$D$49,MATCH(D234,Customer_Master!$A$2:$A$49,0)),"UNMATCHED")</f>
        <v>Modern Trade</v>
      </c>
      <c r="H234" s="42" t="str">
        <f aca="false">IFERROR(INDEX(Product_Master!$C$2:$C$9,MATCH(E234,Product_Master!$A$2:$A$9,0)),"UNMATCHED")</f>
        <v>Home Care</v>
      </c>
      <c r="I234" s="42" t="str">
        <f aca="false">IFERROR(INDEX(Product_Master!$B$2:$B$9,MATCH(E234,Product_Master!$A$2:$A$9,0)),"UNMATCHED")</f>
        <v>Floor Cleaner</v>
      </c>
      <c r="J234" s="42" t="n">
        <f aca="false">IFERROR(INDEX(Calendar!$B$2:$B$25,MATCH(B234,Calendar!$A$2:$A$25,0)),0)</f>
        <v>2025</v>
      </c>
      <c r="K234" s="42" t="n">
        <f aca="false">IFERROR(VALUE(RIGHT(B234,2)),0)</f>
        <v>7</v>
      </c>
      <c r="L234" s="42" t="str">
        <f aca="false">IFERROR(INDEX(Calendar!$E$2:$E$25,MATCH(B234,Calendar!$A$2:$A$25,0)),"UNMATCHED")</f>
        <v>Actual</v>
      </c>
      <c r="M234" s="42" t="n">
        <f aca="false">Sales_Transactions!F234</f>
        <v>265</v>
      </c>
      <c r="N234" s="52" t="n">
        <f aca="false">Sales_Transactions!I234</f>
        <v>49411.9</v>
      </c>
      <c r="O234" s="52" t="n">
        <f aca="false">Sales_Transactions!J234</f>
        <v>29457.4</v>
      </c>
      <c r="P234" s="52" t="n">
        <f aca="false">Sales_Transactions!K234</f>
        <v>19954.5</v>
      </c>
      <c r="Q234" s="42" t="n">
        <f aca="false">IF(ISNUMBER(MATCH(E234,Product_Master!$A$2:$A$9,0)),0,1)</f>
        <v>0</v>
      </c>
      <c r="R234" s="42" t="n">
        <f aca="false">IF(ISNUMBER(MATCH(D234,Customer_Master!$A$2:$A$49,0)),0,1)</f>
        <v>0</v>
      </c>
      <c r="S234" s="42" t="n">
        <f aca="false">IF(ISNUMBER(MATCH(B234,Calendar!$A$2:$A$25,0)),0,1)</f>
        <v>0</v>
      </c>
      <c r="T234" s="42" t="n">
        <f aca="false">IF(COUNTIF(Sales_Transactions!$A$2:$A$865,A234)&gt;1,1,0)</f>
        <v>0</v>
      </c>
      <c r="U234" s="42" t="n">
        <f aca="false">IF(OR(ABS(Sales_Transactions!F234*Sales_Transactions!G234-Sales_Transactions!I234)&gt;0.01,ABS(Sales_Transactions!F234*Sales_Transactions!H234-Sales_Transactions!J234)&gt;0.01,ABS(Sales_Transactions!I234-Sales_Transactions!J234-Sales_Transactions!K234)&gt;0.01),1,0)</f>
        <v>0</v>
      </c>
      <c r="V234" s="42" t="n">
        <f aca="false">IF(C234&lt;&gt;L234,1,0)</f>
        <v>0</v>
      </c>
      <c r="W234" s="42" t="n">
        <f aca="false">IF(SUM(Q234:V234)&gt;0,1,0)</f>
        <v>0</v>
      </c>
    </row>
    <row r="235" customFormat="false" ht="15" hidden="false" customHeight="false" outlineLevel="0" collapsed="false">
      <c r="A235" s="42" t="str">
        <f aca="false">Sales_Transactions!A235</f>
        <v>INV-07-018</v>
      </c>
      <c r="B235" s="42" t="str">
        <f aca="false">Sales_Transactions!B235</f>
        <v>2025-07</v>
      </c>
      <c r="C235" s="42" t="str">
        <f aca="false">Sales_Transactions!C235</f>
        <v>Actual</v>
      </c>
      <c r="D235" s="42" t="str">
        <f aca="false">Sales_Transactions!D235</f>
        <v>C042</v>
      </c>
      <c r="E235" s="42" t="str">
        <f aca="false">Sales_Transactions!E235</f>
        <v>P004</v>
      </c>
      <c r="F235" s="42" t="str">
        <f aca="false">IFERROR(INDEX(Customer_Master!$C$2:$C$49,MATCH(D235,Customer_Master!$A$2:$A$49,0)),"UNMATCHED")</f>
        <v>North</v>
      </c>
      <c r="G235" s="42" t="str">
        <f aca="false">IFERROR(INDEX(Customer_Master!$D$2:$D$49,MATCH(D235,Customer_Master!$A$2:$A$49,0)),"UNMATCHED")</f>
        <v>Retail</v>
      </c>
      <c r="H235" s="42" t="str">
        <f aca="false">IFERROR(INDEX(Product_Master!$C$2:$C$9,MATCH(E235,Product_Master!$A$2:$A$9,0)),"UNMATCHED")</f>
        <v>Personal Care</v>
      </c>
      <c r="I235" s="42" t="str">
        <f aca="false">IFERROR(INDEX(Product_Master!$B$2:$B$9,MATCH(E235,Product_Master!$A$2:$A$9,0)),"UNMATCHED")</f>
        <v>Soap 4-pack</v>
      </c>
      <c r="J235" s="42" t="n">
        <f aca="false">IFERROR(INDEX(Calendar!$B$2:$B$25,MATCH(B235,Calendar!$A$2:$A$25,0)),0)</f>
        <v>2025</v>
      </c>
      <c r="K235" s="42" t="n">
        <f aca="false">IFERROR(VALUE(RIGHT(B235,2)),0)</f>
        <v>7</v>
      </c>
      <c r="L235" s="42" t="str">
        <f aca="false">IFERROR(INDEX(Calendar!$E$2:$E$25,MATCH(B235,Calendar!$A$2:$A$25,0)),"UNMATCHED")</f>
        <v>Actual</v>
      </c>
      <c r="M235" s="42" t="n">
        <f aca="false">Sales_Transactions!F235</f>
        <v>213</v>
      </c>
      <c r="N235" s="52" t="n">
        <f aca="false">Sales_Transactions!I235</f>
        <v>34290.87</v>
      </c>
      <c r="O235" s="52" t="n">
        <f aca="false">Sales_Transactions!J235</f>
        <v>21400.11</v>
      </c>
      <c r="P235" s="52" t="n">
        <f aca="false">Sales_Transactions!K235</f>
        <v>12890.76</v>
      </c>
      <c r="Q235" s="42" t="n">
        <f aca="false">IF(ISNUMBER(MATCH(E235,Product_Master!$A$2:$A$9,0)),0,1)</f>
        <v>0</v>
      </c>
      <c r="R235" s="42" t="n">
        <f aca="false">IF(ISNUMBER(MATCH(D235,Customer_Master!$A$2:$A$49,0)),0,1)</f>
        <v>0</v>
      </c>
      <c r="S235" s="42" t="n">
        <f aca="false">IF(ISNUMBER(MATCH(B235,Calendar!$A$2:$A$25,0)),0,1)</f>
        <v>0</v>
      </c>
      <c r="T235" s="42" t="n">
        <f aca="false">IF(COUNTIF(Sales_Transactions!$A$2:$A$865,A235)&gt;1,1,0)</f>
        <v>0</v>
      </c>
      <c r="U235" s="42" t="n">
        <f aca="false">IF(OR(ABS(Sales_Transactions!F235*Sales_Transactions!G235-Sales_Transactions!I235)&gt;0.01,ABS(Sales_Transactions!F235*Sales_Transactions!H235-Sales_Transactions!J235)&gt;0.01,ABS(Sales_Transactions!I235-Sales_Transactions!J235-Sales_Transactions!K235)&gt;0.01),1,0)</f>
        <v>0</v>
      </c>
      <c r="V235" s="42" t="n">
        <f aca="false">IF(C235&lt;&gt;L235,1,0)</f>
        <v>0</v>
      </c>
      <c r="W235" s="42" t="n">
        <f aca="false">IF(SUM(Q235:V235)&gt;0,1,0)</f>
        <v>0</v>
      </c>
    </row>
    <row r="236" customFormat="false" ht="15" hidden="false" customHeight="false" outlineLevel="0" collapsed="false">
      <c r="A236" s="42" t="str">
        <f aca="false">Sales_Transactions!A236</f>
        <v>INV-07-019</v>
      </c>
      <c r="B236" s="42" t="str">
        <f aca="false">Sales_Transactions!B236</f>
        <v>2025-07</v>
      </c>
      <c r="C236" s="42" t="str">
        <f aca="false">Sales_Transactions!C236</f>
        <v>Actual</v>
      </c>
      <c r="D236" s="42" t="str">
        <f aca="false">Sales_Transactions!D236</f>
        <v>C001</v>
      </c>
      <c r="E236" s="42" t="str">
        <f aca="false">Sales_Transactions!E236</f>
        <v>P001</v>
      </c>
      <c r="F236" s="42" t="str">
        <f aca="false">IFERROR(INDEX(Customer_Master!$C$2:$C$49,MATCH(D236,Customer_Master!$A$2:$A$49,0)),"UNMATCHED")</f>
        <v>South</v>
      </c>
      <c r="G236" s="42" t="str">
        <f aca="false">IFERROR(INDEX(Customer_Master!$D$2:$D$49,MATCH(D236,Customer_Master!$A$2:$A$49,0)),"UNMATCHED")</f>
        <v>Distributor</v>
      </c>
      <c r="H236" s="42" t="str">
        <f aca="false">IFERROR(INDEX(Product_Master!$C$2:$C$9,MATCH(E236,Product_Master!$A$2:$A$9,0)),"UNMATCHED")</f>
        <v>Home Care</v>
      </c>
      <c r="I236" s="42" t="str">
        <f aca="false">IFERROR(INDEX(Product_Master!$B$2:$B$9,MATCH(E236,Product_Master!$A$2:$A$9,0)),"UNMATCHED")</f>
        <v>Detergent 1kg</v>
      </c>
      <c r="J236" s="42" t="n">
        <f aca="false">IFERROR(INDEX(Calendar!$B$2:$B$25,MATCH(B236,Calendar!$A$2:$A$25,0)),0)</f>
        <v>2025</v>
      </c>
      <c r="K236" s="42" t="n">
        <f aca="false">IFERROR(VALUE(RIGHT(B236,2)),0)</f>
        <v>7</v>
      </c>
      <c r="L236" s="42" t="str">
        <f aca="false">IFERROR(INDEX(Calendar!$E$2:$E$25,MATCH(B236,Calendar!$A$2:$A$25,0)),"UNMATCHED")</f>
        <v>Actual</v>
      </c>
      <c r="M236" s="42" t="n">
        <f aca="false">Sales_Transactions!F236</f>
        <v>246</v>
      </c>
      <c r="N236" s="52" t="n">
        <f aca="false">Sales_Transactions!I236</f>
        <v>46779.36</v>
      </c>
      <c r="O236" s="52" t="n">
        <f aca="false">Sales_Transactions!J236</f>
        <v>33261.66</v>
      </c>
      <c r="P236" s="52" t="n">
        <f aca="false">Sales_Transactions!K236</f>
        <v>13517.7</v>
      </c>
      <c r="Q236" s="42" t="n">
        <f aca="false">IF(ISNUMBER(MATCH(E236,Product_Master!$A$2:$A$9,0)),0,1)</f>
        <v>0</v>
      </c>
      <c r="R236" s="42" t="n">
        <f aca="false">IF(ISNUMBER(MATCH(D236,Customer_Master!$A$2:$A$49,0)),0,1)</f>
        <v>0</v>
      </c>
      <c r="S236" s="42" t="n">
        <f aca="false">IF(ISNUMBER(MATCH(B236,Calendar!$A$2:$A$25,0)),0,1)</f>
        <v>0</v>
      </c>
      <c r="T236" s="42" t="n">
        <f aca="false">IF(COUNTIF(Sales_Transactions!$A$2:$A$865,A236)&gt;1,1,0)</f>
        <v>0</v>
      </c>
      <c r="U236" s="42" t="n">
        <f aca="false">IF(OR(ABS(Sales_Transactions!F236*Sales_Transactions!G236-Sales_Transactions!I236)&gt;0.01,ABS(Sales_Transactions!F236*Sales_Transactions!H236-Sales_Transactions!J236)&gt;0.01,ABS(Sales_Transactions!I236-Sales_Transactions!J236-Sales_Transactions!K236)&gt;0.01),1,0)</f>
        <v>0</v>
      </c>
      <c r="V236" s="42" t="n">
        <f aca="false">IF(C236&lt;&gt;L236,1,0)</f>
        <v>0</v>
      </c>
      <c r="W236" s="42" t="n">
        <f aca="false">IF(SUM(Q236:V236)&gt;0,1,0)</f>
        <v>0</v>
      </c>
    </row>
    <row r="237" customFormat="false" ht="15" hidden="false" customHeight="false" outlineLevel="0" collapsed="false">
      <c r="A237" s="42" t="str">
        <f aca="false">Sales_Transactions!A237</f>
        <v>INV-07-020</v>
      </c>
      <c r="B237" s="42" t="str">
        <f aca="false">Sales_Transactions!B237</f>
        <v>2025-07</v>
      </c>
      <c r="C237" s="42" t="str">
        <f aca="false">Sales_Transactions!C237</f>
        <v>Actual</v>
      </c>
      <c r="D237" s="42" t="str">
        <f aca="false">Sales_Transactions!D237</f>
        <v>C008</v>
      </c>
      <c r="E237" s="42" t="str">
        <f aca="false">Sales_Transactions!E237</f>
        <v>P006</v>
      </c>
      <c r="F237" s="42" t="str">
        <f aca="false">IFERROR(INDEX(Customer_Master!$C$2:$C$49,MATCH(D237,Customer_Master!$A$2:$A$49,0)),"UNMATCHED")</f>
        <v>East</v>
      </c>
      <c r="G237" s="42" t="str">
        <f aca="false">IFERROR(INDEX(Customer_Master!$D$2:$D$49,MATCH(D237,Customer_Master!$A$2:$A$49,0)),"UNMATCHED")</f>
        <v>Modern Trade</v>
      </c>
      <c r="H237" s="42" t="str">
        <f aca="false">IFERROR(INDEX(Product_Master!$C$2:$C$9,MATCH(E237,Product_Master!$A$2:$A$9,0)),"UNMATCHED")</f>
        <v>Foods</v>
      </c>
      <c r="I237" s="42" t="str">
        <f aca="false">IFERROR(INDEX(Product_Master!$B$2:$B$9,MATCH(E237,Product_Master!$A$2:$A$9,0)),"UNMATCHED")</f>
        <v>Breakfast Cereal</v>
      </c>
      <c r="J237" s="42" t="n">
        <f aca="false">IFERROR(INDEX(Calendar!$B$2:$B$25,MATCH(B237,Calendar!$A$2:$A$25,0)),0)</f>
        <v>2025</v>
      </c>
      <c r="K237" s="42" t="n">
        <f aca="false">IFERROR(VALUE(RIGHT(B237,2)),0)</f>
        <v>7</v>
      </c>
      <c r="L237" s="42" t="str">
        <f aca="false">IFERROR(INDEX(Calendar!$E$2:$E$25,MATCH(B237,Calendar!$A$2:$A$25,0)),"UNMATCHED")</f>
        <v>Actual</v>
      </c>
      <c r="M237" s="42" t="n">
        <f aca="false">Sales_Transactions!F237</f>
        <v>438</v>
      </c>
      <c r="N237" s="52" t="n">
        <f aca="false">Sales_Transactions!I237</f>
        <v>102093.42</v>
      </c>
      <c r="O237" s="52" t="n">
        <f aca="false">Sales_Transactions!J237</f>
        <v>67368.78</v>
      </c>
      <c r="P237" s="52" t="n">
        <f aca="false">Sales_Transactions!K237</f>
        <v>34724.64</v>
      </c>
      <c r="Q237" s="42" t="n">
        <f aca="false">IF(ISNUMBER(MATCH(E237,Product_Master!$A$2:$A$9,0)),0,1)</f>
        <v>0</v>
      </c>
      <c r="R237" s="42" t="n">
        <f aca="false">IF(ISNUMBER(MATCH(D237,Customer_Master!$A$2:$A$49,0)),0,1)</f>
        <v>0</v>
      </c>
      <c r="S237" s="42" t="n">
        <f aca="false">IF(ISNUMBER(MATCH(B237,Calendar!$A$2:$A$25,0)),0,1)</f>
        <v>0</v>
      </c>
      <c r="T237" s="42" t="n">
        <f aca="false">IF(COUNTIF(Sales_Transactions!$A$2:$A$865,A237)&gt;1,1,0)</f>
        <v>0</v>
      </c>
      <c r="U237" s="42" t="n">
        <f aca="false">IF(OR(ABS(Sales_Transactions!F237*Sales_Transactions!G237-Sales_Transactions!I237)&gt;0.01,ABS(Sales_Transactions!F237*Sales_Transactions!H237-Sales_Transactions!J237)&gt;0.01,ABS(Sales_Transactions!I237-Sales_Transactions!J237-Sales_Transactions!K237)&gt;0.01),1,0)</f>
        <v>0</v>
      </c>
      <c r="V237" s="42" t="n">
        <f aca="false">IF(C237&lt;&gt;L237,1,0)</f>
        <v>0</v>
      </c>
      <c r="W237" s="42" t="n">
        <f aca="false">IF(SUM(Q237:V237)&gt;0,1,0)</f>
        <v>0</v>
      </c>
    </row>
    <row r="238" customFormat="false" ht="15" hidden="false" customHeight="false" outlineLevel="0" collapsed="false">
      <c r="A238" s="42" t="str">
        <f aca="false">Sales_Transactions!A238</f>
        <v>INV-07-021</v>
      </c>
      <c r="B238" s="42" t="str">
        <f aca="false">Sales_Transactions!B238</f>
        <v>2025-07</v>
      </c>
      <c r="C238" s="42" t="str">
        <f aca="false">Sales_Transactions!C238</f>
        <v>Actual</v>
      </c>
      <c r="D238" s="42" t="str">
        <f aca="false">Sales_Transactions!D238</f>
        <v>C015</v>
      </c>
      <c r="E238" s="42" t="str">
        <f aca="false">Sales_Transactions!E238</f>
        <v>P003</v>
      </c>
      <c r="F238" s="42" t="str">
        <f aca="false">IFERROR(INDEX(Customer_Master!$C$2:$C$49,MATCH(D238,Customer_Master!$A$2:$A$49,0)),"UNMATCHED")</f>
        <v>West</v>
      </c>
      <c r="G238" s="42" t="str">
        <f aca="false">IFERROR(INDEX(Customer_Master!$D$2:$D$49,MATCH(D238,Customer_Master!$A$2:$A$49,0)),"UNMATCHED")</f>
        <v>Retail</v>
      </c>
      <c r="H238" s="42" t="str">
        <f aca="false">IFERROR(INDEX(Product_Master!$C$2:$C$9,MATCH(E238,Product_Master!$A$2:$A$9,0)),"UNMATCHED")</f>
        <v>Personal Care</v>
      </c>
      <c r="I238" s="42" t="str">
        <f aca="false">IFERROR(INDEX(Product_Master!$B$2:$B$9,MATCH(E238,Product_Master!$A$2:$A$9,0)),"UNMATCHED")</f>
        <v>Shampoo 400ml</v>
      </c>
      <c r="J238" s="42" t="n">
        <f aca="false">IFERROR(INDEX(Calendar!$B$2:$B$25,MATCH(B238,Calendar!$A$2:$A$25,0)),0)</f>
        <v>2025</v>
      </c>
      <c r="K238" s="42" t="n">
        <f aca="false">IFERROR(VALUE(RIGHT(B238,2)),0)</f>
        <v>7</v>
      </c>
      <c r="L238" s="42" t="str">
        <f aca="false">IFERROR(INDEX(Calendar!$E$2:$E$25,MATCH(B238,Calendar!$A$2:$A$25,0)),"UNMATCHED")</f>
        <v>Actual</v>
      </c>
      <c r="M238" s="42" t="n">
        <f aca="false">Sales_Transactions!F238</f>
        <v>332</v>
      </c>
      <c r="N238" s="52" t="n">
        <f aca="false">Sales_Transactions!I238</f>
        <v>86074.32</v>
      </c>
      <c r="O238" s="52" t="n">
        <f aca="false">Sales_Transactions!J238</f>
        <v>58518.32</v>
      </c>
      <c r="P238" s="52" t="n">
        <f aca="false">Sales_Transactions!K238</f>
        <v>27556</v>
      </c>
      <c r="Q238" s="42" t="n">
        <f aca="false">IF(ISNUMBER(MATCH(E238,Product_Master!$A$2:$A$9,0)),0,1)</f>
        <v>0</v>
      </c>
      <c r="R238" s="42" t="n">
        <f aca="false">IF(ISNUMBER(MATCH(D238,Customer_Master!$A$2:$A$49,0)),0,1)</f>
        <v>0</v>
      </c>
      <c r="S238" s="42" t="n">
        <f aca="false">IF(ISNUMBER(MATCH(B238,Calendar!$A$2:$A$25,0)),0,1)</f>
        <v>0</v>
      </c>
      <c r="T238" s="42" t="n">
        <f aca="false">IF(COUNTIF(Sales_Transactions!$A$2:$A$865,A238)&gt;1,1,0)</f>
        <v>0</v>
      </c>
      <c r="U238" s="42" t="n">
        <f aca="false">IF(OR(ABS(Sales_Transactions!F238*Sales_Transactions!G238-Sales_Transactions!I238)&gt;0.01,ABS(Sales_Transactions!F238*Sales_Transactions!H238-Sales_Transactions!J238)&gt;0.01,ABS(Sales_Transactions!I238-Sales_Transactions!J238-Sales_Transactions!K238)&gt;0.01),1,0)</f>
        <v>0</v>
      </c>
      <c r="V238" s="42" t="n">
        <f aca="false">IF(C238&lt;&gt;L238,1,0)</f>
        <v>0</v>
      </c>
      <c r="W238" s="42" t="n">
        <f aca="false">IF(SUM(Q238:V238)&gt;0,1,0)</f>
        <v>0</v>
      </c>
    </row>
    <row r="239" customFormat="false" ht="15" hidden="false" customHeight="false" outlineLevel="0" collapsed="false">
      <c r="A239" s="42" t="str">
        <f aca="false">Sales_Transactions!A239</f>
        <v>INV-07-022</v>
      </c>
      <c r="B239" s="42" t="str">
        <f aca="false">Sales_Transactions!B239</f>
        <v>2025-07</v>
      </c>
      <c r="C239" s="42" t="str">
        <f aca="false">Sales_Transactions!C239</f>
        <v>Actual</v>
      </c>
      <c r="D239" s="42" t="str">
        <f aca="false">Sales_Transactions!D239</f>
        <v>C022</v>
      </c>
      <c r="E239" s="42" t="str">
        <f aca="false">Sales_Transactions!E239</f>
        <v>P008</v>
      </c>
      <c r="F239" s="42" t="str">
        <f aca="false">IFERROR(INDEX(Customer_Master!$C$2:$C$49,MATCH(D239,Customer_Master!$A$2:$A$49,0)),"UNMATCHED")</f>
        <v>North</v>
      </c>
      <c r="G239" s="42" t="str">
        <f aca="false">IFERROR(INDEX(Customer_Master!$D$2:$D$49,MATCH(D239,Customer_Master!$A$2:$A$49,0)),"UNMATCHED")</f>
        <v>Distributor</v>
      </c>
      <c r="H239" s="42" t="str">
        <f aca="false">IFERROR(INDEX(Product_Master!$C$2:$C$9,MATCH(E239,Product_Master!$A$2:$A$9,0)),"UNMATCHED")</f>
        <v>Personal Care</v>
      </c>
      <c r="I239" s="42" t="str">
        <f aca="false">IFERROR(INDEX(Product_Master!$B$2:$B$9,MATCH(E239,Product_Master!$A$2:$A$9,0)),"UNMATCHED")</f>
        <v>Body Lotion</v>
      </c>
      <c r="J239" s="42" t="n">
        <f aca="false">IFERROR(INDEX(Calendar!$B$2:$B$25,MATCH(B239,Calendar!$A$2:$A$25,0)),0)</f>
        <v>2025</v>
      </c>
      <c r="K239" s="42" t="n">
        <f aca="false">IFERROR(VALUE(RIGHT(B239,2)),0)</f>
        <v>7</v>
      </c>
      <c r="L239" s="42" t="str">
        <f aca="false">IFERROR(INDEX(Calendar!$E$2:$E$25,MATCH(B239,Calendar!$A$2:$A$25,0)),"UNMATCHED")</f>
        <v>Actual</v>
      </c>
      <c r="M239" s="42" t="n">
        <f aca="false">Sales_Transactions!F239</f>
        <v>353</v>
      </c>
      <c r="N239" s="52" t="n">
        <f aca="false">Sales_Transactions!I239</f>
        <v>111004.38</v>
      </c>
      <c r="O239" s="52" t="n">
        <f aca="false">Sales_Transactions!J239</f>
        <v>76844.57</v>
      </c>
      <c r="P239" s="52" t="n">
        <f aca="false">Sales_Transactions!K239</f>
        <v>34159.81</v>
      </c>
      <c r="Q239" s="42" t="n">
        <f aca="false">IF(ISNUMBER(MATCH(E239,Product_Master!$A$2:$A$9,0)),0,1)</f>
        <v>0</v>
      </c>
      <c r="R239" s="42" t="n">
        <f aca="false">IF(ISNUMBER(MATCH(D239,Customer_Master!$A$2:$A$49,0)),0,1)</f>
        <v>0</v>
      </c>
      <c r="S239" s="42" t="n">
        <f aca="false">IF(ISNUMBER(MATCH(B239,Calendar!$A$2:$A$25,0)),0,1)</f>
        <v>0</v>
      </c>
      <c r="T239" s="42" t="n">
        <f aca="false">IF(COUNTIF(Sales_Transactions!$A$2:$A$865,A239)&gt;1,1,0)</f>
        <v>0</v>
      </c>
      <c r="U239" s="42" t="n">
        <f aca="false">IF(OR(ABS(Sales_Transactions!F239*Sales_Transactions!G239-Sales_Transactions!I239)&gt;0.01,ABS(Sales_Transactions!F239*Sales_Transactions!H239-Sales_Transactions!J239)&gt;0.01,ABS(Sales_Transactions!I239-Sales_Transactions!J239-Sales_Transactions!K239)&gt;0.01),1,0)</f>
        <v>0</v>
      </c>
      <c r="V239" s="42" t="n">
        <f aca="false">IF(C239&lt;&gt;L239,1,0)</f>
        <v>0</v>
      </c>
      <c r="W239" s="42" t="n">
        <f aca="false">IF(SUM(Q239:V239)&gt;0,1,0)</f>
        <v>0</v>
      </c>
    </row>
    <row r="240" customFormat="false" ht="15" hidden="false" customHeight="false" outlineLevel="0" collapsed="false">
      <c r="A240" s="42" t="str">
        <f aca="false">Sales_Transactions!A240</f>
        <v>INV-07-023</v>
      </c>
      <c r="B240" s="42" t="str">
        <f aca="false">Sales_Transactions!B240</f>
        <v>2025-07</v>
      </c>
      <c r="C240" s="42" t="str">
        <f aca="false">Sales_Transactions!C240</f>
        <v>Actual</v>
      </c>
      <c r="D240" s="42" t="str">
        <f aca="false">Sales_Transactions!D240</f>
        <v>C029</v>
      </c>
      <c r="E240" s="42" t="str">
        <f aca="false">Sales_Transactions!E240</f>
        <v>P005</v>
      </c>
      <c r="F240" s="42" t="str">
        <f aca="false">IFERROR(INDEX(Customer_Master!$C$2:$C$49,MATCH(D240,Customer_Master!$A$2:$A$49,0)),"UNMATCHED")</f>
        <v>South</v>
      </c>
      <c r="G240" s="42" t="str">
        <f aca="false">IFERROR(INDEX(Customer_Master!$D$2:$D$49,MATCH(D240,Customer_Master!$A$2:$A$49,0)),"UNMATCHED")</f>
        <v>Modern Trade</v>
      </c>
      <c r="H240" s="42" t="str">
        <f aca="false">IFERROR(INDEX(Product_Master!$C$2:$C$9,MATCH(E240,Product_Master!$A$2:$A$9,0)),"UNMATCHED")</f>
        <v>Foods</v>
      </c>
      <c r="I240" s="42" t="str">
        <f aca="false">IFERROR(INDEX(Product_Master!$B$2:$B$9,MATCH(E240,Product_Master!$A$2:$A$9,0)),"UNMATCHED")</f>
        <v>Biscuits 500g</v>
      </c>
      <c r="J240" s="42" t="n">
        <f aca="false">IFERROR(INDEX(Calendar!$B$2:$B$25,MATCH(B240,Calendar!$A$2:$A$25,0)),0)</f>
        <v>2025</v>
      </c>
      <c r="K240" s="42" t="n">
        <f aca="false">IFERROR(VALUE(RIGHT(B240,2)),0)</f>
        <v>7</v>
      </c>
      <c r="L240" s="42" t="str">
        <f aca="false">IFERROR(INDEX(Calendar!$E$2:$E$25,MATCH(B240,Calendar!$A$2:$A$25,0)),"UNMATCHED")</f>
        <v>Actual</v>
      </c>
      <c r="M240" s="42" t="n">
        <f aca="false">Sales_Transactions!F240</f>
        <v>184</v>
      </c>
      <c r="N240" s="52" t="n">
        <f aca="false">Sales_Transactions!I240</f>
        <v>18793.76</v>
      </c>
      <c r="O240" s="52" t="n">
        <f aca="false">Sales_Transactions!J240</f>
        <v>12368.48</v>
      </c>
      <c r="P240" s="52" t="n">
        <f aca="false">Sales_Transactions!K240</f>
        <v>6425.28</v>
      </c>
      <c r="Q240" s="42" t="n">
        <f aca="false">IF(ISNUMBER(MATCH(E240,Product_Master!$A$2:$A$9,0)),0,1)</f>
        <v>0</v>
      </c>
      <c r="R240" s="42" t="n">
        <f aca="false">IF(ISNUMBER(MATCH(D240,Customer_Master!$A$2:$A$49,0)),0,1)</f>
        <v>0</v>
      </c>
      <c r="S240" s="42" t="n">
        <f aca="false">IF(ISNUMBER(MATCH(B240,Calendar!$A$2:$A$25,0)),0,1)</f>
        <v>0</v>
      </c>
      <c r="T240" s="42" t="n">
        <f aca="false">IF(COUNTIF(Sales_Transactions!$A$2:$A$865,A240)&gt;1,1,0)</f>
        <v>0</v>
      </c>
      <c r="U240" s="42" t="n">
        <f aca="false">IF(OR(ABS(Sales_Transactions!F240*Sales_Transactions!G240-Sales_Transactions!I240)&gt;0.01,ABS(Sales_Transactions!F240*Sales_Transactions!H240-Sales_Transactions!J240)&gt;0.01,ABS(Sales_Transactions!I240-Sales_Transactions!J240-Sales_Transactions!K240)&gt;0.01),1,0)</f>
        <v>0</v>
      </c>
      <c r="V240" s="42" t="n">
        <f aca="false">IF(C240&lt;&gt;L240,1,0)</f>
        <v>0</v>
      </c>
      <c r="W240" s="42" t="n">
        <f aca="false">IF(SUM(Q240:V240)&gt;0,1,0)</f>
        <v>0</v>
      </c>
    </row>
    <row r="241" customFormat="false" ht="15" hidden="false" customHeight="false" outlineLevel="0" collapsed="false">
      <c r="A241" s="42" t="str">
        <f aca="false">Sales_Transactions!A241</f>
        <v>INV-07-024</v>
      </c>
      <c r="B241" s="42" t="str">
        <f aca="false">Sales_Transactions!B241</f>
        <v>2025-07</v>
      </c>
      <c r="C241" s="42" t="str">
        <f aca="false">Sales_Transactions!C241</f>
        <v>Actual</v>
      </c>
      <c r="D241" s="42" t="str">
        <f aca="false">Sales_Transactions!D241</f>
        <v>C036</v>
      </c>
      <c r="E241" s="42" t="str">
        <f aca="false">Sales_Transactions!E241</f>
        <v>P002</v>
      </c>
      <c r="F241" s="42" t="str">
        <f aca="false">IFERROR(INDEX(Customer_Master!$C$2:$C$49,MATCH(D241,Customer_Master!$A$2:$A$49,0)),"UNMATCHED")</f>
        <v>East</v>
      </c>
      <c r="G241" s="42" t="str">
        <f aca="false">IFERROR(INDEX(Customer_Master!$D$2:$D$49,MATCH(D241,Customer_Master!$A$2:$A$49,0)),"UNMATCHED")</f>
        <v>Retail</v>
      </c>
      <c r="H241" s="42" t="str">
        <f aca="false">IFERROR(INDEX(Product_Master!$C$2:$C$9,MATCH(E241,Product_Master!$A$2:$A$9,0)),"UNMATCHED")</f>
        <v>Home Care</v>
      </c>
      <c r="I241" s="42" t="str">
        <f aca="false">IFERROR(INDEX(Product_Master!$B$2:$B$9,MATCH(E241,Product_Master!$A$2:$A$9,0)),"UNMATCHED")</f>
        <v>Dishwash Gel</v>
      </c>
      <c r="J241" s="42" t="n">
        <f aca="false">IFERROR(INDEX(Calendar!$B$2:$B$25,MATCH(B241,Calendar!$A$2:$A$25,0)),0)</f>
        <v>2025</v>
      </c>
      <c r="K241" s="42" t="n">
        <f aca="false">IFERROR(VALUE(RIGHT(B241,2)),0)</f>
        <v>7</v>
      </c>
      <c r="L241" s="42" t="str">
        <f aca="false">IFERROR(INDEX(Calendar!$E$2:$E$25,MATCH(B241,Calendar!$A$2:$A$25,0)),"UNMATCHED")</f>
        <v>Actual</v>
      </c>
      <c r="M241" s="42" t="n">
        <f aca="false">Sales_Transactions!F241</f>
        <v>239</v>
      </c>
      <c r="N241" s="52" t="n">
        <f aca="false">Sales_Transactions!I241</f>
        <v>30907.48</v>
      </c>
      <c r="O241" s="52" t="n">
        <f aca="false">Sales_Transactions!J241</f>
        <v>20071.22</v>
      </c>
      <c r="P241" s="52" t="n">
        <f aca="false">Sales_Transactions!K241</f>
        <v>10836.26</v>
      </c>
      <c r="Q241" s="42" t="n">
        <f aca="false">IF(ISNUMBER(MATCH(E241,Product_Master!$A$2:$A$9,0)),0,1)</f>
        <v>0</v>
      </c>
      <c r="R241" s="42" t="n">
        <f aca="false">IF(ISNUMBER(MATCH(D241,Customer_Master!$A$2:$A$49,0)),0,1)</f>
        <v>0</v>
      </c>
      <c r="S241" s="42" t="n">
        <f aca="false">IF(ISNUMBER(MATCH(B241,Calendar!$A$2:$A$25,0)),0,1)</f>
        <v>0</v>
      </c>
      <c r="T241" s="42" t="n">
        <f aca="false">IF(COUNTIF(Sales_Transactions!$A$2:$A$865,A241)&gt;1,1,0)</f>
        <v>0</v>
      </c>
      <c r="U241" s="42" t="n">
        <f aca="false">IF(OR(ABS(Sales_Transactions!F241*Sales_Transactions!G241-Sales_Transactions!I241)&gt;0.01,ABS(Sales_Transactions!F241*Sales_Transactions!H241-Sales_Transactions!J241)&gt;0.01,ABS(Sales_Transactions!I241-Sales_Transactions!J241-Sales_Transactions!K241)&gt;0.01),1,0)</f>
        <v>0</v>
      </c>
      <c r="V241" s="42" t="n">
        <f aca="false">IF(C241&lt;&gt;L241,1,0)</f>
        <v>0</v>
      </c>
      <c r="W241" s="42" t="n">
        <f aca="false">IF(SUM(Q241:V241)&gt;0,1,0)</f>
        <v>0</v>
      </c>
    </row>
    <row r="242" customFormat="false" ht="15" hidden="false" customHeight="false" outlineLevel="0" collapsed="false">
      <c r="A242" s="42" t="str">
        <f aca="false">Sales_Transactions!A242</f>
        <v>INV-07-025</v>
      </c>
      <c r="B242" s="42" t="str">
        <f aca="false">Sales_Transactions!B242</f>
        <v>2025-07</v>
      </c>
      <c r="C242" s="42" t="str">
        <f aca="false">Sales_Transactions!C242</f>
        <v>Actual</v>
      </c>
      <c r="D242" s="42" t="str">
        <f aca="false">Sales_Transactions!D242</f>
        <v>C043</v>
      </c>
      <c r="E242" s="42" t="str">
        <f aca="false">Sales_Transactions!E242</f>
        <v>P007</v>
      </c>
      <c r="F242" s="42" t="str">
        <f aca="false">IFERROR(INDEX(Customer_Master!$C$2:$C$49,MATCH(D242,Customer_Master!$A$2:$A$49,0)),"UNMATCHED")</f>
        <v>West</v>
      </c>
      <c r="G242" s="42" t="str">
        <f aca="false">IFERROR(INDEX(Customer_Master!$D$2:$D$49,MATCH(D242,Customer_Master!$A$2:$A$49,0)),"UNMATCHED")</f>
        <v>Distributor</v>
      </c>
      <c r="H242" s="42" t="str">
        <f aca="false">IFERROR(INDEX(Product_Master!$C$2:$C$9,MATCH(E242,Product_Master!$A$2:$A$9,0)),"UNMATCHED")</f>
        <v>Home Care</v>
      </c>
      <c r="I242" s="42" t="str">
        <f aca="false">IFERROR(INDEX(Product_Master!$B$2:$B$9,MATCH(E242,Product_Master!$A$2:$A$9,0)),"UNMATCHED")</f>
        <v>Floor Cleaner</v>
      </c>
      <c r="J242" s="42" t="n">
        <f aca="false">IFERROR(INDEX(Calendar!$B$2:$B$25,MATCH(B242,Calendar!$A$2:$A$25,0)),0)</f>
        <v>2025</v>
      </c>
      <c r="K242" s="42" t="n">
        <f aca="false">IFERROR(VALUE(RIGHT(B242,2)),0)</f>
        <v>7</v>
      </c>
      <c r="L242" s="42" t="str">
        <f aca="false">IFERROR(INDEX(Calendar!$E$2:$E$25,MATCH(B242,Calendar!$A$2:$A$25,0)),"UNMATCHED")</f>
        <v>Actual</v>
      </c>
      <c r="M242" s="42" t="n">
        <f aca="false">Sales_Transactions!F242</f>
        <v>225</v>
      </c>
      <c r="N242" s="52" t="n">
        <f aca="false">Sales_Transactions!I242</f>
        <v>38299.5</v>
      </c>
      <c r="O242" s="52" t="n">
        <f aca="false">Sales_Transactions!J242</f>
        <v>24356.25</v>
      </c>
      <c r="P242" s="52" t="n">
        <f aca="false">Sales_Transactions!K242</f>
        <v>13943.25</v>
      </c>
      <c r="Q242" s="42" t="n">
        <f aca="false">IF(ISNUMBER(MATCH(E242,Product_Master!$A$2:$A$9,0)),0,1)</f>
        <v>0</v>
      </c>
      <c r="R242" s="42" t="n">
        <f aca="false">IF(ISNUMBER(MATCH(D242,Customer_Master!$A$2:$A$49,0)),0,1)</f>
        <v>0</v>
      </c>
      <c r="S242" s="42" t="n">
        <f aca="false">IF(ISNUMBER(MATCH(B242,Calendar!$A$2:$A$25,0)),0,1)</f>
        <v>0</v>
      </c>
      <c r="T242" s="42" t="n">
        <f aca="false">IF(COUNTIF(Sales_Transactions!$A$2:$A$865,A242)&gt;1,1,0)</f>
        <v>0</v>
      </c>
      <c r="U242" s="42" t="n">
        <f aca="false">IF(OR(ABS(Sales_Transactions!F242*Sales_Transactions!G242-Sales_Transactions!I242)&gt;0.01,ABS(Sales_Transactions!F242*Sales_Transactions!H242-Sales_Transactions!J242)&gt;0.01,ABS(Sales_Transactions!I242-Sales_Transactions!J242-Sales_Transactions!K242)&gt;0.01),1,0)</f>
        <v>0</v>
      </c>
      <c r="V242" s="42" t="n">
        <f aca="false">IF(C242&lt;&gt;L242,1,0)</f>
        <v>0</v>
      </c>
      <c r="W242" s="42" t="n">
        <f aca="false">IF(SUM(Q242:V242)&gt;0,1,0)</f>
        <v>0</v>
      </c>
    </row>
    <row r="243" customFormat="false" ht="15" hidden="false" customHeight="false" outlineLevel="0" collapsed="false">
      <c r="A243" s="42" t="str">
        <f aca="false">Sales_Transactions!A243</f>
        <v>INV-07-026</v>
      </c>
      <c r="B243" s="42" t="str">
        <f aca="false">Sales_Transactions!B243</f>
        <v>2025-07</v>
      </c>
      <c r="C243" s="42" t="str">
        <f aca="false">Sales_Transactions!C243</f>
        <v>Actual</v>
      </c>
      <c r="D243" s="42" t="str">
        <f aca="false">Sales_Transactions!D243</f>
        <v>C002</v>
      </c>
      <c r="E243" s="42" t="str">
        <f aca="false">Sales_Transactions!E243</f>
        <v>P004</v>
      </c>
      <c r="F243" s="42" t="str">
        <f aca="false">IFERROR(INDEX(Customer_Master!$C$2:$C$49,MATCH(D243,Customer_Master!$A$2:$A$49,0)),"UNMATCHED")</f>
        <v>North</v>
      </c>
      <c r="G243" s="42" t="str">
        <f aca="false">IFERROR(INDEX(Customer_Master!$D$2:$D$49,MATCH(D243,Customer_Master!$A$2:$A$49,0)),"UNMATCHED")</f>
        <v>Modern Trade</v>
      </c>
      <c r="H243" s="42" t="str">
        <f aca="false">IFERROR(INDEX(Product_Master!$C$2:$C$9,MATCH(E243,Product_Master!$A$2:$A$9,0)),"UNMATCHED")</f>
        <v>Personal Care</v>
      </c>
      <c r="I243" s="42" t="str">
        <f aca="false">IFERROR(INDEX(Product_Master!$B$2:$B$9,MATCH(E243,Product_Master!$A$2:$A$9,0)),"UNMATCHED")</f>
        <v>Soap 4-pack</v>
      </c>
      <c r="J243" s="42" t="n">
        <f aca="false">IFERROR(INDEX(Calendar!$B$2:$B$25,MATCH(B243,Calendar!$A$2:$A$25,0)),0)</f>
        <v>2025</v>
      </c>
      <c r="K243" s="42" t="n">
        <f aca="false">IFERROR(VALUE(RIGHT(B243,2)),0)</f>
        <v>7</v>
      </c>
      <c r="L243" s="42" t="str">
        <f aca="false">IFERROR(INDEX(Calendar!$E$2:$E$25,MATCH(B243,Calendar!$A$2:$A$25,0)),"UNMATCHED")</f>
        <v>Actual</v>
      </c>
      <c r="M243" s="42" t="n">
        <f aca="false">Sales_Transactions!F243</f>
        <v>234</v>
      </c>
      <c r="N243" s="52" t="n">
        <f aca="false">Sales_Transactions!I243</f>
        <v>40159.08</v>
      </c>
      <c r="O243" s="52" t="n">
        <f aca="false">Sales_Transactions!J243</f>
        <v>21904.74</v>
      </c>
      <c r="P243" s="52" t="n">
        <f aca="false">Sales_Transactions!K243</f>
        <v>18254.34</v>
      </c>
      <c r="Q243" s="42" t="n">
        <f aca="false">IF(ISNUMBER(MATCH(E243,Product_Master!$A$2:$A$9,0)),0,1)</f>
        <v>0</v>
      </c>
      <c r="R243" s="42" t="n">
        <f aca="false">IF(ISNUMBER(MATCH(D243,Customer_Master!$A$2:$A$49,0)),0,1)</f>
        <v>0</v>
      </c>
      <c r="S243" s="42" t="n">
        <f aca="false">IF(ISNUMBER(MATCH(B243,Calendar!$A$2:$A$25,0)),0,1)</f>
        <v>0</v>
      </c>
      <c r="T243" s="42" t="n">
        <f aca="false">IF(COUNTIF(Sales_Transactions!$A$2:$A$865,A243)&gt;1,1,0)</f>
        <v>0</v>
      </c>
      <c r="U243" s="42" t="n">
        <f aca="false">IF(OR(ABS(Sales_Transactions!F243*Sales_Transactions!G243-Sales_Transactions!I243)&gt;0.01,ABS(Sales_Transactions!F243*Sales_Transactions!H243-Sales_Transactions!J243)&gt;0.01,ABS(Sales_Transactions!I243-Sales_Transactions!J243-Sales_Transactions!K243)&gt;0.01),1,0)</f>
        <v>0</v>
      </c>
      <c r="V243" s="42" t="n">
        <f aca="false">IF(C243&lt;&gt;L243,1,0)</f>
        <v>0</v>
      </c>
      <c r="W243" s="42" t="n">
        <f aca="false">IF(SUM(Q243:V243)&gt;0,1,0)</f>
        <v>0</v>
      </c>
    </row>
    <row r="244" customFormat="false" ht="15" hidden="false" customHeight="false" outlineLevel="0" collapsed="false">
      <c r="A244" s="42" t="str">
        <f aca="false">Sales_Transactions!A244</f>
        <v>INV-07-027</v>
      </c>
      <c r="B244" s="42" t="str">
        <f aca="false">Sales_Transactions!B244</f>
        <v>2025-07</v>
      </c>
      <c r="C244" s="42" t="str">
        <f aca="false">Sales_Transactions!C244</f>
        <v>Actual</v>
      </c>
      <c r="D244" s="42" t="str">
        <f aca="false">Sales_Transactions!D244</f>
        <v>C009</v>
      </c>
      <c r="E244" s="42" t="str">
        <f aca="false">Sales_Transactions!E244</f>
        <v>P001</v>
      </c>
      <c r="F244" s="42" t="str">
        <f aca="false">IFERROR(INDEX(Customer_Master!$C$2:$C$49,MATCH(D244,Customer_Master!$A$2:$A$49,0)),"UNMATCHED")</f>
        <v>South</v>
      </c>
      <c r="G244" s="42" t="str">
        <f aca="false">IFERROR(INDEX(Customer_Master!$D$2:$D$49,MATCH(D244,Customer_Master!$A$2:$A$49,0)),"UNMATCHED")</f>
        <v>Retail</v>
      </c>
      <c r="H244" s="42" t="str">
        <f aca="false">IFERROR(INDEX(Product_Master!$C$2:$C$9,MATCH(E244,Product_Master!$A$2:$A$9,0)),"UNMATCHED")</f>
        <v>Home Care</v>
      </c>
      <c r="I244" s="42" t="str">
        <f aca="false">IFERROR(INDEX(Product_Master!$B$2:$B$9,MATCH(E244,Product_Master!$A$2:$A$9,0)),"UNMATCHED")</f>
        <v>Detergent 1kg</v>
      </c>
      <c r="J244" s="42" t="n">
        <f aca="false">IFERROR(INDEX(Calendar!$B$2:$B$25,MATCH(B244,Calendar!$A$2:$A$25,0)),0)</f>
        <v>2025</v>
      </c>
      <c r="K244" s="42" t="n">
        <f aca="false">IFERROR(VALUE(RIGHT(B244,2)),0)</f>
        <v>7</v>
      </c>
      <c r="L244" s="42" t="str">
        <f aca="false">IFERROR(INDEX(Calendar!$E$2:$E$25,MATCH(B244,Calendar!$A$2:$A$25,0)),"UNMATCHED")</f>
        <v>Actual</v>
      </c>
      <c r="M244" s="42" t="n">
        <f aca="false">Sales_Transactions!F244</f>
        <v>336</v>
      </c>
      <c r="N244" s="52" t="n">
        <f aca="false">Sales_Transactions!I244</f>
        <v>63739.2</v>
      </c>
      <c r="O244" s="52" t="n">
        <f aca="false">Sales_Transactions!J244</f>
        <v>42641.76</v>
      </c>
      <c r="P244" s="52" t="n">
        <f aca="false">Sales_Transactions!K244</f>
        <v>21097.44</v>
      </c>
      <c r="Q244" s="42" t="n">
        <f aca="false">IF(ISNUMBER(MATCH(E244,Product_Master!$A$2:$A$9,0)),0,1)</f>
        <v>0</v>
      </c>
      <c r="R244" s="42" t="n">
        <f aca="false">IF(ISNUMBER(MATCH(D244,Customer_Master!$A$2:$A$49,0)),0,1)</f>
        <v>0</v>
      </c>
      <c r="S244" s="42" t="n">
        <f aca="false">IF(ISNUMBER(MATCH(B244,Calendar!$A$2:$A$25,0)),0,1)</f>
        <v>0</v>
      </c>
      <c r="T244" s="42" t="n">
        <f aca="false">IF(COUNTIF(Sales_Transactions!$A$2:$A$865,A244)&gt;1,1,0)</f>
        <v>0</v>
      </c>
      <c r="U244" s="42" t="n">
        <f aca="false">IF(OR(ABS(Sales_Transactions!F244*Sales_Transactions!G244-Sales_Transactions!I244)&gt;0.01,ABS(Sales_Transactions!F244*Sales_Transactions!H244-Sales_Transactions!J244)&gt;0.01,ABS(Sales_Transactions!I244-Sales_Transactions!J244-Sales_Transactions!K244)&gt;0.01),1,0)</f>
        <v>0</v>
      </c>
      <c r="V244" s="42" t="n">
        <f aca="false">IF(C244&lt;&gt;L244,1,0)</f>
        <v>0</v>
      </c>
      <c r="W244" s="42" t="n">
        <f aca="false">IF(SUM(Q244:V244)&gt;0,1,0)</f>
        <v>0</v>
      </c>
    </row>
    <row r="245" customFormat="false" ht="15" hidden="false" customHeight="false" outlineLevel="0" collapsed="false">
      <c r="A245" s="42" t="str">
        <f aca="false">Sales_Transactions!A245</f>
        <v>INV-07-028</v>
      </c>
      <c r="B245" s="42" t="str">
        <f aca="false">Sales_Transactions!B245</f>
        <v>2025-07</v>
      </c>
      <c r="C245" s="42" t="str">
        <f aca="false">Sales_Transactions!C245</f>
        <v>Actual</v>
      </c>
      <c r="D245" s="42" t="str">
        <f aca="false">Sales_Transactions!D245</f>
        <v>C016</v>
      </c>
      <c r="E245" s="42" t="str">
        <f aca="false">Sales_Transactions!E245</f>
        <v>P006</v>
      </c>
      <c r="F245" s="42" t="str">
        <f aca="false">IFERROR(INDEX(Customer_Master!$C$2:$C$49,MATCH(D245,Customer_Master!$A$2:$A$49,0)),"UNMATCHED")</f>
        <v>East</v>
      </c>
      <c r="G245" s="42" t="str">
        <f aca="false">IFERROR(INDEX(Customer_Master!$D$2:$D$49,MATCH(D245,Customer_Master!$A$2:$A$49,0)),"UNMATCHED")</f>
        <v>Distributor</v>
      </c>
      <c r="H245" s="42" t="str">
        <f aca="false">IFERROR(INDEX(Product_Master!$C$2:$C$9,MATCH(E245,Product_Master!$A$2:$A$9,0)),"UNMATCHED")</f>
        <v>Foods</v>
      </c>
      <c r="I245" s="42" t="str">
        <f aca="false">IFERROR(INDEX(Product_Master!$B$2:$B$9,MATCH(E245,Product_Master!$A$2:$A$9,0)),"UNMATCHED")</f>
        <v>Breakfast Cereal</v>
      </c>
      <c r="J245" s="42" t="n">
        <f aca="false">IFERROR(INDEX(Calendar!$B$2:$B$25,MATCH(B245,Calendar!$A$2:$A$25,0)),0)</f>
        <v>2025</v>
      </c>
      <c r="K245" s="42" t="n">
        <f aca="false">IFERROR(VALUE(RIGHT(B245,2)),0)</f>
        <v>7</v>
      </c>
      <c r="L245" s="42" t="str">
        <f aca="false">IFERROR(INDEX(Calendar!$E$2:$E$25,MATCH(B245,Calendar!$A$2:$A$25,0)),"UNMATCHED")</f>
        <v>Actual</v>
      </c>
      <c r="M245" s="42" t="n">
        <f aca="false">Sales_Transactions!F245</f>
        <v>230</v>
      </c>
      <c r="N245" s="52" t="n">
        <f aca="false">Sales_Transactions!I245</f>
        <v>55777.3</v>
      </c>
      <c r="O245" s="52" t="n">
        <f aca="false">Sales_Transactions!J245</f>
        <v>36342.3</v>
      </c>
      <c r="P245" s="52" t="n">
        <f aca="false">Sales_Transactions!K245</f>
        <v>19435</v>
      </c>
      <c r="Q245" s="42" t="n">
        <f aca="false">IF(ISNUMBER(MATCH(E245,Product_Master!$A$2:$A$9,0)),0,1)</f>
        <v>0</v>
      </c>
      <c r="R245" s="42" t="n">
        <f aca="false">IF(ISNUMBER(MATCH(D245,Customer_Master!$A$2:$A$49,0)),0,1)</f>
        <v>0</v>
      </c>
      <c r="S245" s="42" t="n">
        <f aca="false">IF(ISNUMBER(MATCH(B245,Calendar!$A$2:$A$25,0)),0,1)</f>
        <v>0</v>
      </c>
      <c r="T245" s="42" t="n">
        <f aca="false">IF(COUNTIF(Sales_Transactions!$A$2:$A$865,A245)&gt;1,1,0)</f>
        <v>0</v>
      </c>
      <c r="U245" s="42" t="n">
        <f aca="false">IF(OR(ABS(Sales_Transactions!F245*Sales_Transactions!G245-Sales_Transactions!I245)&gt;0.01,ABS(Sales_Transactions!F245*Sales_Transactions!H245-Sales_Transactions!J245)&gt;0.01,ABS(Sales_Transactions!I245-Sales_Transactions!J245-Sales_Transactions!K245)&gt;0.01),1,0)</f>
        <v>0</v>
      </c>
      <c r="V245" s="42" t="n">
        <f aca="false">IF(C245&lt;&gt;L245,1,0)</f>
        <v>0</v>
      </c>
      <c r="W245" s="42" t="n">
        <f aca="false">IF(SUM(Q245:V245)&gt;0,1,0)</f>
        <v>0</v>
      </c>
    </row>
    <row r="246" customFormat="false" ht="15" hidden="false" customHeight="false" outlineLevel="0" collapsed="false">
      <c r="A246" s="42" t="str">
        <f aca="false">Sales_Transactions!A246</f>
        <v>INV-07-029</v>
      </c>
      <c r="B246" s="42" t="str">
        <f aca="false">Sales_Transactions!B246</f>
        <v>2025-07</v>
      </c>
      <c r="C246" s="42" t="str">
        <f aca="false">Sales_Transactions!C246</f>
        <v>Actual</v>
      </c>
      <c r="D246" s="42" t="str">
        <f aca="false">Sales_Transactions!D246</f>
        <v>C023</v>
      </c>
      <c r="E246" s="42" t="str">
        <f aca="false">Sales_Transactions!E246</f>
        <v>P003</v>
      </c>
      <c r="F246" s="42" t="str">
        <f aca="false">IFERROR(INDEX(Customer_Master!$C$2:$C$49,MATCH(D246,Customer_Master!$A$2:$A$49,0)),"UNMATCHED")</f>
        <v>West</v>
      </c>
      <c r="G246" s="42" t="str">
        <f aca="false">IFERROR(INDEX(Customer_Master!$D$2:$D$49,MATCH(D246,Customer_Master!$A$2:$A$49,0)),"UNMATCHED")</f>
        <v>Modern Trade</v>
      </c>
      <c r="H246" s="42" t="str">
        <f aca="false">IFERROR(INDEX(Product_Master!$C$2:$C$9,MATCH(E246,Product_Master!$A$2:$A$9,0)),"UNMATCHED")</f>
        <v>Personal Care</v>
      </c>
      <c r="I246" s="42" t="str">
        <f aca="false">IFERROR(INDEX(Product_Master!$B$2:$B$9,MATCH(E246,Product_Master!$A$2:$A$9,0)),"UNMATCHED")</f>
        <v>Shampoo 400ml</v>
      </c>
      <c r="J246" s="42" t="n">
        <f aca="false">IFERROR(INDEX(Calendar!$B$2:$B$25,MATCH(B246,Calendar!$A$2:$A$25,0)),0)</f>
        <v>2025</v>
      </c>
      <c r="K246" s="42" t="n">
        <f aca="false">IFERROR(VALUE(RIGHT(B246,2)),0)</f>
        <v>7</v>
      </c>
      <c r="L246" s="42" t="str">
        <f aca="false">IFERROR(INDEX(Calendar!$E$2:$E$25,MATCH(B246,Calendar!$A$2:$A$25,0)),"UNMATCHED")</f>
        <v>Actual</v>
      </c>
      <c r="M246" s="42" t="n">
        <f aca="false">Sales_Transactions!F246</f>
        <v>179</v>
      </c>
      <c r="N246" s="52" t="n">
        <f aca="false">Sales_Transactions!I246</f>
        <v>50896.86</v>
      </c>
      <c r="O246" s="52" t="n">
        <f aca="false">Sales_Transactions!J246</f>
        <v>30311.86</v>
      </c>
      <c r="P246" s="52" t="n">
        <f aca="false">Sales_Transactions!K246</f>
        <v>20585</v>
      </c>
      <c r="Q246" s="42" t="n">
        <f aca="false">IF(ISNUMBER(MATCH(E246,Product_Master!$A$2:$A$9,0)),0,1)</f>
        <v>0</v>
      </c>
      <c r="R246" s="42" t="n">
        <f aca="false">IF(ISNUMBER(MATCH(D246,Customer_Master!$A$2:$A$49,0)),0,1)</f>
        <v>0</v>
      </c>
      <c r="S246" s="42" t="n">
        <f aca="false">IF(ISNUMBER(MATCH(B246,Calendar!$A$2:$A$25,0)),0,1)</f>
        <v>0</v>
      </c>
      <c r="T246" s="42" t="n">
        <f aca="false">IF(COUNTIF(Sales_Transactions!$A$2:$A$865,A246)&gt;1,1,0)</f>
        <v>0</v>
      </c>
      <c r="U246" s="42" t="n">
        <f aca="false">IF(OR(ABS(Sales_Transactions!F246*Sales_Transactions!G246-Sales_Transactions!I246)&gt;0.01,ABS(Sales_Transactions!F246*Sales_Transactions!H246-Sales_Transactions!J246)&gt;0.01,ABS(Sales_Transactions!I246-Sales_Transactions!J246-Sales_Transactions!K246)&gt;0.01),1,0)</f>
        <v>0</v>
      </c>
      <c r="V246" s="42" t="n">
        <f aca="false">IF(C246&lt;&gt;L246,1,0)</f>
        <v>0</v>
      </c>
      <c r="W246" s="42" t="n">
        <f aca="false">IF(SUM(Q246:V246)&gt;0,1,0)</f>
        <v>0</v>
      </c>
    </row>
    <row r="247" customFormat="false" ht="15" hidden="false" customHeight="false" outlineLevel="0" collapsed="false">
      <c r="A247" s="42" t="str">
        <f aca="false">Sales_Transactions!A247</f>
        <v>INV-07-030</v>
      </c>
      <c r="B247" s="42" t="str">
        <f aca="false">Sales_Transactions!B247</f>
        <v>2025-07</v>
      </c>
      <c r="C247" s="42" t="str">
        <f aca="false">Sales_Transactions!C247</f>
        <v>Actual</v>
      </c>
      <c r="D247" s="42" t="str">
        <f aca="false">Sales_Transactions!D247</f>
        <v>C030</v>
      </c>
      <c r="E247" s="42" t="str">
        <f aca="false">Sales_Transactions!E247</f>
        <v>P008</v>
      </c>
      <c r="F247" s="42" t="str">
        <f aca="false">IFERROR(INDEX(Customer_Master!$C$2:$C$49,MATCH(D247,Customer_Master!$A$2:$A$49,0)),"UNMATCHED")</f>
        <v>North</v>
      </c>
      <c r="G247" s="42" t="str">
        <f aca="false">IFERROR(INDEX(Customer_Master!$D$2:$D$49,MATCH(D247,Customer_Master!$A$2:$A$49,0)),"UNMATCHED")</f>
        <v>Retail</v>
      </c>
      <c r="H247" s="42" t="str">
        <f aca="false">IFERROR(INDEX(Product_Master!$C$2:$C$9,MATCH(E247,Product_Master!$A$2:$A$9,0)),"UNMATCHED")</f>
        <v>Personal Care</v>
      </c>
      <c r="I247" s="42" t="str">
        <f aca="false">IFERROR(INDEX(Product_Master!$B$2:$B$9,MATCH(E247,Product_Master!$A$2:$A$9,0)),"UNMATCHED")</f>
        <v>Body Lotion</v>
      </c>
      <c r="J247" s="42" t="n">
        <f aca="false">IFERROR(INDEX(Calendar!$B$2:$B$25,MATCH(B247,Calendar!$A$2:$A$25,0)),0)</f>
        <v>2025</v>
      </c>
      <c r="K247" s="42" t="n">
        <f aca="false">IFERROR(VALUE(RIGHT(B247,2)),0)</f>
        <v>7</v>
      </c>
      <c r="L247" s="42" t="str">
        <f aca="false">IFERROR(INDEX(Calendar!$E$2:$E$25,MATCH(B247,Calendar!$A$2:$A$25,0)),"UNMATCHED")</f>
        <v>Actual</v>
      </c>
      <c r="M247" s="42" t="n">
        <f aca="false">Sales_Transactions!F247</f>
        <v>329</v>
      </c>
      <c r="N247" s="52" t="n">
        <f aca="false">Sales_Transactions!I247</f>
        <v>96749.03</v>
      </c>
      <c r="O247" s="52" t="n">
        <f aca="false">Sales_Transactions!J247</f>
        <v>64319.5</v>
      </c>
      <c r="P247" s="52" t="n">
        <f aca="false">Sales_Transactions!K247</f>
        <v>32429.53</v>
      </c>
      <c r="Q247" s="42" t="n">
        <f aca="false">IF(ISNUMBER(MATCH(E247,Product_Master!$A$2:$A$9,0)),0,1)</f>
        <v>0</v>
      </c>
      <c r="R247" s="42" t="n">
        <f aca="false">IF(ISNUMBER(MATCH(D247,Customer_Master!$A$2:$A$49,0)),0,1)</f>
        <v>0</v>
      </c>
      <c r="S247" s="42" t="n">
        <f aca="false">IF(ISNUMBER(MATCH(B247,Calendar!$A$2:$A$25,0)),0,1)</f>
        <v>0</v>
      </c>
      <c r="T247" s="42" t="n">
        <f aca="false">IF(COUNTIF(Sales_Transactions!$A$2:$A$865,A247)&gt;1,1,0)</f>
        <v>0</v>
      </c>
      <c r="U247" s="42" t="n">
        <f aca="false">IF(OR(ABS(Sales_Transactions!F247*Sales_Transactions!G247-Sales_Transactions!I247)&gt;0.01,ABS(Sales_Transactions!F247*Sales_Transactions!H247-Sales_Transactions!J247)&gt;0.01,ABS(Sales_Transactions!I247-Sales_Transactions!J247-Sales_Transactions!K247)&gt;0.01),1,0)</f>
        <v>0</v>
      </c>
      <c r="V247" s="42" t="n">
        <f aca="false">IF(C247&lt;&gt;L247,1,0)</f>
        <v>0</v>
      </c>
      <c r="W247" s="42" t="n">
        <f aca="false">IF(SUM(Q247:V247)&gt;0,1,0)</f>
        <v>0</v>
      </c>
    </row>
    <row r="248" customFormat="false" ht="15" hidden="false" customHeight="false" outlineLevel="0" collapsed="false">
      <c r="A248" s="42" t="str">
        <f aca="false">Sales_Transactions!A248</f>
        <v>INV-07-031</v>
      </c>
      <c r="B248" s="42" t="str">
        <f aca="false">Sales_Transactions!B248</f>
        <v>2025-07</v>
      </c>
      <c r="C248" s="42" t="str">
        <f aca="false">Sales_Transactions!C248</f>
        <v>Actual</v>
      </c>
      <c r="D248" s="42" t="str">
        <f aca="false">Sales_Transactions!D248</f>
        <v>C037</v>
      </c>
      <c r="E248" s="42" t="str">
        <f aca="false">Sales_Transactions!E248</f>
        <v>P005</v>
      </c>
      <c r="F248" s="42" t="str">
        <f aca="false">IFERROR(INDEX(Customer_Master!$C$2:$C$49,MATCH(D248,Customer_Master!$A$2:$A$49,0)),"UNMATCHED")</f>
        <v>South</v>
      </c>
      <c r="G248" s="42" t="str">
        <f aca="false">IFERROR(INDEX(Customer_Master!$D$2:$D$49,MATCH(D248,Customer_Master!$A$2:$A$49,0)),"UNMATCHED")</f>
        <v>Distributor</v>
      </c>
      <c r="H248" s="42" t="str">
        <f aca="false">IFERROR(INDEX(Product_Master!$C$2:$C$9,MATCH(E248,Product_Master!$A$2:$A$9,0)),"UNMATCHED")</f>
        <v>Foods</v>
      </c>
      <c r="I248" s="42" t="str">
        <f aca="false">IFERROR(INDEX(Product_Master!$B$2:$B$9,MATCH(E248,Product_Master!$A$2:$A$9,0)),"UNMATCHED")</f>
        <v>Biscuits 500g</v>
      </c>
      <c r="J248" s="42" t="n">
        <f aca="false">IFERROR(INDEX(Calendar!$B$2:$B$25,MATCH(B248,Calendar!$A$2:$A$25,0)),0)</f>
        <v>2025</v>
      </c>
      <c r="K248" s="42" t="n">
        <f aca="false">IFERROR(VALUE(RIGHT(B248,2)),0)</f>
        <v>7</v>
      </c>
      <c r="L248" s="42" t="str">
        <f aca="false">IFERROR(INDEX(Calendar!$E$2:$E$25,MATCH(B248,Calendar!$A$2:$A$25,0)),"UNMATCHED")</f>
        <v>Actual</v>
      </c>
      <c r="M248" s="42" t="n">
        <f aca="false">Sales_Transactions!F248</f>
        <v>336</v>
      </c>
      <c r="N248" s="52" t="n">
        <f aca="false">Sales_Transactions!I248</f>
        <v>33250.56</v>
      </c>
      <c r="O248" s="52" t="n">
        <f aca="false">Sales_Transactions!J248</f>
        <v>23311.68</v>
      </c>
      <c r="P248" s="52" t="n">
        <f aca="false">Sales_Transactions!K248</f>
        <v>9938.88</v>
      </c>
      <c r="Q248" s="42" t="n">
        <f aca="false">IF(ISNUMBER(MATCH(E248,Product_Master!$A$2:$A$9,0)),0,1)</f>
        <v>0</v>
      </c>
      <c r="R248" s="42" t="n">
        <f aca="false">IF(ISNUMBER(MATCH(D248,Customer_Master!$A$2:$A$49,0)),0,1)</f>
        <v>0</v>
      </c>
      <c r="S248" s="42" t="n">
        <f aca="false">IF(ISNUMBER(MATCH(B248,Calendar!$A$2:$A$25,0)),0,1)</f>
        <v>0</v>
      </c>
      <c r="T248" s="42" t="n">
        <f aca="false">IF(COUNTIF(Sales_Transactions!$A$2:$A$865,A248)&gt;1,1,0)</f>
        <v>0</v>
      </c>
      <c r="U248" s="42" t="n">
        <f aca="false">IF(OR(ABS(Sales_Transactions!F248*Sales_Transactions!G248-Sales_Transactions!I248)&gt;0.01,ABS(Sales_Transactions!F248*Sales_Transactions!H248-Sales_Transactions!J248)&gt;0.01,ABS(Sales_Transactions!I248-Sales_Transactions!J248-Sales_Transactions!K248)&gt;0.01),1,0)</f>
        <v>0</v>
      </c>
      <c r="V248" s="42" t="n">
        <f aca="false">IF(C248&lt;&gt;L248,1,0)</f>
        <v>0</v>
      </c>
      <c r="W248" s="42" t="n">
        <f aca="false">IF(SUM(Q248:V248)&gt;0,1,0)</f>
        <v>0</v>
      </c>
    </row>
    <row r="249" customFormat="false" ht="15" hidden="false" customHeight="false" outlineLevel="0" collapsed="false">
      <c r="A249" s="42" t="str">
        <f aca="false">Sales_Transactions!A249</f>
        <v>INV-07-032</v>
      </c>
      <c r="B249" s="42" t="str">
        <f aca="false">Sales_Transactions!B249</f>
        <v>2025-07</v>
      </c>
      <c r="C249" s="42" t="str">
        <f aca="false">Sales_Transactions!C249</f>
        <v>Actual</v>
      </c>
      <c r="D249" s="42" t="str">
        <f aca="false">Sales_Transactions!D249</f>
        <v>C044</v>
      </c>
      <c r="E249" s="42" t="str">
        <f aca="false">Sales_Transactions!E249</f>
        <v>P002</v>
      </c>
      <c r="F249" s="42" t="str">
        <f aca="false">IFERROR(INDEX(Customer_Master!$C$2:$C$49,MATCH(D249,Customer_Master!$A$2:$A$49,0)),"UNMATCHED")</f>
        <v>East</v>
      </c>
      <c r="G249" s="42" t="str">
        <f aca="false">IFERROR(INDEX(Customer_Master!$D$2:$D$49,MATCH(D249,Customer_Master!$A$2:$A$49,0)),"UNMATCHED")</f>
        <v>Modern Trade</v>
      </c>
      <c r="H249" s="42" t="str">
        <f aca="false">IFERROR(INDEX(Product_Master!$C$2:$C$9,MATCH(E249,Product_Master!$A$2:$A$9,0)),"UNMATCHED")</f>
        <v>Home Care</v>
      </c>
      <c r="I249" s="42" t="str">
        <f aca="false">IFERROR(INDEX(Product_Master!$B$2:$B$9,MATCH(E249,Product_Master!$A$2:$A$9,0)),"UNMATCHED")</f>
        <v>Dishwash Gel</v>
      </c>
      <c r="J249" s="42" t="n">
        <f aca="false">IFERROR(INDEX(Calendar!$B$2:$B$25,MATCH(B249,Calendar!$A$2:$A$25,0)),0)</f>
        <v>2025</v>
      </c>
      <c r="K249" s="42" t="n">
        <f aca="false">IFERROR(VALUE(RIGHT(B249,2)),0)</f>
        <v>7</v>
      </c>
      <c r="L249" s="42" t="str">
        <f aca="false">IFERROR(INDEX(Calendar!$E$2:$E$25,MATCH(B249,Calendar!$A$2:$A$25,0)),"UNMATCHED")</f>
        <v>Actual</v>
      </c>
      <c r="M249" s="42" t="n">
        <f aca="false">Sales_Transactions!F249</f>
        <v>112</v>
      </c>
      <c r="N249" s="52" t="n">
        <f aca="false">Sales_Transactions!I249</f>
        <v>14773.92</v>
      </c>
      <c r="O249" s="52" t="n">
        <f aca="false">Sales_Transactions!J249</f>
        <v>9710.4</v>
      </c>
      <c r="P249" s="52" t="n">
        <f aca="false">Sales_Transactions!K249</f>
        <v>5063.52</v>
      </c>
      <c r="Q249" s="42" t="n">
        <f aca="false">IF(ISNUMBER(MATCH(E249,Product_Master!$A$2:$A$9,0)),0,1)</f>
        <v>0</v>
      </c>
      <c r="R249" s="42" t="n">
        <f aca="false">IF(ISNUMBER(MATCH(D249,Customer_Master!$A$2:$A$49,0)),0,1)</f>
        <v>0</v>
      </c>
      <c r="S249" s="42" t="n">
        <f aca="false">IF(ISNUMBER(MATCH(B249,Calendar!$A$2:$A$25,0)),0,1)</f>
        <v>0</v>
      </c>
      <c r="T249" s="42" t="n">
        <f aca="false">IF(COUNTIF(Sales_Transactions!$A$2:$A$865,A249)&gt;1,1,0)</f>
        <v>0</v>
      </c>
      <c r="U249" s="42" t="n">
        <f aca="false">IF(OR(ABS(Sales_Transactions!F249*Sales_Transactions!G249-Sales_Transactions!I249)&gt;0.01,ABS(Sales_Transactions!F249*Sales_Transactions!H249-Sales_Transactions!J249)&gt;0.01,ABS(Sales_Transactions!I249-Sales_Transactions!J249-Sales_Transactions!K249)&gt;0.01),1,0)</f>
        <v>0</v>
      </c>
      <c r="V249" s="42" t="n">
        <f aca="false">IF(C249&lt;&gt;L249,1,0)</f>
        <v>0</v>
      </c>
      <c r="W249" s="42" t="n">
        <f aca="false">IF(SUM(Q249:V249)&gt;0,1,0)</f>
        <v>0</v>
      </c>
    </row>
    <row r="250" customFormat="false" ht="15" hidden="false" customHeight="false" outlineLevel="0" collapsed="false">
      <c r="A250" s="42" t="str">
        <f aca="false">Sales_Transactions!A250</f>
        <v>INV-07-033</v>
      </c>
      <c r="B250" s="42" t="str">
        <f aca="false">Sales_Transactions!B250</f>
        <v>2025-07</v>
      </c>
      <c r="C250" s="42" t="str">
        <f aca="false">Sales_Transactions!C250</f>
        <v>Actual</v>
      </c>
      <c r="D250" s="42" t="str">
        <f aca="false">Sales_Transactions!D250</f>
        <v>C003</v>
      </c>
      <c r="E250" s="42" t="str">
        <f aca="false">Sales_Transactions!E250</f>
        <v>P007</v>
      </c>
      <c r="F250" s="42" t="str">
        <f aca="false">IFERROR(INDEX(Customer_Master!$C$2:$C$49,MATCH(D250,Customer_Master!$A$2:$A$49,0)),"UNMATCHED")</f>
        <v>West</v>
      </c>
      <c r="G250" s="42" t="str">
        <f aca="false">IFERROR(INDEX(Customer_Master!$D$2:$D$49,MATCH(D250,Customer_Master!$A$2:$A$49,0)),"UNMATCHED")</f>
        <v>Retail</v>
      </c>
      <c r="H250" s="42" t="str">
        <f aca="false">IFERROR(INDEX(Product_Master!$C$2:$C$9,MATCH(E250,Product_Master!$A$2:$A$9,0)),"UNMATCHED")</f>
        <v>Home Care</v>
      </c>
      <c r="I250" s="42" t="str">
        <f aca="false">IFERROR(INDEX(Product_Master!$B$2:$B$9,MATCH(E250,Product_Master!$A$2:$A$9,0)),"UNMATCHED")</f>
        <v>Floor Cleaner</v>
      </c>
      <c r="J250" s="42" t="n">
        <f aca="false">IFERROR(INDEX(Calendar!$B$2:$B$25,MATCH(B250,Calendar!$A$2:$A$25,0)),0)</f>
        <v>2025</v>
      </c>
      <c r="K250" s="42" t="n">
        <f aca="false">IFERROR(VALUE(RIGHT(B250,2)),0)</f>
        <v>7</v>
      </c>
      <c r="L250" s="42" t="str">
        <f aca="false">IFERROR(INDEX(Calendar!$E$2:$E$25,MATCH(B250,Calendar!$A$2:$A$25,0)),"UNMATCHED")</f>
        <v>Actual</v>
      </c>
      <c r="M250" s="42" t="n">
        <f aca="false">Sales_Transactions!F250</f>
        <v>240</v>
      </c>
      <c r="N250" s="52" t="n">
        <f aca="false">Sales_Transactions!I250</f>
        <v>41088</v>
      </c>
      <c r="O250" s="52" t="n">
        <f aca="false">Sales_Transactions!J250</f>
        <v>26606.4</v>
      </c>
      <c r="P250" s="52" t="n">
        <f aca="false">Sales_Transactions!K250</f>
        <v>14481.6</v>
      </c>
      <c r="Q250" s="42" t="n">
        <f aca="false">IF(ISNUMBER(MATCH(E250,Product_Master!$A$2:$A$9,0)),0,1)</f>
        <v>0</v>
      </c>
      <c r="R250" s="42" t="n">
        <f aca="false">IF(ISNUMBER(MATCH(D250,Customer_Master!$A$2:$A$49,0)),0,1)</f>
        <v>0</v>
      </c>
      <c r="S250" s="42" t="n">
        <f aca="false">IF(ISNUMBER(MATCH(B250,Calendar!$A$2:$A$25,0)),0,1)</f>
        <v>0</v>
      </c>
      <c r="T250" s="42" t="n">
        <f aca="false">IF(COUNTIF(Sales_Transactions!$A$2:$A$865,A250)&gt;1,1,0)</f>
        <v>0</v>
      </c>
      <c r="U250" s="42" t="n">
        <f aca="false">IF(OR(ABS(Sales_Transactions!F250*Sales_Transactions!G250-Sales_Transactions!I250)&gt;0.01,ABS(Sales_Transactions!F250*Sales_Transactions!H250-Sales_Transactions!J250)&gt;0.01,ABS(Sales_Transactions!I250-Sales_Transactions!J250-Sales_Transactions!K250)&gt;0.01),1,0)</f>
        <v>0</v>
      </c>
      <c r="V250" s="42" t="n">
        <f aca="false">IF(C250&lt;&gt;L250,1,0)</f>
        <v>0</v>
      </c>
      <c r="W250" s="42" t="n">
        <f aca="false">IF(SUM(Q250:V250)&gt;0,1,0)</f>
        <v>0</v>
      </c>
    </row>
    <row r="251" customFormat="false" ht="15" hidden="false" customHeight="false" outlineLevel="0" collapsed="false">
      <c r="A251" s="42" t="str">
        <f aca="false">Sales_Transactions!A251</f>
        <v>INV-07-034</v>
      </c>
      <c r="B251" s="42" t="str">
        <f aca="false">Sales_Transactions!B251</f>
        <v>2025-07</v>
      </c>
      <c r="C251" s="42" t="str">
        <f aca="false">Sales_Transactions!C251</f>
        <v>Actual</v>
      </c>
      <c r="D251" s="42" t="str">
        <f aca="false">Sales_Transactions!D251</f>
        <v>C010</v>
      </c>
      <c r="E251" s="42" t="str">
        <f aca="false">Sales_Transactions!E251</f>
        <v>P004</v>
      </c>
      <c r="F251" s="42" t="str">
        <f aca="false">IFERROR(INDEX(Customer_Master!$C$2:$C$49,MATCH(D251,Customer_Master!$A$2:$A$49,0)),"UNMATCHED")</f>
        <v>North</v>
      </c>
      <c r="G251" s="42" t="str">
        <f aca="false">IFERROR(INDEX(Customer_Master!$D$2:$D$49,MATCH(D251,Customer_Master!$A$2:$A$49,0)),"UNMATCHED")</f>
        <v>Distributor</v>
      </c>
      <c r="H251" s="42" t="str">
        <f aca="false">IFERROR(INDEX(Product_Master!$C$2:$C$9,MATCH(E251,Product_Master!$A$2:$A$9,0)),"UNMATCHED")</f>
        <v>Personal Care</v>
      </c>
      <c r="I251" s="42" t="str">
        <f aca="false">IFERROR(INDEX(Product_Master!$B$2:$B$9,MATCH(E251,Product_Master!$A$2:$A$9,0)),"UNMATCHED")</f>
        <v>Soap 4-pack</v>
      </c>
      <c r="J251" s="42" t="n">
        <f aca="false">IFERROR(INDEX(Calendar!$B$2:$B$25,MATCH(B251,Calendar!$A$2:$A$25,0)),0)</f>
        <v>2025</v>
      </c>
      <c r="K251" s="42" t="n">
        <f aca="false">IFERROR(VALUE(RIGHT(B251,2)),0)</f>
        <v>7</v>
      </c>
      <c r="L251" s="42" t="str">
        <f aca="false">IFERROR(INDEX(Calendar!$E$2:$E$25,MATCH(B251,Calendar!$A$2:$A$25,0)),"UNMATCHED")</f>
        <v>Actual</v>
      </c>
      <c r="M251" s="42" t="n">
        <f aca="false">Sales_Transactions!F251</f>
        <v>370</v>
      </c>
      <c r="N251" s="52" t="n">
        <f aca="false">Sales_Transactions!I251</f>
        <v>64061.8</v>
      </c>
      <c r="O251" s="52" t="n">
        <f aca="false">Sales_Transactions!J251</f>
        <v>36681.8</v>
      </c>
      <c r="P251" s="52" t="n">
        <f aca="false">Sales_Transactions!K251</f>
        <v>27380</v>
      </c>
      <c r="Q251" s="42" t="n">
        <f aca="false">IF(ISNUMBER(MATCH(E251,Product_Master!$A$2:$A$9,0)),0,1)</f>
        <v>0</v>
      </c>
      <c r="R251" s="42" t="n">
        <f aca="false">IF(ISNUMBER(MATCH(D251,Customer_Master!$A$2:$A$49,0)),0,1)</f>
        <v>0</v>
      </c>
      <c r="S251" s="42" t="n">
        <f aca="false">IF(ISNUMBER(MATCH(B251,Calendar!$A$2:$A$25,0)),0,1)</f>
        <v>0</v>
      </c>
      <c r="T251" s="42" t="n">
        <f aca="false">IF(COUNTIF(Sales_Transactions!$A$2:$A$865,A251)&gt;1,1,0)</f>
        <v>0</v>
      </c>
      <c r="U251" s="42" t="n">
        <f aca="false">IF(OR(ABS(Sales_Transactions!F251*Sales_Transactions!G251-Sales_Transactions!I251)&gt;0.01,ABS(Sales_Transactions!F251*Sales_Transactions!H251-Sales_Transactions!J251)&gt;0.01,ABS(Sales_Transactions!I251-Sales_Transactions!J251-Sales_Transactions!K251)&gt;0.01),1,0)</f>
        <v>0</v>
      </c>
      <c r="V251" s="42" t="n">
        <f aca="false">IF(C251&lt;&gt;L251,1,0)</f>
        <v>0</v>
      </c>
      <c r="W251" s="42" t="n">
        <f aca="false">IF(SUM(Q251:V251)&gt;0,1,0)</f>
        <v>0</v>
      </c>
    </row>
    <row r="252" customFormat="false" ht="15" hidden="false" customHeight="false" outlineLevel="0" collapsed="false">
      <c r="A252" s="42" t="str">
        <f aca="false">Sales_Transactions!A252</f>
        <v>INV-07-035</v>
      </c>
      <c r="B252" s="42" t="str">
        <f aca="false">Sales_Transactions!B252</f>
        <v>2025-07</v>
      </c>
      <c r="C252" s="42" t="str">
        <f aca="false">Sales_Transactions!C252</f>
        <v>Actual</v>
      </c>
      <c r="D252" s="42" t="str">
        <f aca="false">Sales_Transactions!D252</f>
        <v>C017</v>
      </c>
      <c r="E252" s="42" t="str">
        <f aca="false">Sales_Transactions!E252</f>
        <v>P001</v>
      </c>
      <c r="F252" s="42" t="str">
        <f aca="false">IFERROR(INDEX(Customer_Master!$C$2:$C$49,MATCH(D252,Customer_Master!$A$2:$A$49,0)),"UNMATCHED")</f>
        <v>South</v>
      </c>
      <c r="G252" s="42" t="str">
        <f aca="false">IFERROR(INDEX(Customer_Master!$D$2:$D$49,MATCH(D252,Customer_Master!$A$2:$A$49,0)),"UNMATCHED")</f>
        <v>Modern Trade</v>
      </c>
      <c r="H252" s="42" t="str">
        <f aca="false">IFERROR(INDEX(Product_Master!$C$2:$C$9,MATCH(E252,Product_Master!$A$2:$A$9,0)),"UNMATCHED")</f>
        <v>Home Care</v>
      </c>
      <c r="I252" s="42" t="str">
        <f aca="false">IFERROR(INDEX(Product_Master!$B$2:$B$9,MATCH(E252,Product_Master!$A$2:$A$9,0)),"UNMATCHED")</f>
        <v>Detergent 1kg</v>
      </c>
      <c r="J252" s="42" t="n">
        <f aca="false">IFERROR(INDEX(Calendar!$B$2:$B$25,MATCH(B252,Calendar!$A$2:$A$25,0)),0)</f>
        <v>2025</v>
      </c>
      <c r="K252" s="42" t="n">
        <f aca="false">IFERROR(VALUE(RIGHT(B252,2)),0)</f>
        <v>7</v>
      </c>
      <c r="L252" s="42" t="str">
        <f aca="false">IFERROR(INDEX(Calendar!$E$2:$E$25,MATCH(B252,Calendar!$A$2:$A$25,0)),"UNMATCHED")</f>
        <v>Actual</v>
      </c>
      <c r="M252" s="42" t="n">
        <f aca="false">Sales_Transactions!F252</f>
        <v>401</v>
      </c>
      <c r="N252" s="52" t="n">
        <f aca="false">Sales_Transactions!I252</f>
        <v>77417.06</v>
      </c>
      <c r="O252" s="52" t="n">
        <f aca="false">Sales_Transactions!J252</f>
        <v>54135</v>
      </c>
      <c r="P252" s="52" t="n">
        <f aca="false">Sales_Transactions!K252</f>
        <v>23282.06</v>
      </c>
      <c r="Q252" s="42" t="n">
        <f aca="false">IF(ISNUMBER(MATCH(E252,Product_Master!$A$2:$A$9,0)),0,1)</f>
        <v>0</v>
      </c>
      <c r="R252" s="42" t="n">
        <f aca="false">IF(ISNUMBER(MATCH(D252,Customer_Master!$A$2:$A$49,0)),0,1)</f>
        <v>0</v>
      </c>
      <c r="S252" s="42" t="n">
        <f aca="false">IF(ISNUMBER(MATCH(B252,Calendar!$A$2:$A$25,0)),0,1)</f>
        <v>0</v>
      </c>
      <c r="T252" s="42" t="n">
        <f aca="false">IF(COUNTIF(Sales_Transactions!$A$2:$A$865,A252)&gt;1,1,0)</f>
        <v>0</v>
      </c>
      <c r="U252" s="42" t="n">
        <f aca="false">IF(OR(ABS(Sales_Transactions!F252*Sales_Transactions!G252-Sales_Transactions!I252)&gt;0.01,ABS(Sales_Transactions!F252*Sales_Transactions!H252-Sales_Transactions!J252)&gt;0.01,ABS(Sales_Transactions!I252-Sales_Transactions!J252-Sales_Transactions!K252)&gt;0.01),1,0)</f>
        <v>0</v>
      </c>
      <c r="V252" s="42" t="n">
        <f aca="false">IF(C252&lt;&gt;L252,1,0)</f>
        <v>0</v>
      </c>
      <c r="W252" s="42" t="n">
        <f aca="false">IF(SUM(Q252:V252)&gt;0,1,0)</f>
        <v>0</v>
      </c>
    </row>
    <row r="253" customFormat="false" ht="15" hidden="false" customHeight="false" outlineLevel="0" collapsed="false">
      <c r="A253" s="42" t="str">
        <f aca="false">Sales_Transactions!A253</f>
        <v>INV-07-036</v>
      </c>
      <c r="B253" s="42" t="str">
        <f aca="false">Sales_Transactions!B253</f>
        <v>2025-07</v>
      </c>
      <c r="C253" s="42" t="str">
        <f aca="false">Sales_Transactions!C253</f>
        <v>Actual</v>
      </c>
      <c r="D253" s="42" t="str">
        <f aca="false">Sales_Transactions!D253</f>
        <v>C024</v>
      </c>
      <c r="E253" s="42" t="str">
        <f aca="false">Sales_Transactions!E253</f>
        <v>P006</v>
      </c>
      <c r="F253" s="42" t="str">
        <f aca="false">IFERROR(INDEX(Customer_Master!$C$2:$C$49,MATCH(D253,Customer_Master!$A$2:$A$49,0)),"UNMATCHED")</f>
        <v>East</v>
      </c>
      <c r="G253" s="42" t="str">
        <f aca="false">IFERROR(INDEX(Customer_Master!$D$2:$D$49,MATCH(D253,Customer_Master!$A$2:$A$49,0)),"UNMATCHED")</f>
        <v>Retail</v>
      </c>
      <c r="H253" s="42" t="str">
        <f aca="false">IFERROR(INDEX(Product_Master!$C$2:$C$9,MATCH(E253,Product_Master!$A$2:$A$9,0)),"UNMATCHED")</f>
        <v>Foods</v>
      </c>
      <c r="I253" s="42" t="str">
        <f aca="false">IFERROR(INDEX(Product_Master!$B$2:$B$9,MATCH(E253,Product_Master!$A$2:$A$9,0)),"UNMATCHED")</f>
        <v>Breakfast Cereal</v>
      </c>
      <c r="J253" s="42" t="n">
        <f aca="false">IFERROR(INDEX(Calendar!$B$2:$B$25,MATCH(B253,Calendar!$A$2:$A$25,0)),0)</f>
        <v>2025</v>
      </c>
      <c r="K253" s="42" t="n">
        <f aca="false">IFERROR(VALUE(RIGHT(B253,2)),0)</f>
        <v>7</v>
      </c>
      <c r="L253" s="42" t="str">
        <f aca="false">IFERROR(INDEX(Calendar!$E$2:$E$25,MATCH(B253,Calendar!$A$2:$A$25,0)),"UNMATCHED")</f>
        <v>Actual</v>
      </c>
      <c r="M253" s="42" t="n">
        <f aca="false">Sales_Transactions!F253</f>
        <v>315</v>
      </c>
      <c r="N253" s="52" t="n">
        <f aca="false">Sales_Transactions!I253</f>
        <v>80977.05</v>
      </c>
      <c r="O253" s="52" t="n">
        <f aca="false">Sales_Transactions!J253</f>
        <v>48928.95</v>
      </c>
      <c r="P253" s="52" t="n">
        <f aca="false">Sales_Transactions!K253</f>
        <v>32048.1</v>
      </c>
      <c r="Q253" s="42" t="n">
        <f aca="false">IF(ISNUMBER(MATCH(E253,Product_Master!$A$2:$A$9,0)),0,1)</f>
        <v>0</v>
      </c>
      <c r="R253" s="42" t="n">
        <f aca="false">IF(ISNUMBER(MATCH(D253,Customer_Master!$A$2:$A$49,0)),0,1)</f>
        <v>0</v>
      </c>
      <c r="S253" s="42" t="n">
        <f aca="false">IF(ISNUMBER(MATCH(B253,Calendar!$A$2:$A$25,0)),0,1)</f>
        <v>0</v>
      </c>
      <c r="T253" s="42" t="n">
        <f aca="false">IF(COUNTIF(Sales_Transactions!$A$2:$A$865,A253)&gt;1,1,0)</f>
        <v>0</v>
      </c>
      <c r="U253" s="42" t="n">
        <f aca="false">IF(OR(ABS(Sales_Transactions!F253*Sales_Transactions!G253-Sales_Transactions!I253)&gt;0.01,ABS(Sales_Transactions!F253*Sales_Transactions!H253-Sales_Transactions!J253)&gt;0.01,ABS(Sales_Transactions!I253-Sales_Transactions!J253-Sales_Transactions!K253)&gt;0.01),1,0)</f>
        <v>0</v>
      </c>
      <c r="V253" s="42" t="n">
        <f aca="false">IF(C253&lt;&gt;L253,1,0)</f>
        <v>0</v>
      </c>
      <c r="W253" s="42" t="n">
        <f aca="false">IF(SUM(Q253:V253)&gt;0,1,0)</f>
        <v>0</v>
      </c>
    </row>
    <row r="254" customFormat="false" ht="15" hidden="false" customHeight="false" outlineLevel="0" collapsed="false">
      <c r="A254" s="42" t="str">
        <f aca="false">Sales_Transactions!A254</f>
        <v>INV-08-001</v>
      </c>
      <c r="B254" s="42" t="str">
        <f aca="false">Sales_Transactions!B254</f>
        <v>2025-08</v>
      </c>
      <c r="C254" s="42" t="str">
        <f aca="false">Sales_Transactions!C254</f>
        <v>Actual</v>
      </c>
      <c r="D254" s="42" t="str">
        <f aca="false">Sales_Transactions!D254</f>
        <v>C022</v>
      </c>
      <c r="E254" s="42" t="str">
        <f aca="false">Sales_Transactions!E254</f>
        <v>P008</v>
      </c>
      <c r="F254" s="42" t="str">
        <f aca="false">IFERROR(INDEX(Customer_Master!$C$2:$C$49,MATCH(D254,Customer_Master!$A$2:$A$49,0)),"UNMATCHED")</f>
        <v>North</v>
      </c>
      <c r="G254" s="42" t="str">
        <f aca="false">IFERROR(INDEX(Customer_Master!$D$2:$D$49,MATCH(D254,Customer_Master!$A$2:$A$49,0)),"UNMATCHED")</f>
        <v>Distributor</v>
      </c>
      <c r="H254" s="42" t="str">
        <f aca="false">IFERROR(INDEX(Product_Master!$C$2:$C$9,MATCH(E254,Product_Master!$A$2:$A$9,0)),"UNMATCHED")</f>
        <v>Personal Care</v>
      </c>
      <c r="I254" s="42" t="str">
        <f aca="false">IFERROR(INDEX(Product_Master!$B$2:$B$9,MATCH(E254,Product_Master!$A$2:$A$9,0)),"UNMATCHED")</f>
        <v>Body Lotion</v>
      </c>
      <c r="J254" s="42" t="n">
        <f aca="false">IFERROR(INDEX(Calendar!$B$2:$B$25,MATCH(B254,Calendar!$A$2:$A$25,0)),0)</f>
        <v>2025</v>
      </c>
      <c r="K254" s="42" t="n">
        <f aca="false">IFERROR(VALUE(RIGHT(B254,2)),0)</f>
        <v>8</v>
      </c>
      <c r="L254" s="42" t="str">
        <f aca="false">IFERROR(INDEX(Calendar!$E$2:$E$25,MATCH(B254,Calendar!$A$2:$A$25,0)),"UNMATCHED")</f>
        <v>Actual</v>
      </c>
      <c r="M254" s="42" t="n">
        <f aca="false">Sales_Transactions!F254</f>
        <v>386</v>
      </c>
      <c r="N254" s="52" t="n">
        <f aca="false">Sales_Transactions!I254</f>
        <v>127796.88</v>
      </c>
      <c r="O254" s="52" t="n">
        <f aca="false">Sales_Transactions!J254</f>
        <v>77709.52</v>
      </c>
      <c r="P254" s="52" t="n">
        <f aca="false">Sales_Transactions!K254</f>
        <v>50087.36</v>
      </c>
      <c r="Q254" s="42" t="n">
        <f aca="false">IF(ISNUMBER(MATCH(E254,Product_Master!$A$2:$A$9,0)),0,1)</f>
        <v>0</v>
      </c>
      <c r="R254" s="42" t="n">
        <f aca="false">IF(ISNUMBER(MATCH(D254,Customer_Master!$A$2:$A$49,0)),0,1)</f>
        <v>0</v>
      </c>
      <c r="S254" s="42" t="n">
        <f aca="false">IF(ISNUMBER(MATCH(B254,Calendar!$A$2:$A$25,0)),0,1)</f>
        <v>0</v>
      </c>
      <c r="T254" s="42" t="n">
        <f aca="false">IF(COUNTIF(Sales_Transactions!$A$2:$A$865,A254)&gt;1,1,0)</f>
        <v>0</v>
      </c>
      <c r="U254" s="42" t="n">
        <f aca="false">IF(OR(ABS(Sales_Transactions!F254*Sales_Transactions!G254-Sales_Transactions!I254)&gt;0.01,ABS(Sales_Transactions!F254*Sales_Transactions!H254-Sales_Transactions!J254)&gt;0.01,ABS(Sales_Transactions!I254-Sales_Transactions!J254-Sales_Transactions!K254)&gt;0.01),1,0)</f>
        <v>0</v>
      </c>
      <c r="V254" s="42" t="n">
        <f aca="false">IF(C254&lt;&gt;L254,1,0)</f>
        <v>0</v>
      </c>
      <c r="W254" s="42" t="n">
        <f aca="false">IF(SUM(Q254:V254)&gt;0,1,0)</f>
        <v>0</v>
      </c>
    </row>
    <row r="255" customFormat="false" ht="15" hidden="false" customHeight="false" outlineLevel="0" collapsed="false">
      <c r="A255" s="42" t="str">
        <f aca="false">Sales_Transactions!A255</f>
        <v>INV-08-002</v>
      </c>
      <c r="B255" s="42" t="str">
        <f aca="false">Sales_Transactions!B255</f>
        <v>2025-08</v>
      </c>
      <c r="C255" s="42" t="str">
        <f aca="false">Sales_Transactions!C255</f>
        <v>Actual</v>
      </c>
      <c r="D255" s="42" t="str">
        <f aca="false">Sales_Transactions!D255</f>
        <v>C029</v>
      </c>
      <c r="E255" s="42" t="str">
        <f aca="false">Sales_Transactions!E255</f>
        <v>P005</v>
      </c>
      <c r="F255" s="42" t="str">
        <f aca="false">IFERROR(INDEX(Customer_Master!$C$2:$C$49,MATCH(D255,Customer_Master!$A$2:$A$49,0)),"UNMATCHED")</f>
        <v>South</v>
      </c>
      <c r="G255" s="42" t="str">
        <f aca="false">IFERROR(INDEX(Customer_Master!$D$2:$D$49,MATCH(D255,Customer_Master!$A$2:$A$49,0)),"UNMATCHED")</f>
        <v>Modern Trade</v>
      </c>
      <c r="H255" s="42" t="str">
        <f aca="false">IFERROR(INDEX(Product_Master!$C$2:$C$9,MATCH(E255,Product_Master!$A$2:$A$9,0)),"UNMATCHED")</f>
        <v>Foods</v>
      </c>
      <c r="I255" s="42" t="str">
        <f aca="false">IFERROR(INDEX(Product_Master!$B$2:$B$9,MATCH(E255,Product_Master!$A$2:$A$9,0)),"UNMATCHED")</f>
        <v>Biscuits 500g</v>
      </c>
      <c r="J255" s="42" t="n">
        <f aca="false">IFERROR(INDEX(Calendar!$B$2:$B$25,MATCH(B255,Calendar!$A$2:$A$25,0)),0)</f>
        <v>2025</v>
      </c>
      <c r="K255" s="42" t="n">
        <f aca="false">IFERROR(VALUE(RIGHT(B255,2)),0)</f>
        <v>8</v>
      </c>
      <c r="L255" s="42" t="str">
        <f aca="false">IFERROR(INDEX(Calendar!$E$2:$E$25,MATCH(B255,Calendar!$A$2:$A$25,0)),"UNMATCHED")</f>
        <v>Actual</v>
      </c>
      <c r="M255" s="42" t="n">
        <f aca="false">Sales_Transactions!F255</f>
        <v>402</v>
      </c>
      <c r="N255" s="52" t="n">
        <f aca="false">Sales_Transactions!I255</f>
        <v>39701.52</v>
      </c>
      <c r="O255" s="52" t="n">
        <f aca="false">Sales_Transactions!J255</f>
        <v>28960.08</v>
      </c>
      <c r="P255" s="52" t="n">
        <f aca="false">Sales_Transactions!K255</f>
        <v>10741.44</v>
      </c>
      <c r="Q255" s="42" t="n">
        <f aca="false">IF(ISNUMBER(MATCH(E255,Product_Master!$A$2:$A$9,0)),0,1)</f>
        <v>0</v>
      </c>
      <c r="R255" s="42" t="n">
        <f aca="false">IF(ISNUMBER(MATCH(D255,Customer_Master!$A$2:$A$49,0)),0,1)</f>
        <v>0</v>
      </c>
      <c r="S255" s="42" t="n">
        <f aca="false">IF(ISNUMBER(MATCH(B255,Calendar!$A$2:$A$25,0)),0,1)</f>
        <v>0</v>
      </c>
      <c r="T255" s="42" t="n">
        <f aca="false">IF(COUNTIF(Sales_Transactions!$A$2:$A$865,A255)&gt;1,1,0)</f>
        <v>0</v>
      </c>
      <c r="U255" s="42" t="n">
        <f aca="false">IF(OR(ABS(Sales_Transactions!F255*Sales_Transactions!G255-Sales_Transactions!I255)&gt;0.01,ABS(Sales_Transactions!F255*Sales_Transactions!H255-Sales_Transactions!J255)&gt;0.01,ABS(Sales_Transactions!I255-Sales_Transactions!J255-Sales_Transactions!K255)&gt;0.01),1,0)</f>
        <v>0</v>
      </c>
      <c r="V255" s="42" t="n">
        <f aca="false">IF(C255&lt;&gt;L255,1,0)</f>
        <v>0</v>
      </c>
      <c r="W255" s="42" t="n">
        <f aca="false">IF(SUM(Q255:V255)&gt;0,1,0)</f>
        <v>0</v>
      </c>
    </row>
    <row r="256" customFormat="false" ht="15" hidden="false" customHeight="false" outlineLevel="0" collapsed="false">
      <c r="A256" s="42" t="str">
        <f aca="false">Sales_Transactions!A256</f>
        <v>INV-08-003</v>
      </c>
      <c r="B256" s="42" t="str">
        <f aca="false">Sales_Transactions!B256</f>
        <v>2025-08</v>
      </c>
      <c r="C256" s="42" t="str">
        <f aca="false">Sales_Transactions!C256</f>
        <v>Actual</v>
      </c>
      <c r="D256" s="42" t="str">
        <f aca="false">Sales_Transactions!D256</f>
        <v>C036</v>
      </c>
      <c r="E256" s="42" t="str">
        <f aca="false">Sales_Transactions!E256</f>
        <v>P002</v>
      </c>
      <c r="F256" s="42" t="str">
        <f aca="false">IFERROR(INDEX(Customer_Master!$C$2:$C$49,MATCH(D256,Customer_Master!$A$2:$A$49,0)),"UNMATCHED")</f>
        <v>East</v>
      </c>
      <c r="G256" s="42" t="str">
        <f aca="false">IFERROR(INDEX(Customer_Master!$D$2:$D$49,MATCH(D256,Customer_Master!$A$2:$A$49,0)),"UNMATCHED")</f>
        <v>Retail</v>
      </c>
      <c r="H256" s="42" t="str">
        <f aca="false">IFERROR(INDEX(Product_Master!$C$2:$C$9,MATCH(E256,Product_Master!$A$2:$A$9,0)),"UNMATCHED")</f>
        <v>Home Care</v>
      </c>
      <c r="I256" s="42" t="str">
        <f aca="false">IFERROR(INDEX(Product_Master!$B$2:$B$9,MATCH(E256,Product_Master!$A$2:$A$9,0)),"UNMATCHED")</f>
        <v>Dishwash Gel</v>
      </c>
      <c r="J256" s="42" t="n">
        <f aca="false">IFERROR(INDEX(Calendar!$B$2:$B$25,MATCH(B256,Calendar!$A$2:$A$25,0)),0)</f>
        <v>2025</v>
      </c>
      <c r="K256" s="42" t="n">
        <f aca="false">IFERROR(VALUE(RIGHT(B256,2)),0)</f>
        <v>8</v>
      </c>
      <c r="L256" s="42" t="str">
        <f aca="false">IFERROR(INDEX(Calendar!$E$2:$E$25,MATCH(B256,Calendar!$A$2:$A$25,0)),"UNMATCHED")</f>
        <v>Actual</v>
      </c>
      <c r="M256" s="42" t="n">
        <f aca="false">Sales_Transactions!F256</f>
        <v>135</v>
      </c>
      <c r="N256" s="52" t="n">
        <f aca="false">Sales_Transactions!I256</f>
        <v>19832.85</v>
      </c>
      <c r="O256" s="52" t="n">
        <f aca="false">Sales_Transactions!J256</f>
        <v>10902.6</v>
      </c>
      <c r="P256" s="52" t="n">
        <f aca="false">Sales_Transactions!K256</f>
        <v>8930.25</v>
      </c>
      <c r="Q256" s="42" t="n">
        <f aca="false">IF(ISNUMBER(MATCH(E256,Product_Master!$A$2:$A$9,0)),0,1)</f>
        <v>0</v>
      </c>
      <c r="R256" s="42" t="n">
        <f aca="false">IF(ISNUMBER(MATCH(D256,Customer_Master!$A$2:$A$49,0)),0,1)</f>
        <v>0</v>
      </c>
      <c r="S256" s="42" t="n">
        <f aca="false">IF(ISNUMBER(MATCH(B256,Calendar!$A$2:$A$25,0)),0,1)</f>
        <v>0</v>
      </c>
      <c r="T256" s="42" t="n">
        <f aca="false">IF(COUNTIF(Sales_Transactions!$A$2:$A$865,A256)&gt;1,1,0)</f>
        <v>0</v>
      </c>
      <c r="U256" s="42" t="n">
        <f aca="false">IF(OR(ABS(Sales_Transactions!F256*Sales_Transactions!G256-Sales_Transactions!I256)&gt;0.01,ABS(Sales_Transactions!F256*Sales_Transactions!H256-Sales_Transactions!J256)&gt;0.01,ABS(Sales_Transactions!I256-Sales_Transactions!J256-Sales_Transactions!K256)&gt;0.01),1,0)</f>
        <v>0</v>
      </c>
      <c r="V256" s="42" t="n">
        <f aca="false">IF(C256&lt;&gt;L256,1,0)</f>
        <v>0</v>
      </c>
      <c r="W256" s="42" t="n">
        <f aca="false">IF(SUM(Q256:V256)&gt;0,1,0)</f>
        <v>0</v>
      </c>
    </row>
    <row r="257" customFormat="false" ht="15" hidden="false" customHeight="false" outlineLevel="0" collapsed="false">
      <c r="A257" s="42" t="str">
        <f aca="false">Sales_Transactions!A257</f>
        <v>INV-08-004</v>
      </c>
      <c r="B257" s="42" t="str">
        <f aca="false">Sales_Transactions!B257</f>
        <v>2025-08</v>
      </c>
      <c r="C257" s="42" t="str">
        <f aca="false">Sales_Transactions!C257</f>
        <v>Actual</v>
      </c>
      <c r="D257" s="42" t="str">
        <f aca="false">Sales_Transactions!D257</f>
        <v>C043</v>
      </c>
      <c r="E257" s="42" t="str">
        <f aca="false">Sales_Transactions!E257</f>
        <v>P007</v>
      </c>
      <c r="F257" s="42" t="str">
        <f aca="false">IFERROR(INDEX(Customer_Master!$C$2:$C$49,MATCH(D257,Customer_Master!$A$2:$A$49,0)),"UNMATCHED")</f>
        <v>West</v>
      </c>
      <c r="G257" s="42" t="str">
        <f aca="false">IFERROR(INDEX(Customer_Master!$D$2:$D$49,MATCH(D257,Customer_Master!$A$2:$A$49,0)),"UNMATCHED")</f>
        <v>Distributor</v>
      </c>
      <c r="H257" s="42" t="str">
        <f aca="false">IFERROR(INDEX(Product_Master!$C$2:$C$9,MATCH(E257,Product_Master!$A$2:$A$9,0)),"UNMATCHED")</f>
        <v>Home Care</v>
      </c>
      <c r="I257" s="42" t="str">
        <f aca="false">IFERROR(INDEX(Product_Master!$B$2:$B$9,MATCH(E257,Product_Master!$A$2:$A$9,0)),"UNMATCHED")</f>
        <v>Floor Cleaner</v>
      </c>
      <c r="J257" s="42" t="n">
        <f aca="false">IFERROR(INDEX(Calendar!$B$2:$B$25,MATCH(B257,Calendar!$A$2:$A$25,0)),0)</f>
        <v>2025</v>
      </c>
      <c r="K257" s="42" t="n">
        <f aca="false">IFERROR(VALUE(RIGHT(B257,2)),0)</f>
        <v>8</v>
      </c>
      <c r="L257" s="42" t="str">
        <f aca="false">IFERROR(INDEX(Calendar!$E$2:$E$25,MATCH(B257,Calendar!$A$2:$A$25,0)),"UNMATCHED")</f>
        <v>Actual</v>
      </c>
      <c r="M257" s="42" t="n">
        <f aca="false">Sales_Transactions!F257</f>
        <v>193</v>
      </c>
      <c r="N257" s="52" t="n">
        <f aca="false">Sales_Transactions!I257</f>
        <v>33898.52</v>
      </c>
      <c r="O257" s="52" t="n">
        <f aca="false">Sales_Transactions!J257</f>
        <v>20961.73</v>
      </c>
      <c r="P257" s="52" t="n">
        <f aca="false">Sales_Transactions!K257</f>
        <v>12936.79</v>
      </c>
      <c r="Q257" s="42" t="n">
        <f aca="false">IF(ISNUMBER(MATCH(E257,Product_Master!$A$2:$A$9,0)),0,1)</f>
        <v>0</v>
      </c>
      <c r="R257" s="42" t="n">
        <f aca="false">IF(ISNUMBER(MATCH(D257,Customer_Master!$A$2:$A$49,0)),0,1)</f>
        <v>0</v>
      </c>
      <c r="S257" s="42" t="n">
        <f aca="false">IF(ISNUMBER(MATCH(B257,Calendar!$A$2:$A$25,0)),0,1)</f>
        <v>0</v>
      </c>
      <c r="T257" s="42" t="n">
        <f aca="false">IF(COUNTIF(Sales_Transactions!$A$2:$A$865,A257)&gt;1,1,0)</f>
        <v>0</v>
      </c>
      <c r="U257" s="42" t="n">
        <f aca="false">IF(OR(ABS(Sales_Transactions!F257*Sales_Transactions!G257-Sales_Transactions!I257)&gt;0.01,ABS(Sales_Transactions!F257*Sales_Transactions!H257-Sales_Transactions!J257)&gt;0.01,ABS(Sales_Transactions!I257-Sales_Transactions!J257-Sales_Transactions!K257)&gt;0.01),1,0)</f>
        <v>0</v>
      </c>
      <c r="V257" s="42" t="n">
        <f aca="false">IF(C257&lt;&gt;L257,1,0)</f>
        <v>0</v>
      </c>
      <c r="W257" s="42" t="n">
        <f aca="false">IF(SUM(Q257:V257)&gt;0,1,0)</f>
        <v>0</v>
      </c>
    </row>
    <row r="258" customFormat="false" ht="15" hidden="false" customHeight="false" outlineLevel="0" collapsed="false">
      <c r="A258" s="42" t="str">
        <f aca="false">Sales_Transactions!A258</f>
        <v>INV-08-005</v>
      </c>
      <c r="B258" s="42" t="str">
        <f aca="false">Sales_Transactions!B258</f>
        <v>2025-08</v>
      </c>
      <c r="C258" s="42" t="str">
        <f aca="false">Sales_Transactions!C258</f>
        <v>Actual</v>
      </c>
      <c r="D258" s="42" t="str">
        <f aca="false">Sales_Transactions!D258</f>
        <v>C002</v>
      </c>
      <c r="E258" s="42" t="str">
        <f aca="false">Sales_Transactions!E258</f>
        <v>P004</v>
      </c>
      <c r="F258" s="42" t="str">
        <f aca="false">IFERROR(INDEX(Customer_Master!$C$2:$C$49,MATCH(D258,Customer_Master!$A$2:$A$49,0)),"UNMATCHED")</f>
        <v>North</v>
      </c>
      <c r="G258" s="42" t="str">
        <f aca="false">IFERROR(INDEX(Customer_Master!$D$2:$D$49,MATCH(D258,Customer_Master!$A$2:$A$49,0)),"UNMATCHED")</f>
        <v>Modern Trade</v>
      </c>
      <c r="H258" s="42" t="str">
        <f aca="false">IFERROR(INDEX(Product_Master!$C$2:$C$9,MATCH(E258,Product_Master!$A$2:$A$9,0)),"UNMATCHED")</f>
        <v>Personal Care</v>
      </c>
      <c r="I258" s="42" t="str">
        <f aca="false">IFERROR(INDEX(Product_Master!$B$2:$B$9,MATCH(E258,Product_Master!$A$2:$A$9,0)),"UNMATCHED")</f>
        <v>Soap 4-pack</v>
      </c>
      <c r="J258" s="42" t="n">
        <f aca="false">IFERROR(INDEX(Calendar!$B$2:$B$25,MATCH(B258,Calendar!$A$2:$A$25,0)),0)</f>
        <v>2025</v>
      </c>
      <c r="K258" s="42" t="n">
        <f aca="false">IFERROR(VALUE(RIGHT(B258,2)),0)</f>
        <v>8</v>
      </c>
      <c r="L258" s="42" t="str">
        <f aca="false">IFERROR(INDEX(Calendar!$E$2:$E$25,MATCH(B258,Calendar!$A$2:$A$25,0)),"UNMATCHED")</f>
        <v>Actual</v>
      </c>
      <c r="M258" s="42" t="n">
        <f aca="false">Sales_Transactions!F258</f>
        <v>207</v>
      </c>
      <c r="N258" s="52" t="n">
        <f aca="false">Sales_Transactions!I258</f>
        <v>33057.9</v>
      </c>
      <c r="O258" s="52" t="n">
        <f aca="false">Sales_Transactions!J258</f>
        <v>19255.14</v>
      </c>
      <c r="P258" s="52" t="n">
        <f aca="false">Sales_Transactions!K258</f>
        <v>13802.76</v>
      </c>
      <c r="Q258" s="42" t="n">
        <f aca="false">IF(ISNUMBER(MATCH(E258,Product_Master!$A$2:$A$9,0)),0,1)</f>
        <v>0</v>
      </c>
      <c r="R258" s="42" t="n">
        <f aca="false">IF(ISNUMBER(MATCH(D258,Customer_Master!$A$2:$A$49,0)),0,1)</f>
        <v>0</v>
      </c>
      <c r="S258" s="42" t="n">
        <f aca="false">IF(ISNUMBER(MATCH(B258,Calendar!$A$2:$A$25,0)),0,1)</f>
        <v>0</v>
      </c>
      <c r="T258" s="42" t="n">
        <f aca="false">IF(COUNTIF(Sales_Transactions!$A$2:$A$865,A258)&gt;1,1,0)</f>
        <v>0</v>
      </c>
      <c r="U258" s="42" t="n">
        <f aca="false">IF(OR(ABS(Sales_Transactions!F258*Sales_Transactions!G258-Sales_Transactions!I258)&gt;0.01,ABS(Sales_Transactions!F258*Sales_Transactions!H258-Sales_Transactions!J258)&gt;0.01,ABS(Sales_Transactions!I258-Sales_Transactions!J258-Sales_Transactions!K258)&gt;0.01),1,0)</f>
        <v>0</v>
      </c>
      <c r="V258" s="42" t="n">
        <f aca="false">IF(C258&lt;&gt;L258,1,0)</f>
        <v>0</v>
      </c>
      <c r="W258" s="42" t="n">
        <f aca="false">IF(SUM(Q258:V258)&gt;0,1,0)</f>
        <v>0</v>
      </c>
    </row>
    <row r="259" customFormat="false" ht="15" hidden="false" customHeight="false" outlineLevel="0" collapsed="false">
      <c r="A259" s="42" t="str">
        <f aca="false">Sales_Transactions!A259</f>
        <v>INV-08-006</v>
      </c>
      <c r="B259" s="42" t="str">
        <f aca="false">Sales_Transactions!B259</f>
        <v>2025-08</v>
      </c>
      <c r="C259" s="42" t="str">
        <f aca="false">Sales_Transactions!C259</f>
        <v>Actual</v>
      </c>
      <c r="D259" s="42" t="str">
        <f aca="false">Sales_Transactions!D259</f>
        <v>C009</v>
      </c>
      <c r="E259" s="42" t="str">
        <f aca="false">Sales_Transactions!E259</f>
        <v>P001</v>
      </c>
      <c r="F259" s="42" t="str">
        <f aca="false">IFERROR(INDEX(Customer_Master!$C$2:$C$49,MATCH(D259,Customer_Master!$A$2:$A$49,0)),"UNMATCHED")</f>
        <v>South</v>
      </c>
      <c r="G259" s="42" t="str">
        <f aca="false">IFERROR(INDEX(Customer_Master!$D$2:$D$49,MATCH(D259,Customer_Master!$A$2:$A$49,0)),"UNMATCHED")</f>
        <v>Retail</v>
      </c>
      <c r="H259" s="42" t="str">
        <f aca="false">IFERROR(INDEX(Product_Master!$C$2:$C$9,MATCH(E259,Product_Master!$A$2:$A$9,0)),"UNMATCHED")</f>
        <v>Home Care</v>
      </c>
      <c r="I259" s="42" t="str">
        <f aca="false">IFERROR(INDEX(Product_Master!$B$2:$B$9,MATCH(E259,Product_Master!$A$2:$A$9,0)),"UNMATCHED")</f>
        <v>Detergent 1kg</v>
      </c>
      <c r="J259" s="42" t="n">
        <f aca="false">IFERROR(INDEX(Calendar!$B$2:$B$25,MATCH(B259,Calendar!$A$2:$A$25,0)),0)</f>
        <v>2025</v>
      </c>
      <c r="K259" s="42" t="n">
        <f aca="false">IFERROR(VALUE(RIGHT(B259,2)),0)</f>
        <v>8</v>
      </c>
      <c r="L259" s="42" t="str">
        <f aca="false">IFERROR(INDEX(Calendar!$E$2:$E$25,MATCH(B259,Calendar!$A$2:$A$25,0)),"UNMATCHED")</f>
        <v>Actual</v>
      </c>
      <c r="M259" s="42" t="n">
        <f aca="false">Sales_Transactions!F259</f>
        <v>86</v>
      </c>
      <c r="N259" s="52" t="n">
        <f aca="false">Sales_Transactions!I259</f>
        <v>17032.3</v>
      </c>
      <c r="O259" s="52" t="n">
        <f aca="false">Sales_Transactions!J259</f>
        <v>11837.04</v>
      </c>
      <c r="P259" s="52" t="n">
        <f aca="false">Sales_Transactions!K259</f>
        <v>5195.26</v>
      </c>
      <c r="Q259" s="42" t="n">
        <f aca="false">IF(ISNUMBER(MATCH(E259,Product_Master!$A$2:$A$9,0)),0,1)</f>
        <v>0</v>
      </c>
      <c r="R259" s="42" t="n">
        <f aca="false">IF(ISNUMBER(MATCH(D259,Customer_Master!$A$2:$A$49,0)),0,1)</f>
        <v>0</v>
      </c>
      <c r="S259" s="42" t="n">
        <f aca="false">IF(ISNUMBER(MATCH(B259,Calendar!$A$2:$A$25,0)),0,1)</f>
        <v>0</v>
      </c>
      <c r="T259" s="42" t="n">
        <f aca="false">IF(COUNTIF(Sales_Transactions!$A$2:$A$865,A259)&gt;1,1,0)</f>
        <v>0</v>
      </c>
      <c r="U259" s="42" t="n">
        <f aca="false">IF(OR(ABS(Sales_Transactions!F259*Sales_Transactions!G259-Sales_Transactions!I259)&gt;0.01,ABS(Sales_Transactions!F259*Sales_Transactions!H259-Sales_Transactions!J259)&gt;0.01,ABS(Sales_Transactions!I259-Sales_Transactions!J259-Sales_Transactions!K259)&gt;0.01),1,0)</f>
        <v>0</v>
      </c>
      <c r="V259" s="42" t="n">
        <f aca="false">IF(C259&lt;&gt;L259,1,0)</f>
        <v>0</v>
      </c>
      <c r="W259" s="42" t="n">
        <f aca="false">IF(SUM(Q259:V259)&gt;0,1,0)</f>
        <v>0</v>
      </c>
    </row>
    <row r="260" customFormat="false" ht="15" hidden="false" customHeight="false" outlineLevel="0" collapsed="false">
      <c r="A260" s="42" t="str">
        <f aca="false">Sales_Transactions!A260</f>
        <v>INV-08-007</v>
      </c>
      <c r="B260" s="42" t="str">
        <f aca="false">Sales_Transactions!B260</f>
        <v>2025-08</v>
      </c>
      <c r="C260" s="42" t="str">
        <f aca="false">Sales_Transactions!C260</f>
        <v>Actual</v>
      </c>
      <c r="D260" s="42" t="str">
        <f aca="false">Sales_Transactions!D260</f>
        <v>C016</v>
      </c>
      <c r="E260" s="42" t="str">
        <f aca="false">Sales_Transactions!E260</f>
        <v>P006</v>
      </c>
      <c r="F260" s="42" t="str">
        <f aca="false">IFERROR(INDEX(Customer_Master!$C$2:$C$49,MATCH(D260,Customer_Master!$A$2:$A$49,0)),"UNMATCHED")</f>
        <v>East</v>
      </c>
      <c r="G260" s="42" t="str">
        <f aca="false">IFERROR(INDEX(Customer_Master!$D$2:$D$49,MATCH(D260,Customer_Master!$A$2:$A$49,0)),"UNMATCHED")</f>
        <v>Distributor</v>
      </c>
      <c r="H260" s="42" t="str">
        <f aca="false">IFERROR(INDEX(Product_Master!$C$2:$C$9,MATCH(E260,Product_Master!$A$2:$A$9,0)),"UNMATCHED")</f>
        <v>Foods</v>
      </c>
      <c r="I260" s="42" t="str">
        <f aca="false">IFERROR(INDEX(Product_Master!$B$2:$B$9,MATCH(E260,Product_Master!$A$2:$A$9,0)),"UNMATCHED")</f>
        <v>Breakfast Cereal</v>
      </c>
      <c r="J260" s="42" t="n">
        <f aca="false">IFERROR(INDEX(Calendar!$B$2:$B$25,MATCH(B260,Calendar!$A$2:$A$25,0)),0)</f>
        <v>2025</v>
      </c>
      <c r="K260" s="42" t="n">
        <f aca="false">IFERROR(VALUE(RIGHT(B260,2)),0)</f>
        <v>8</v>
      </c>
      <c r="L260" s="42" t="str">
        <f aca="false">IFERROR(INDEX(Calendar!$E$2:$E$25,MATCH(B260,Calendar!$A$2:$A$25,0)),"UNMATCHED")</f>
        <v>Actual</v>
      </c>
      <c r="M260" s="42" t="n">
        <f aca="false">Sales_Transactions!F260</f>
        <v>325</v>
      </c>
      <c r="N260" s="52" t="n">
        <f aca="false">Sales_Transactions!I260</f>
        <v>76898.25</v>
      </c>
      <c r="O260" s="52" t="n">
        <f aca="false">Sales_Transactions!J260</f>
        <v>50079.25</v>
      </c>
      <c r="P260" s="52" t="n">
        <f aca="false">Sales_Transactions!K260</f>
        <v>26819</v>
      </c>
      <c r="Q260" s="42" t="n">
        <f aca="false">IF(ISNUMBER(MATCH(E260,Product_Master!$A$2:$A$9,0)),0,1)</f>
        <v>0</v>
      </c>
      <c r="R260" s="42" t="n">
        <f aca="false">IF(ISNUMBER(MATCH(D260,Customer_Master!$A$2:$A$49,0)),0,1)</f>
        <v>0</v>
      </c>
      <c r="S260" s="42" t="n">
        <f aca="false">IF(ISNUMBER(MATCH(B260,Calendar!$A$2:$A$25,0)),0,1)</f>
        <v>0</v>
      </c>
      <c r="T260" s="42" t="n">
        <f aca="false">IF(COUNTIF(Sales_Transactions!$A$2:$A$865,A260)&gt;1,1,0)</f>
        <v>0</v>
      </c>
      <c r="U260" s="42" t="n">
        <f aca="false">IF(OR(ABS(Sales_Transactions!F260*Sales_Transactions!G260-Sales_Transactions!I260)&gt;0.01,ABS(Sales_Transactions!F260*Sales_Transactions!H260-Sales_Transactions!J260)&gt;0.01,ABS(Sales_Transactions!I260-Sales_Transactions!J260-Sales_Transactions!K260)&gt;0.01),1,0)</f>
        <v>0</v>
      </c>
      <c r="V260" s="42" t="n">
        <f aca="false">IF(C260&lt;&gt;L260,1,0)</f>
        <v>0</v>
      </c>
      <c r="W260" s="42" t="n">
        <f aca="false">IF(SUM(Q260:V260)&gt;0,1,0)</f>
        <v>0</v>
      </c>
    </row>
    <row r="261" customFormat="false" ht="15" hidden="false" customHeight="false" outlineLevel="0" collapsed="false">
      <c r="A261" s="42" t="str">
        <f aca="false">Sales_Transactions!A261</f>
        <v>INV-08-008</v>
      </c>
      <c r="B261" s="42" t="str">
        <f aca="false">Sales_Transactions!B261</f>
        <v>2025-08</v>
      </c>
      <c r="C261" s="42" t="str">
        <f aca="false">Sales_Transactions!C261</f>
        <v>Actual</v>
      </c>
      <c r="D261" s="42" t="str">
        <f aca="false">Sales_Transactions!D261</f>
        <v>C023</v>
      </c>
      <c r="E261" s="42" t="str">
        <f aca="false">Sales_Transactions!E261</f>
        <v>P003</v>
      </c>
      <c r="F261" s="42" t="str">
        <f aca="false">IFERROR(INDEX(Customer_Master!$C$2:$C$49,MATCH(D261,Customer_Master!$A$2:$A$49,0)),"UNMATCHED")</f>
        <v>West</v>
      </c>
      <c r="G261" s="42" t="str">
        <f aca="false">IFERROR(INDEX(Customer_Master!$D$2:$D$49,MATCH(D261,Customer_Master!$A$2:$A$49,0)),"UNMATCHED")</f>
        <v>Modern Trade</v>
      </c>
      <c r="H261" s="42" t="str">
        <f aca="false">IFERROR(INDEX(Product_Master!$C$2:$C$9,MATCH(E261,Product_Master!$A$2:$A$9,0)),"UNMATCHED")</f>
        <v>Personal Care</v>
      </c>
      <c r="I261" s="42" t="str">
        <f aca="false">IFERROR(INDEX(Product_Master!$B$2:$B$9,MATCH(E261,Product_Master!$A$2:$A$9,0)),"UNMATCHED")</f>
        <v>Shampoo 400ml</v>
      </c>
      <c r="J261" s="42" t="n">
        <f aca="false">IFERROR(INDEX(Calendar!$B$2:$B$25,MATCH(B261,Calendar!$A$2:$A$25,0)),0)</f>
        <v>2025</v>
      </c>
      <c r="K261" s="42" t="n">
        <f aca="false">IFERROR(VALUE(RIGHT(B261,2)),0)</f>
        <v>8</v>
      </c>
      <c r="L261" s="42" t="str">
        <f aca="false">IFERROR(INDEX(Calendar!$E$2:$E$25,MATCH(B261,Calendar!$A$2:$A$25,0)),"UNMATCHED")</f>
        <v>Actual</v>
      </c>
      <c r="M261" s="42" t="n">
        <f aca="false">Sales_Transactions!F261</f>
        <v>446</v>
      </c>
      <c r="N261" s="52" t="n">
        <f aca="false">Sales_Transactions!I261</f>
        <v>115732.54</v>
      </c>
      <c r="O261" s="52" t="n">
        <f aca="false">Sales_Transactions!J261</f>
        <v>81082.8</v>
      </c>
      <c r="P261" s="52" t="n">
        <f aca="false">Sales_Transactions!K261</f>
        <v>34649.74</v>
      </c>
      <c r="Q261" s="42" t="n">
        <f aca="false">IF(ISNUMBER(MATCH(E261,Product_Master!$A$2:$A$9,0)),0,1)</f>
        <v>0</v>
      </c>
      <c r="R261" s="42" t="n">
        <f aca="false">IF(ISNUMBER(MATCH(D261,Customer_Master!$A$2:$A$49,0)),0,1)</f>
        <v>0</v>
      </c>
      <c r="S261" s="42" t="n">
        <f aca="false">IF(ISNUMBER(MATCH(B261,Calendar!$A$2:$A$25,0)),0,1)</f>
        <v>0</v>
      </c>
      <c r="T261" s="42" t="n">
        <f aca="false">IF(COUNTIF(Sales_Transactions!$A$2:$A$865,A261)&gt;1,1,0)</f>
        <v>0</v>
      </c>
      <c r="U261" s="42" t="n">
        <f aca="false">IF(OR(ABS(Sales_Transactions!F261*Sales_Transactions!G261-Sales_Transactions!I261)&gt;0.01,ABS(Sales_Transactions!F261*Sales_Transactions!H261-Sales_Transactions!J261)&gt;0.01,ABS(Sales_Transactions!I261-Sales_Transactions!J261-Sales_Transactions!K261)&gt;0.01),1,0)</f>
        <v>0</v>
      </c>
      <c r="V261" s="42" t="n">
        <f aca="false">IF(C261&lt;&gt;L261,1,0)</f>
        <v>0</v>
      </c>
      <c r="W261" s="42" t="n">
        <f aca="false">IF(SUM(Q261:V261)&gt;0,1,0)</f>
        <v>0</v>
      </c>
    </row>
    <row r="262" customFormat="false" ht="15" hidden="false" customHeight="false" outlineLevel="0" collapsed="false">
      <c r="A262" s="42" t="str">
        <f aca="false">Sales_Transactions!A262</f>
        <v>INV-08-009</v>
      </c>
      <c r="B262" s="42" t="str">
        <f aca="false">Sales_Transactions!B262</f>
        <v>2025-08</v>
      </c>
      <c r="C262" s="42" t="str">
        <f aca="false">Sales_Transactions!C262</f>
        <v>Actual</v>
      </c>
      <c r="D262" s="42" t="str">
        <f aca="false">Sales_Transactions!D262</f>
        <v>C030</v>
      </c>
      <c r="E262" s="42" t="str">
        <f aca="false">Sales_Transactions!E262</f>
        <v>P008</v>
      </c>
      <c r="F262" s="42" t="str">
        <f aca="false">IFERROR(INDEX(Customer_Master!$C$2:$C$49,MATCH(D262,Customer_Master!$A$2:$A$49,0)),"UNMATCHED")</f>
        <v>North</v>
      </c>
      <c r="G262" s="42" t="str">
        <f aca="false">IFERROR(INDEX(Customer_Master!$D$2:$D$49,MATCH(D262,Customer_Master!$A$2:$A$49,0)),"UNMATCHED")</f>
        <v>Retail</v>
      </c>
      <c r="H262" s="42" t="str">
        <f aca="false">IFERROR(INDEX(Product_Master!$C$2:$C$9,MATCH(E262,Product_Master!$A$2:$A$9,0)),"UNMATCHED")</f>
        <v>Personal Care</v>
      </c>
      <c r="I262" s="42" t="str">
        <f aca="false">IFERROR(INDEX(Product_Master!$B$2:$B$9,MATCH(E262,Product_Master!$A$2:$A$9,0)),"UNMATCHED")</f>
        <v>Body Lotion</v>
      </c>
      <c r="J262" s="42" t="n">
        <f aca="false">IFERROR(INDEX(Calendar!$B$2:$B$25,MATCH(B262,Calendar!$A$2:$A$25,0)),0)</f>
        <v>2025</v>
      </c>
      <c r="K262" s="42" t="n">
        <f aca="false">IFERROR(VALUE(RIGHT(B262,2)),0)</f>
        <v>8</v>
      </c>
      <c r="L262" s="42" t="str">
        <f aca="false">IFERROR(INDEX(Calendar!$E$2:$E$25,MATCH(B262,Calendar!$A$2:$A$25,0)),"UNMATCHED")</f>
        <v>Actual</v>
      </c>
      <c r="M262" s="42" t="n">
        <f aca="false">Sales_Transactions!F262</f>
        <v>121</v>
      </c>
      <c r="N262" s="52" t="n">
        <f aca="false">Sales_Transactions!I262</f>
        <v>38513.09</v>
      </c>
      <c r="O262" s="52" t="n">
        <f aca="false">Sales_Transactions!J262</f>
        <v>26174.72</v>
      </c>
      <c r="P262" s="52" t="n">
        <f aca="false">Sales_Transactions!K262</f>
        <v>12338.37</v>
      </c>
      <c r="Q262" s="42" t="n">
        <f aca="false">IF(ISNUMBER(MATCH(E262,Product_Master!$A$2:$A$9,0)),0,1)</f>
        <v>0</v>
      </c>
      <c r="R262" s="42" t="n">
        <f aca="false">IF(ISNUMBER(MATCH(D262,Customer_Master!$A$2:$A$49,0)),0,1)</f>
        <v>0</v>
      </c>
      <c r="S262" s="42" t="n">
        <f aca="false">IF(ISNUMBER(MATCH(B262,Calendar!$A$2:$A$25,0)),0,1)</f>
        <v>0</v>
      </c>
      <c r="T262" s="42" t="n">
        <f aca="false">IF(COUNTIF(Sales_Transactions!$A$2:$A$865,A262)&gt;1,1,0)</f>
        <v>0</v>
      </c>
      <c r="U262" s="42" t="n">
        <f aca="false">IF(OR(ABS(Sales_Transactions!F262*Sales_Transactions!G262-Sales_Transactions!I262)&gt;0.01,ABS(Sales_Transactions!F262*Sales_Transactions!H262-Sales_Transactions!J262)&gt;0.01,ABS(Sales_Transactions!I262-Sales_Transactions!J262-Sales_Transactions!K262)&gt;0.01),1,0)</f>
        <v>0</v>
      </c>
      <c r="V262" s="42" t="n">
        <f aca="false">IF(C262&lt;&gt;L262,1,0)</f>
        <v>0</v>
      </c>
      <c r="W262" s="42" t="n">
        <f aca="false">IF(SUM(Q262:V262)&gt;0,1,0)</f>
        <v>0</v>
      </c>
    </row>
    <row r="263" customFormat="false" ht="15" hidden="false" customHeight="false" outlineLevel="0" collapsed="false">
      <c r="A263" s="42" t="str">
        <f aca="false">Sales_Transactions!A263</f>
        <v>INV-08-010</v>
      </c>
      <c r="B263" s="42" t="str">
        <f aca="false">Sales_Transactions!B263</f>
        <v>2025-08</v>
      </c>
      <c r="C263" s="42" t="str">
        <f aca="false">Sales_Transactions!C263</f>
        <v>Actual</v>
      </c>
      <c r="D263" s="42" t="str">
        <f aca="false">Sales_Transactions!D263</f>
        <v>C037</v>
      </c>
      <c r="E263" s="42" t="str">
        <f aca="false">Sales_Transactions!E263</f>
        <v>P005</v>
      </c>
      <c r="F263" s="42" t="str">
        <f aca="false">IFERROR(INDEX(Customer_Master!$C$2:$C$49,MATCH(D263,Customer_Master!$A$2:$A$49,0)),"UNMATCHED")</f>
        <v>South</v>
      </c>
      <c r="G263" s="42" t="str">
        <f aca="false">IFERROR(INDEX(Customer_Master!$D$2:$D$49,MATCH(D263,Customer_Master!$A$2:$A$49,0)),"UNMATCHED")</f>
        <v>Distributor</v>
      </c>
      <c r="H263" s="42" t="str">
        <f aca="false">IFERROR(INDEX(Product_Master!$C$2:$C$9,MATCH(E263,Product_Master!$A$2:$A$9,0)),"UNMATCHED")</f>
        <v>Foods</v>
      </c>
      <c r="I263" s="42" t="str">
        <f aca="false">IFERROR(INDEX(Product_Master!$B$2:$B$9,MATCH(E263,Product_Master!$A$2:$A$9,0)),"UNMATCHED")</f>
        <v>Biscuits 500g</v>
      </c>
      <c r="J263" s="42" t="n">
        <f aca="false">IFERROR(INDEX(Calendar!$B$2:$B$25,MATCH(B263,Calendar!$A$2:$A$25,0)),0)</f>
        <v>2025</v>
      </c>
      <c r="K263" s="42" t="n">
        <f aca="false">IFERROR(VALUE(RIGHT(B263,2)),0)</f>
        <v>8</v>
      </c>
      <c r="L263" s="42" t="str">
        <f aca="false">IFERROR(INDEX(Calendar!$E$2:$E$25,MATCH(B263,Calendar!$A$2:$A$25,0)),"UNMATCHED")</f>
        <v>Actual</v>
      </c>
      <c r="M263" s="42" t="n">
        <f aca="false">Sales_Transactions!F263</f>
        <v>405</v>
      </c>
      <c r="N263" s="52" t="n">
        <f aca="false">Sales_Transactions!I263</f>
        <v>43063.65</v>
      </c>
      <c r="O263" s="52" t="n">
        <f aca="false">Sales_Transactions!J263</f>
        <v>28665.9</v>
      </c>
      <c r="P263" s="52" t="n">
        <f aca="false">Sales_Transactions!K263</f>
        <v>14397.75</v>
      </c>
      <c r="Q263" s="42" t="n">
        <f aca="false">IF(ISNUMBER(MATCH(E263,Product_Master!$A$2:$A$9,0)),0,1)</f>
        <v>0</v>
      </c>
      <c r="R263" s="42" t="n">
        <f aca="false">IF(ISNUMBER(MATCH(D263,Customer_Master!$A$2:$A$49,0)),0,1)</f>
        <v>0</v>
      </c>
      <c r="S263" s="42" t="n">
        <f aca="false">IF(ISNUMBER(MATCH(B263,Calendar!$A$2:$A$25,0)),0,1)</f>
        <v>0</v>
      </c>
      <c r="T263" s="42" t="n">
        <f aca="false">IF(COUNTIF(Sales_Transactions!$A$2:$A$865,A263)&gt;1,1,0)</f>
        <v>0</v>
      </c>
      <c r="U263" s="42" t="n">
        <f aca="false">IF(OR(ABS(Sales_Transactions!F263*Sales_Transactions!G263-Sales_Transactions!I263)&gt;0.01,ABS(Sales_Transactions!F263*Sales_Transactions!H263-Sales_Transactions!J263)&gt;0.01,ABS(Sales_Transactions!I263-Sales_Transactions!J263-Sales_Transactions!K263)&gt;0.01),1,0)</f>
        <v>0</v>
      </c>
      <c r="V263" s="42" t="n">
        <f aca="false">IF(C263&lt;&gt;L263,1,0)</f>
        <v>0</v>
      </c>
      <c r="W263" s="42" t="n">
        <f aca="false">IF(SUM(Q263:V263)&gt;0,1,0)</f>
        <v>0</v>
      </c>
    </row>
    <row r="264" customFormat="false" ht="15" hidden="false" customHeight="false" outlineLevel="0" collapsed="false">
      <c r="A264" s="42" t="str">
        <f aca="false">Sales_Transactions!A264</f>
        <v>INV-08-011</v>
      </c>
      <c r="B264" s="42" t="str">
        <f aca="false">Sales_Transactions!B264</f>
        <v>2025-08</v>
      </c>
      <c r="C264" s="42" t="str">
        <f aca="false">Sales_Transactions!C264</f>
        <v>Actual</v>
      </c>
      <c r="D264" s="42" t="str">
        <f aca="false">Sales_Transactions!D264</f>
        <v>C044</v>
      </c>
      <c r="E264" s="42" t="str">
        <f aca="false">Sales_Transactions!E264</f>
        <v>P002</v>
      </c>
      <c r="F264" s="42" t="str">
        <f aca="false">IFERROR(INDEX(Customer_Master!$C$2:$C$49,MATCH(D264,Customer_Master!$A$2:$A$49,0)),"UNMATCHED")</f>
        <v>East</v>
      </c>
      <c r="G264" s="42" t="str">
        <f aca="false">IFERROR(INDEX(Customer_Master!$D$2:$D$49,MATCH(D264,Customer_Master!$A$2:$A$49,0)),"UNMATCHED")</f>
        <v>Modern Trade</v>
      </c>
      <c r="H264" s="42" t="str">
        <f aca="false">IFERROR(INDEX(Product_Master!$C$2:$C$9,MATCH(E264,Product_Master!$A$2:$A$9,0)),"UNMATCHED")</f>
        <v>Home Care</v>
      </c>
      <c r="I264" s="42" t="str">
        <f aca="false">IFERROR(INDEX(Product_Master!$B$2:$B$9,MATCH(E264,Product_Master!$A$2:$A$9,0)),"UNMATCHED")</f>
        <v>Dishwash Gel</v>
      </c>
      <c r="J264" s="42" t="n">
        <f aca="false">IFERROR(INDEX(Calendar!$B$2:$B$25,MATCH(B264,Calendar!$A$2:$A$25,0)),0)</f>
        <v>2025</v>
      </c>
      <c r="K264" s="42" t="n">
        <f aca="false">IFERROR(VALUE(RIGHT(B264,2)),0)</f>
        <v>8</v>
      </c>
      <c r="L264" s="42" t="str">
        <f aca="false">IFERROR(INDEX(Calendar!$E$2:$E$25,MATCH(B264,Calendar!$A$2:$A$25,0)),"UNMATCHED")</f>
        <v>Actual</v>
      </c>
      <c r="M264" s="42" t="n">
        <f aca="false">Sales_Transactions!F264</f>
        <v>186</v>
      </c>
      <c r="N264" s="52" t="n">
        <f aca="false">Sales_Transactions!I264</f>
        <v>25493.16</v>
      </c>
      <c r="O264" s="52" t="n">
        <f aca="false">Sales_Transactions!J264</f>
        <v>15638.88</v>
      </c>
      <c r="P264" s="52" t="n">
        <f aca="false">Sales_Transactions!K264</f>
        <v>9854.28</v>
      </c>
      <c r="Q264" s="42" t="n">
        <f aca="false">IF(ISNUMBER(MATCH(E264,Product_Master!$A$2:$A$9,0)),0,1)</f>
        <v>0</v>
      </c>
      <c r="R264" s="42" t="n">
        <f aca="false">IF(ISNUMBER(MATCH(D264,Customer_Master!$A$2:$A$49,0)),0,1)</f>
        <v>0</v>
      </c>
      <c r="S264" s="42" t="n">
        <f aca="false">IF(ISNUMBER(MATCH(B264,Calendar!$A$2:$A$25,0)),0,1)</f>
        <v>0</v>
      </c>
      <c r="T264" s="42" t="n">
        <f aca="false">IF(COUNTIF(Sales_Transactions!$A$2:$A$865,A264)&gt;1,1,0)</f>
        <v>0</v>
      </c>
      <c r="U264" s="42" t="n">
        <f aca="false">IF(OR(ABS(Sales_Transactions!F264*Sales_Transactions!G264-Sales_Transactions!I264)&gt;0.01,ABS(Sales_Transactions!F264*Sales_Transactions!H264-Sales_Transactions!J264)&gt;0.01,ABS(Sales_Transactions!I264-Sales_Transactions!J264-Sales_Transactions!K264)&gt;0.01),1,0)</f>
        <v>0</v>
      </c>
      <c r="V264" s="42" t="n">
        <f aca="false">IF(C264&lt;&gt;L264,1,0)</f>
        <v>0</v>
      </c>
      <c r="W264" s="42" t="n">
        <f aca="false">IF(SUM(Q264:V264)&gt;0,1,0)</f>
        <v>0</v>
      </c>
    </row>
    <row r="265" customFormat="false" ht="15" hidden="false" customHeight="false" outlineLevel="0" collapsed="false">
      <c r="A265" s="42" t="str">
        <f aca="false">Sales_Transactions!A265</f>
        <v>INV-08-012</v>
      </c>
      <c r="B265" s="42" t="str">
        <f aca="false">Sales_Transactions!B265</f>
        <v>2025-08</v>
      </c>
      <c r="C265" s="42" t="str">
        <f aca="false">Sales_Transactions!C265</f>
        <v>Actual</v>
      </c>
      <c r="D265" s="42" t="str">
        <f aca="false">Sales_Transactions!D265</f>
        <v>C003</v>
      </c>
      <c r="E265" s="42" t="str">
        <f aca="false">Sales_Transactions!E265</f>
        <v>P007</v>
      </c>
      <c r="F265" s="42" t="str">
        <f aca="false">IFERROR(INDEX(Customer_Master!$C$2:$C$49,MATCH(D265,Customer_Master!$A$2:$A$49,0)),"UNMATCHED")</f>
        <v>West</v>
      </c>
      <c r="G265" s="42" t="str">
        <f aca="false">IFERROR(INDEX(Customer_Master!$D$2:$D$49,MATCH(D265,Customer_Master!$A$2:$A$49,0)),"UNMATCHED")</f>
        <v>Retail</v>
      </c>
      <c r="H265" s="42" t="str">
        <f aca="false">IFERROR(INDEX(Product_Master!$C$2:$C$9,MATCH(E265,Product_Master!$A$2:$A$9,0)),"UNMATCHED")</f>
        <v>Home Care</v>
      </c>
      <c r="I265" s="42" t="str">
        <f aca="false">IFERROR(INDEX(Product_Master!$B$2:$B$9,MATCH(E265,Product_Master!$A$2:$A$9,0)),"UNMATCHED")</f>
        <v>Floor Cleaner</v>
      </c>
      <c r="J265" s="42" t="n">
        <f aca="false">IFERROR(INDEX(Calendar!$B$2:$B$25,MATCH(B265,Calendar!$A$2:$A$25,0)),0)</f>
        <v>2025</v>
      </c>
      <c r="K265" s="42" t="n">
        <f aca="false">IFERROR(VALUE(RIGHT(B265,2)),0)</f>
        <v>8</v>
      </c>
      <c r="L265" s="42" t="str">
        <f aca="false">IFERROR(INDEX(Calendar!$E$2:$E$25,MATCH(B265,Calendar!$A$2:$A$25,0)),"UNMATCHED")</f>
        <v>Actual</v>
      </c>
      <c r="M265" s="42" t="n">
        <f aca="false">Sales_Transactions!F265</f>
        <v>416</v>
      </c>
      <c r="N265" s="52" t="n">
        <f aca="false">Sales_Transactions!I265</f>
        <v>71876.48</v>
      </c>
      <c r="O265" s="52" t="n">
        <f aca="false">Sales_Transactions!J265</f>
        <v>46213.44</v>
      </c>
      <c r="P265" s="52" t="n">
        <f aca="false">Sales_Transactions!K265</f>
        <v>25663.04</v>
      </c>
      <c r="Q265" s="42" t="n">
        <f aca="false">IF(ISNUMBER(MATCH(E265,Product_Master!$A$2:$A$9,0)),0,1)</f>
        <v>0</v>
      </c>
      <c r="R265" s="42" t="n">
        <f aca="false">IF(ISNUMBER(MATCH(D265,Customer_Master!$A$2:$A$49,0)),0,1)</f>
        <v>0</v>
      </c>
      <c r="S265" s="42" t="n">
        <f aca="false">IF(ISNUMBER(MATCH(B265,Calendar!$A$2:$A$25,0)),0,1)</f>
        <v>0</v>
      </c>
      <c r="T265" s="42" t="n">
        <f aca="false">IF(COUNTIF(Sales_Transactions!$A$2:$A$865,A265)&gt;1,1,0)</f>
        <v>0</v>
      </c>
      <c r="U265" s="42" t="n">
        <f aca="false">IF(OR(ABS(Sales_Transactions!F265*Sales_Transactions!G265-Sales_Transactions!I265)&gt;0.01,ABS(Sales_Transactions!F265*Sales_Transactions!H265-Sales_Transactions!J265)&gt;0.01,ABS(Sales_Transactions!I265-Sales_Transactions!J265-Sales_Transactions!K265)&gt;0.01),1,0)</f>
        <v>0</v>
      </c>
      <c r="V265" s="42" t="n">
        <f aca="false">IF(C265&lt;&gt;L265,1,0)</f>
        <v>0</v>
      </c>
      <c r="W265" s="42" t="n">
        <f aca="false">IF(SUM(Q265:V265)&gt;0,1,0)</f>
        <v>0</v>
      </c>
    </row>
    <row r="266" customFormat="false" ht="15" hidden="false" customHeight="false" outlineLevel="0" collapsed="false">
      <c r="A266" s="42" t="str">
        <f aca="false">Sales_Transactions!A266</f>
        <v>INV-08-013</v>
      </c>
      <c r="B266" s="42" t="str">
        <f aca="false">Sales_Transactions!B266</f>
        <v>2025-08</v>
      </c>
      <c r="C266" s="42" t="str">
        <f aca="false">Sales_Transactions!C266</f>
        <v>Actual</v>
      </c>
      <c r="D266" s="42" t="str">
        <f aca="false">Sales_Transactions!D266</f>
        <v>C010</v>
      </c>
      <c r="E266" s="42" t="str">
        <f aca="false">Sales_Transactions!E266</f>
        <v>P004</v>
      </c>
      <c r="F266" s="42" t="str">
        <f aca="false">IFERROR(INDEX(Customer_Master!$C$2:$C$49,MATCH(D266,Customer_Master!$A$2:$A$49,0)),"UNMATCHED")</f>
        <v>North</v>
      </c>
      <c r="G266" s="42" t="str">
        <f aca="false">IFERROR(INDEX(Customer_Master!$D$2:$D$49,MATCH(D266,Customer_Master!$A$2:$A$49,0)),"UNMATCHED")</f>
        <v>Distributor</v>
      </c>
      <c r="H266" s="42" t="str">
        <f aca="false">IFERROR(INDEX(Product_Master!$C$2:$C$9,MATCH(E266,Product_Master!$A$2:$A$9,0)),"UNMATCHED")</f>
        <v>Personal Care</v>
      </c>
      <c r="I266" s="42" t="str">
        <f aca="false">IFERROR(INDEX(Product_Master!$B$2:$B$9,MATCH(E266,Product_Master!$A$2:$A$9,0)),"UNMATCHED")</f>
        <v>Soap 4-pack</v>
      </c>
      <c r="J266" s="42" t="n">
        <f aca="false">IFERROR(INDEX(Calendar!$B$2:$B$25,MATCH(B266,Calendar!$A$2:$A$25,0)),0)</f>
        <v>2025</v>
      </c>
      <c r="K266" s="42" t="n">
        <f aca="false">IFERROR(VALUE(RIGHT(B266,2)),0)</f>
        <v>8</v>
      </c>
      <c r="L266" s="42" t="str">
        <f aca="false">IFERROR(INDEX(Calendar!$E$2:$E$25,MATCH(B266,Calendar!$A$2:$A$25,0)),"UNMATCHED")</f>
        <v>Actual</v>
      </c>
      <c r="M266" s="42" t="n">
        <f aca="false">Sales_Transactions!F266</f>
        <v>157</v>
      </c>
      <c r="N266" s="52" t="n">
        <f aca="false">Sales_Transactions!I266</f>
        <v>24707.09</v>
      </c>
      <c r="O266" s="52" t="n">
        <f aca="false">Sales_Transactions!J266</f>
        <v>14768.99</v>
      </c>
      <c r="P266" s="52" t="n">
        <f aca="false">Sales_Transactions!K266</f>
        <v>9938.1</v>
      </c>
      <c r="Q266" s="42" t="n">
        <f aca="false">IF(ISNUMBER(MATCH(E266,Product_Master!$A$2:$A$9,0)),0,1)</f>
        <v>0</v>
      </c>
      <c r="R266" s="42" t="n">
        <f aca="false">IF(ISNUMBER(MATCH(D266,Customer_Master!$A$2:$A$49,0)),0,1)</f>
        <v>0</v>
      </c>
      <c r="S266" s="42" t="n">
        <f aca="false">IF(ISNUMBER(MATCH(B266,Calendar!$A$2:$A$25,0)),0,1)</f>
        <v>0</v>
      </c>
      <c r="T266" s="42" t="n">
        <f aca="false">IF(COUNTIF(Sales_Transactions!$A$2:$A$865,A266)&gt;1,1,0)</f>
        <v>0</v>
      </c>
      <c r="U266" s="42" t="n">
        <f aca="false">IF(OR(ABS(Sales_Transactions!F266*Sales_Transactions!G266-Sales_Transactions!I266)&gt;0.01,ABS(Sales_Transactions!F266*Sales_Transactions!H266-Sales_Transactions!J266)&gt;0.01,ABS(Sales_Transactions!I266-Sales_Transactions!J266-Sales_Transactions!K266)&gt;0.01),1,0)</f>
        <v>0</v>
      </c>
      <c r="V266" s="42" t="n">
        <f aca="false">IF(C266&lt;&gt;L266,1,0)</f>
        <v>0</v>
      </c>
      <c r="W266" s="42" t="n">
        <f aca="false">IF(SUM(Q266:V266)&gt;0,1,0)</f>
        <v>0</v>
      </c>
    </row>
    <row r="267" customFormat="false" ht="15" hidden="false" customHeight="false" outlineLevel="0" collapsed="false">
      <c r="A267" s="42" t="str">
        <f aca="false">Sales_Transactions!A267</f>
        <v>INV-08-014</v>
      </c>
      <c r="B267" s="42" t="str">
        <f aca="false">Sales_Transactions!B267</f>
        <v>2025-08</v>
      </c>
      <c r="C267" s="42" t="str">
        <f aca="false">Sales_Transactions!C267</f>
        <v>Actual</v>
      </c>
      <c r="D267" s="42" t="str">
        <f aca="false">Sales_Transactions!D267</f>
        <v>C017</v>
      </c>
      <c r="E267" s="42" t="str">
        <f aca="false">Sales_Transactions!E267</f>
        <v>P001</v>
      </c>
      <c r="F267" s="42" t="str">
        <f aca="false">IFERROR(INDEX(Customer_Master!$C$2:$C$49,MATCH(D267,Customer_Master!$A$2:$A$49,0)),"UNMATCHED")</f>
        <v>South</v>
      </c>
      <c r="G267" s="42" t="str">
        <f aca="false">IFERROR(INDEX(Customer_Master!$D$2:$D$49,MATCH(D267,Customer_Master!$A$2:$A$49,0)),"UNMATCHED")</f>
        <v>Modern Trade</v>
      </c>
      <c r="H267" s="42" t="str">
        <f aca="false">IFERROR(INDEX(Product_Master!$C$2:$C$9,MATCH(E267,Product_Master!$A$2:$A$9,0)),"UNMATCHED")</f>
        <v>Home Care</v>
      </c>
      <c r="I267" s="42" t="str">
        <f aca="false">IFERROR(INDEX(Product_Master!$B$2:$B$9,MATCH(E267,Product_Master!$A$2:$A$9,0)),"UNMATCHED")</f>
        <v>Detergent 1kg</v>
      </c>
      <c r="J267" s="42" t="n">
        <f aca="false">IFERROR(INDEX(Calendar!$B$2:$B$25,MATCH(B267,Calendar!$A$2:$A$25,0)),0)</f>
        <v>2025</v>
      </c>
      <c r="K267" s="42" t="n">
        <f aca="false">IFERROR(VALUE(RIGHT(B267,2)),0)</f>
        <v>8</v>
      </c>
      <c r="L267" s="42" t="str">
        <f aca="false">IFERROR(INDEX(Calendar!$E$2:$E$25,MATCH(B267,Calendar!$A$2:$A$25,0)),"UNMATCHED")</f>
        <v>Actual</v>
      </c>
      <c r="M267" s="42" t="n">
        <f aca="false">Sales_Transactions!F267</f>
        <v>242</v>
      </c>
      <c r="N267" s="52" t="n">
        <f aca="false">Sales_Transactions!I267</f>
        <v>49159.88</v>
      </c>
      <c r="O267" s="52" t="n">
        <f aca="false">Sales_Transactions!J267</f>
        <v>33826.76</v>
      </c>
      <c r="P267" s="52" t="n">
        <f aca="false">Sales_Transactions!K267</f>
        <v>15333.12</v>
      </c>
      <c r="Q267" s="42" t="n">
        <f aca="false">IF(ISNUMBER(MATCH(E267,Product_Master!$A$2:$A$9,0)),0,1)</f>
        <v>0</v>
      </c>
      <c r="R267" s="42" t="n">
        <f aca="false">IF(ISNUMBER(MATCH(D267,Customer_Master!$A$2:$A$49,0)),0,1)</f>
        <v>0</v>
      </c>
      <c r="S267" s="42" t="n">
        <f aca="false">IF(ISNUMBER(MATCH(B267,Calendar!$A$2:$A$25,0)),0,1)</f>
        <v>0</v>
      </c>
      <c r="T267" s="42" t="n">
        <f aca="false">IF(COUNTIF(Sales_Transactions!$A$2:$A$865,A267)&gt;1,1,0)</f>
        <v>0</v>
      </c>
      <c r="U267" s="42" t="n">
        <f aca="false">IF(OR(ABS(Sales_Transactions!F267*Sales_Transactions!G267-Sales_Transactions!I267)&gt;0.01,ABS(Sales_Transactions!F267*Sales_Transactions!H267-Sales_Transactions!J267)&gt;0.01,ABS(Sales_Transactions!I267-Sales_Transactions!J267-Sales_Transactions!K267)&gt;0.01),1,0)</f>
        <v>0</v>
      </c>
      <c r="V267" s="42" t="n">
        <f aca="false">IF(C267&lt;&gt;L267,1,0)</f>
        <v>0</v>
      </c>
      <c r="W267" s="42" t="n">
        <f aca="false">IF(SUM(Q267:V267)&gt;0,1,0)</f>
        <v>0</v>
      </c>
    </row>
    <row r="268" customFormat="false" ht="15" hidden="false" customHeight="false" outlineLevel="0" collapsed="false">
      <c r="A268" s="42" t="str">
        <f aca="false">Sales_Transactions!A268</f>
        <v>INV-08-015</v>
      </c>
      <c r="B268" s="42" t="str">
        <f aca="false">Sales_Transactions!B268</f>
        <v>2025-08</v>
      </c>
      <c r="C268" s="42" t="str">
        <f aca="false">Sales_Transactions!C268</f>
        <v>Actual</v>
      </c>
      <c r="D268" s="42" t="str">
        <f aca="false">Sales_Transactions!D268</f>
        <v>C024</v>
      </c>
      <c r="E268" s="42" t="str">
        <f aca="false">Sales_Transactions!E268</f>
        <v>P006</v>
      </c>
      <c r="F268" s="42" t="str">
        <f aca="false">IFERROR(INDEX(Customer_Master!$C$2:$C$49,MATCH(D268,Customer_Master!$A$2:$A$49,0)),"UNMATCHED")</f>
        <v>East</v>
      </c>
      <c r="G268" s="42" t="str">
        <f aca="false">IFERROR(INDEX(Customer_Master!$D$2:$D$49,MATCH(D268,Customer_Master!$A$2:$A$49,0)),"UNMATCHED")</f>
        <v>Retail</v>
      </c>
      <c r="H268" s="42" t="str">
        <f aca="false">IFERROR(INDEX(Product_Master!$C$2:$C$9,MATCH(E268,Product_Master!$A$2:$A$9,0)),"UNMATCHED")</f>
        <v>Foods</v>
      </c>
      <c r="I268" s="42" t="str">
        <f aca="false">IFERROR(INDEX(Product_Master!$B$2:$B$9,MATCH(E268,Product_Master!$A$2:$A$9,0)),"UNMATCHED")</f>
        <v>Breakfast Cereal</v>
      </c>
      <c r="J268" s="42" t="n">
        <f aca="false">IFERROR(INDEX(Calendar!$B$2:$B$25,MATCH(B268,Calendar!$A$2:$A$25,0)),0)</f>
        <v>2025</v>
      </c>
      <c r="K268" s="42" t="n">
        <f aca="false">IFERROR(VALUE(RIGHT(B268,2)),0)</f>
        <v>8</v>
      </c>
      <c r="L268" s="42" t="str">
        <f aca="false">IFERROR(INDEX(Calendar!$E$2:$E$25,MATCH(B268,Calendar!$A$2:$A$25,0)),"UNMATCHED")</f>
        <v>Actual</v>
      </c>
      <c r="M268" s="42" t="n">
        <f aca="false">Sales_Transactions!F268</f>
        <v>232</v>
      </c>
      <c r="N268" s="52" t="n">
        <f aca="false">Sales_Transactions!I268</f>
        <v>56030.32</v>
      </c>
      <c r="O268" s="52" t="n">
        <f aca="false">Sales_Transactions!J268</f>
        <v>36778.96</v>
      </c>
      <c r="P268" s="52" t="n">
        <f aca="false">Sales_Transactions!K268</f>
        <v>19251.36</v>
      </c>
      <c r="Q268" s="42" t="n">
        <f aca="false">IF(ISNUMBER(MATCH(E268,Product_Master!$A$2:$A$9,0)),0,1)</f>
        <v>0</v>
      </c>
      <c r="R268" s="42" t="n">
        <f aca="false">IF(ISNUMBER(MATCH(D268,Customer_Master!$A$2:$A$49,0)),0,1)</f>
        <v>0</v>
      </c>
      <c r="S268" s="42" t="n">
        <f aca="false">IF(ISNUMBER(MATCH(B268,Calendar!$A$2:$A$25,0)),0,1)</f>
        <v>0</v>
      </c>
      <c r="T268" s="42" t="n">
        <f aca="false">IF(COUNTIF(Sales_Transactions!$A$2:$A$865,A268)&gt;1,1,0)</f>
        <v>0</v>
      </c>
      <c r="U268" s="42" t="n">
        <f aca="false">IF(OR(ABS(Sales_Transactions!F268*Sales_Transactions!G268-Sales_Transactions!I268)&gt;0.01,ABS(Sales_Transactions!F268*Sales_Transactions!H268-Sales_Transactions!J268)&gt;0.01,ABS(Sales_Transactions!I268-Sales_Transactions!J268-Sales_Transactions!K268)&gt;0.01),1,0)</f>
        <v>0</v>
      </c>
      <c r="V268" s="42" t="n">
        <f aca="false">IF(C268&lt;&gt;L268,1,0)</f>
        <v>0</v>
      </c>
      <c r="W268" s="42" t="n">
        <f aca="false">IF(SUM(Q268:V268)&gt;0,1,0)</f>
        <v>0</v>
      </c>
    </row>
    <row r="269" customFormat="false" ht="15" hidden="false" customHeight="false" outlineLevel="0" collapsed="false">
      <c r="A269" s="42" t="str">
        <f aca="false">Sales_Transactions!A269</f>
        <v>INV-08-016</v>
      </c>
      <c r="B269" s="42" t="str">
        <f aca="false">Sales_Transactions!B269</f>
        <v>2025-08</v>
      </c>
      <c r="C269" s="42" t="str">
        <f aca="false">Sales_Transactions!C269</f>
        <v>Actual</v>
      </c>
      <c r="D269" s="42" t="str">
        <f aca="false">Sales_Transactions!D269</f>
        <v>C031</v>
      </c>
      <c r="E269" s="42" t="str">
        <f aca="false">Sales_Transactions!E269</f>
        <v>P003</v>
      </c>
      <c r="F269" s="42" t="str">
        <f aca="false">IFERROR(INDEX(Customer_Master!$C$2:$C$49,MATCH(D269,Customer_Master!$A$2:$A$49,0)),"UNMATCHED")</f>
        <v>West</v>
      </c>
      <c r="G269" s="42" t="str">
        <f aca="false">IFERROR(INDEX(Customer_Master!$D$2:$D$49,MATCH(D269,Customer_Master!$A$2:$A$49,0)),"UNMATCHED")</f>
        <v>Distributor</v>
      </c>
      <c r="H269" s="42" t="str">
        <f aca="false">IFERROR(INDEX(Product_Master!$C$2:$C$9,MATCH(E269,Product_Master!$A$2:$A$9,0)),"UNMATCHED")</f>
        <v>Personal Care</v>
      </c>
      <c r="I269" s="42" t="str">
        <f aca="false">IFERROR(INDEX(Product_Master!$B$2:$B$9,MATCH(E269,Product_Master!$A$2:$A$9,0)),"UNMATCHED")</f>
        <v>Shampoo 400ml</v>
      </c>
      <c r="J269" s="42" t="n">
        <f aca="false">IFERROR(INDEX(Calendar!$B$2:$B$25,MATCH(B269,Calendar!$A$2:$A$25,0)),0)</f>
        <v>2025</v>
      </c>
      <c r="K269" s="42" t="n">
        <f aca="false">IFERROR(VALUE(RIGHT(B269,2)),0)</f>
        <v>8</v>
      </c>
      <c r="L269" s="42" t="str">
        <f aca="false">IFERROR(INDEX(Calendar!$E$2:$E$25,MATCH(B269,Calendar!$A$2:$A$25,0)),"UNMATCHED")</f>
        <v>Actual</v>
      </c>
      <c r="M269" s="42" t="n">
        <f aca="false">Sales_Transactions!F269</f>
        <v>240</v>
      </c>
      <c r="N269" s="52" t="n">
        <f aca="false">Sales_Transactions!I269</f>
        <v>65920.8</v>
      </c>
      <c r="O269" s="52" t="n">
        <f aca="false">Sales_Transactions!J269</f>
        <v>44040</v>
      </c>
      <c r="P269" s="52" t="n">
        <f aca="false">Sales_Transactions!K269</f>
        <v>21880.8</v>
      </c>
      <c r="Q269" s="42" t="n">
        <f aca="false">IF(ISNUMBER(MATCH(E269,Product_Master!$A$2:$A$9,0)),0,1)</f>
        <v>0</v>
      </c>
      <c r="R269" s="42" t="n">
        <f aca="false">IF(ISNUMBER(MATCH(D269,Customer_Master!$A$2:$A$49,0)),0,1)</f>
        <v>0</v>
      </c>
      <c r="S269" s="42" t="n">
        <f aca="false">IF(ISNUMBER(MATCH(B269,Calendar!$A$2:$A$25,0)),0,1)</f>
        <v>0</v>
      </c>
      <c r="T269" s="42" t="n">
        <f aca="false">IF(COUNTIF(Sales_Transactions!$A$2:$A$865,A269)&gt;1,1,0)</f>
        <v>0</v>
      </c>
      <c r="U269" s="42" t="n">
        <f aca="false">IF(OR(ABS(Sales_Transactions!F269*Sales_Transactions!G269-Sales_Transactions!I269)&gt;0.01,ABS(Sales_Transactions!F269*Sales_Transactions!H269-Sales_Transactions!J269)&gt;0.01,ABS(Sales_Transactions!I269-Sales_Transactions!J269-Sales_Transactions!K269)&gt;0.01),1,0)</f>
        <v>0</v>
      </c>
      <c r="V269" s="42" t="n">
        <f aca="false">IF(C269&lt;&gt;L269,1,0)</f>
        <v>0</v>
      </c>
      <c r="W269" s="42" t="n">
        <f aca="false">IF(SUM(Q269:V269)&gt;0,1,0)</f>
        <v>0</v>
      </c>
    </row>
    <row r="270" customFormat="false" ht="15" hidden="false" customHeight="false" outlineLevel="0" collapsed="false">
      <c r="A270" s="42" t="str">
        <f aca="false">Sales_Transactions!A270</f>
        <v>INV-08-017</v>
      </c>
      <c r="B270" s="42" t="str">
        <f aca="false">Sales_Transactions!B270</f>
        <v>2025-08</v>
      </c>
      <c r="C270" s="42" t="str">
        <f aca="false">Sales_Transactions!C270</f>
        <v>Actual</v>
      </c>
      <c r="D270" s="42" t="str">
        <f aca="false">Sales_Transactions!D270</f>
        <v>C038</v>
      </c>
      <c r="E270" s="42" t="str">
        <f aca="false">Sales_Transactions!E270</f>
        <v>P008</v>
      </c>
      <c r="F270" s="42" t="str">
        <f aca="false">IFERROR(INDEX(Customer_Master!$C$2:$C$49,MATCH(D270,Customer_Master!$A$2:$A$49,0)),"UNMATCHED")</f>
        <v>North</v>
      </c>
      <c r="G270" s="42" t="str">
        <f aca="false">IFERROR(INDEX(Customer_Master!$D$2:$D$49,MATCH(D270,Customer_Master!$A$2:$A$49,0)),"UNMATCHED")</f>
        <v>Modern Trade</v>
      </c>
      <c r="H270" s="42" t="str">
        <f aca="false">IFERROR(INDEX(Product_Master!$C$2:$C$9,MATCH(E270,Product_Master!$A$2:$A$9,0)),"UNMATCHED")</f>
        <v>Personal Care</v>
      </c>
      <c r="I270" s="42" t="str">
        <f aca="false">IFERROR(INDEX(Product_Master!$B$2:$B$9,MATCH(E270,Product_Master!$A$2:$A$9,0)),"UNMATCHED")</f>
        <v>Body Lotion</v>
      </c>
      <c r="J270" s="42" t="n">
        <f aca="false">IFERROR(INDEX(Calendar!$B$2:$B$25,MATCH(B270,Calendar!$A$2:$A$25,0)),0)</f>
        <v>2025</v>
      </c>
      <c r="K270" s="42" t="n">
        <f aca="false">IFERROR(VALUE(RIGHT(B270,2)),0)</f>
        <v>8</v>
      </c>
      <c r="L270" s="42" t="str">
        <f aca="false">IFERROR(INDEX(Calendar!$E$2:$E$25,MATCH(B270,Calendar!$A$2:$A$25,0)),"UNMATCHED")</f>
        <v>Actual</v>
      </c>
      <c r="M270" s="42" t="n">
        <f aca="false">Sales_Transactions!F270</f>
        <v>341</v>
      </c>
      <c r="N270" s="52" t="n">
        <f aca="false">Sales_Transactions!I270</f>
        <v>106412.46</v>
      </c>
      <c r="O270" s="52" t="n">
        <f aca="false">Sales_Transactions!J270</f>
        <v>69744.73</v>
      </c>
      <c r="P270" s="52" t="n">
        <f aca="false">Sales_Transactions!K270</f>
        <v>36667.73</v>
      </c>
      <c r="Q270" s="42" t="n">
        <f aca="false">IF(ISNUMBER(MATCH(E270,Product_Master!$A$2:$A$9,0)),0,1)</f>
        <v>0</v>
      </c>
      <c r="R270" s="42" t="n">
        <f aca="false">IF(ISNUMBER(MATCH(D270,Customer_Master!$A$2:$A$49,0)),0,1)</f>
        <v>0</v>
      </c>
      <c r="S270" s="42" t="n">
        <f aca="false">IF(ISNUMBER(MATCH(B270,Calendar!$A$2:$A$25,0)),0,1)</f>
        <v>0</v>
      </c>
      <c r="T270" s="42" t="n">
        <f aca="false">IF(COUNTIF(Sales_Transactions!$A$2:$A$865,A270)&gt;1,1,0)</f>
        <v>0</v>
      </c>
      <c r="U270" s="42" t="n">
        <f aca="false">IF(OR(ABS(Sales_Transactions!F270*Sales_Transactions!G270-Sales_Transactions!I270)&gt;0.01,ABS(Sales_Transactions!F270*Sales_Transactions!H270-Sales_Transactions!J270)&gt;0.01,ABS(Sales_Transactions!I270-Sales_Transactions!J270-Sales_Transactions!K270)&gt;0.01),1,0)</f>
        <v>0</v>
      </c>
      <c r="V270" s="42" t="n">
        <f aca="false">IF(C270&lt;&gt;L270,1,0)</f>
        <v>0</v>
      </c>
      <c r="W270" s="42" t="n">
        <f aca="false">IF(SUM(Q270:V270)&gt;0,1,0)</f>
        <v>0</v>
      </c>
    </row>
    <row r="271" customFormat="false" ht="15" hidden="false" customHeight="false" outlineLevel="0" collapsed="false">
      <c r="A271" s="42" t="str">
        <f aca="false">Sales_Transactions!A271</f>
        <v>INV-08-018</v>
      </c>
      <c r="B271" s="42" t="str">
        <f aca="false">Sales_Transactions!B271</f>
        <v>2025-08</v>
      </c>
      <c r="C271" s="42" t="str">
        <f aca="false">Sales_Transactions!C271</f>
        <v>Actual</v>
      </c>
      <c r="D271" s="42" t="str">
        <f aca="false">Sales_Transactions!D271</f>
        <v>C045</v>
      </c>
      <c r="E271" s="42" t="str">
        <f aca="false">Sales_Transactions!E271</f>
        <v>P005</v>
      </c>
      <c r="F271" s="42" t="str">
        <f aca="false">IFERROR(INDEX(Customer_Master!$C$2:$C$49,MATCH(D271,Customer_Master!$A$2:$A$49,0)),"UNMATCHED")</f>
        <v>South</v>
      </c>
      <c r="G271" s="42" t="str">
        <f aca="false">IFERROR(INDEX(Customer_Master!$D$2:$D$49,MATCH(D271,Customer_Master!$A$2:$A$49,0)),"UNMATCHED")</f>
        <v>Retail</v>
      </c>
      <c r="H271" s="42" t="str">
        <f aca="false">IFERROR(INDEX(Product_Master!$C$2:$C$9,MATCH(E271,Product_Master!$A$2:$A$9,0)),"UNMATCHED")</f>
        <v>Foods</v>
      </c>
      <c r="I271" s="42" t="str">
        <f aca="false">IFERROR(INDEX(Product_Master!$B$2:$B$9,MATCH(E271,Product_Master!$A$2:$A$9,0)),"UNMATCHED")</f>
        <v>Biscuits 500g</v>
      </c>
      <c r="J271" s="42" t="n">
        <f aca="false">IFERROR(INDEX(Calendar!$B$2:$B$25,MATCH(B271,Calendar!$A$2:$A$25,0)),0)</f>
        <v>2025</v>
      </c>
      <c r="K271" s="42" t="n">
        <f aca="false">IFERROR(VALUE(RIGHT(B271,2)),0)</f>
        <v>8</v>
      </c>
      <c r="L271" s="42" t="str">
        <f aca="false">IFERROR(INDEX(Calendar!$E$2:$E$25,MATCH(B271,Calendar!$A$2:$A$25,0)),"UNMATCHED")</f>
        <v>Actual</v>
      </c>
      <c r="M271" s="42" t="n">
        <f aca="false">Sales_Transactions!F271</f>
        <v>391</v>
      </c>
      <c r="N271" s="52" t="n">
        <f aca="false">Sales_Transactions!I271</f>
        <v>38501.77</v>
      </c>
      <c r="O271" s="52" t="n">
        <f aca="false">Sales_Transactions!J271</f>
        <v>26505.89</v>
      </c>
      <c r="P271" s="52" t="n">
        <f aca="false">Sales_Transactions!K271</f>
        <v>11995.88</v>
      </c>
      <c r="Q271" s="42" t="n">
        <f aca="false">IF(ISNUMBER(MATCH(E271,Product_Master!$A$2:$A$9,0)),0,1)</f>
        <v>0</v>
      </c>
      <c r="R271" s="42" t="n">
        <f aca="false">IF(ISNUMBER(MATCH(D271,Customer_Master!$A$2:$A$49,0)),0,1)</f>
        <v>0</v>
      </c>
      <c r="S271" s="42" t="n">
        <f aca="false">IF(ISNUMBER(MATCH(B271,Calendar!$A$2:$A$25,0)),0,1)</f>
        <v>0</v>
      </c>
      <c r="T271" s="42" t="n">
        <f aca="false">IF(COUNTIF(Sales_Transactions!$A$2:$A$865,A271)&gt;1,1,0)</f>
        <v>0</v>
      </c>
      <c r="U271" s="42" t="n">
        <f aca="false">IF(OR(ABS(Sales_Transactions!F271*Sales_Transactions!G271-Sales_Transactions!I271)&gt;0.01,ABS(Sales_Transactions!F271*Sales_Transactions!H271-Sales_Transactions!J271)&gt;0.01,ABS(Sales_Transactions!I271-Sales_Transactions!J271-Sales_Transactions!K271)&gt;0.01),1,0)</f>
        <v>0</v>
      </c>
      <c r="V271" s="42" t="n">
        <f aca="false">IF(C271&lt;&gt;L271,1,0)</f>
        <v>0</v>
      </c>
      <c r="W271" s="42" t="n">
        <f aca="false">IF(SUM(Q271:V271)&gt;0,1,0)</f>
        <v>0</v>
      </c>
    </row>
    <row r="272" customFormat="false" ht="15" hidden="false" customHeight="false" outlineLevel="0" collapsed="false">
      <c r="A272" s="42" t="str">
        <f aca="false">Sales_Transactions!A272</f>
        <v>INV-08-019</v>
      </c>
      <c r="B272" s="42" t="str">
        <f aca="false">Sales_Transactions!B272</f>
        <v>2025-08</v>
      </c>
      <c r="C272" s="42" t="str">
        <f aca="false">Sales_Transactions!C272</f>
        <v>Actual</v>
      </c>
      <c r="D272" s="42" t="str">
        <f aca="false">Sales_Transactions!D272</f>
        <v>C004</v>
      </c>
      <c r="E272" s="42" t="str">
        <f aca="false">Sales_Transactions!E272</f>
        <v>P002</v>
      </c>
      <c r="F272" s="42" t="str">
        <f aca="false">IFERROR(INDEX(Customer_Master!$C$2:$C$49,MATCH(D272,Customer_Master!$A$2:$A$49,0)),"UNMATCHED")</f>
        <v>East</v>
      </c>
      <c r="G272" s="42" t="str">
        <f aca="false">IFERROR(INDEX(Customer_Master!$D$2:$D$49,MATCH(D272,Customer_Master!$A$2:$A$49,0)),"UNMATCHED")</f>
        <v>Distributor</v>
      </c>
      <c r="H272" s="42" t="str">
        <f aca="false">IFERROR(INDEX(Product_Master!$C$2:$C$9,MATCH(E272,Product_Master!$A$2:$A$9,0)),"UNMATCHED")</f>
        <v>Home Care</v>
      </c>
      <c r="I272" s="42" t="str">
        <f aca="false">IFERROR(INDEX(Product_Master!$B$2:$B$9,MATCH(E272,Product_Master!$A$2:$A$9,0)),"UNMATCHED")</f>
        <v>Dishwash Gel</v>
      </c>
      <c r="J272" s="42" t="n">
        <f aca="false">IFERROR(INDEX(Calendar!$B$2:$B$25,MATCH(B272,Calendar!$A$2:$A$25,0)),0)</f>
        <v>2025</v>
      </c>
      <c r="K272" s="42" t="n">
        <f aca="false">IFERROR(VALUE(RIGHT(B272,2)),0)</f>
        <v>8</v>
      </c>
      <c r="L272" s="42" t="str">
        <f aca="false">IFERROR(INDEX(Calendar!$E$2:$E$25,MATCH(B272,Calendar!$A$2:$A$25,0)),"UNMATCHED")</f>
        <v>Actual</v>
      </c>
      <c r="M272" s="42" t="n">
        <f aca="false">Sales_Transactions!F272</f>
        <v>250</v>
      </c>
      <c r="N272" s="52" t="n">
        <f aca="false">Sales_Transactions!I272</f>
        <v>35107.5</v>
      </c>
      <c r="O272" s="52" t="n">
        <f aca="false">Sales_Transactions!J272</f>
        <v>19742.5</v>
      </c>
      <c r="P272" s="52" t="n">
        <f aca="false">Sales_Transactions!K272</f>
        <v>15365</v>
      </c>
      <c r="Q272" s="42" t="n">
        <f aca="false">IF(ISNUMBER(MATCH(E272,Product_Master!$A$2:$A$9,0)),0,1)</f>
        <v>0</v>
      </c>
      <c r="R272" s="42" t="n">
        <f aca="false">IF(ISNUMBER(MATCH(D272,Customer_Master!$A$2:$A$49,0)),0,1)</f>
        <v>0</v>
      </c>
      <c r="S272" s="42" t="n">
        <f aca="false">IF(ISNUMBER(MATCH(B272,Calendar!$A$2:$A$25,0)),0,1)</f>
        <v>0</v>
      </c>
      <c r="T272" s="42" t="n">
        <f aca="false">IF(COUNTIF(Sales_Transactions!$A$2:$A$865,A272)&gt;1,1,0)</f>
        <v>0</v>
      </c>
      <c r="U272" s="42" t="n">
        <f aca="false">IF(OR(ABS(Sales_Transactions!F272*Sales_Transactions!G272-Sales_Transactions!I272)&gt;0.01,ABS(Sales_Transactions!F272*Sales_Transactions!H272-Sales_Transactions!J272)&gt;0.01,ABS(Sales_Transactions!I272-Sales_Transactions!J272-Sales_Transactions!K272)&gt;0.01),1,0)</f>
        <v>0</v>
      </c>
      <c r="V272" s="42" t="n">
        <f aca="false">IF(C272&lt;&gt;L272,1,0)</f>
        <v>0</v>
      </c>
      <c r="W272" s="42" t="n">
        <f aca="false">IF(SUM(Q272:V272)&gt;0,1,0)</f>
        <v>0</v>
      </c>
    </row>
    <row r="273" customFormat="false" ht="15" hidden="false" customHeight="false" outlineLevel="0" collapsed="false">
      <c r="A273" s="42" t="str">
        <f aca="false">Sales_Transactions!A273</f>
        <v>INV-08-020</v>
      </c>
      <c r="B273" s="42" t="str">
        <f aca="false">Sales_Transactions!B273</f>
        <v>2025-08</v>
      </c>
      <c r="C273" s="42" t="str">
        <f aca="false">Sales_Transactions!C273</f>
        <v>Actual</v>
      </c>
      <c r="D273" s="42" t="str">
        <f aca="false">Sales_Transactions!D273</f>
        <v>C011</v>
      </c>
      <c r="E273" s="42" t="str">
        <f aca="false">Sales_Transactions!E273</f>
        <v>P007</v>
      </c>
      <c r="F273" s="42" t="str">
        <f aca="false">IFERROR(INDEX(Customer_Master!$C$2:$C$49,MATCH(D273,Customer_Master!$A$2:$A$49,0)),"UNMATCHED")</f>
        <v>West</v>
      </c>
      <c r="G273" s="42" t="str">
        <f aca="false">IFERROR(INDEX(Customer_Master!$D$2:$D$49,MATCH(D273,Customer_Master!$A$2:$A$49,0)),"UNMATCHED")</f>
        <v>Modern Trade</v>
      </c>
      <c r="H273" s="42" t="str">
        <f aca="false">IFERROR(INDEX(Product_Master!$C$2:$C$9,MATCH(E273,Product_Master!$A$2:$A$9,0)),"UNMATCHED")</f>
        <v>Home Care</v>
      </c>
      <c r="I273" s="42" t="str">
        <f aca="false">IFERROR(INDEX(Product_Master!$B$2:$B$9,MATCH(E273,Product_Master!$A$2:$A$9,0)),"UNMATCHED")</f>
        <v>Floor Cleaner</v>
      </c>
      <c r="J273" s="42" t="n">
        <f aca="false">IFERROR(INDEX(Calendar!$B$2:$B$25,MATCH(B273,Calendar!$A$2:$A$25,0)),0)</f>
        <v>2025</v>
      </c>
      <c r="K273" s="42" t="n">
        <f aca="false">IFERROR(VALUE(RIGHT(B273,2)),0)</f>
        <v>8</v>
      </c>
      <c r="L273" s="42" t="str">
        <f aca="false">IFERROR(INDEX(Calendar!$E$2:$E$25,MATCH(B273,Calendar!$A$2:$A$25,0)),"UNMATCHED")</f>
        <v>Actual</v>
      </c>
      <c r="M273" s="42" t="n">
        <f aca="false">Sales_Transactions!F273</f>
        <v>202</v>
      </c>
      <c r="N273" s="52" t="n">
        <f aca="false">Sales_Transactions!I273</f>
        <v>38957.72</v>
      </c>
      <c r="O273" s="52" t="n">
        <f aca="false">Sales_Transactions!J273</f>
        <v>23989.52</v>
      </c>
      <c r="P273" s="52" t="n">
        <f aca="false">Sales_Transactions!K273</f>
        <v>14968.2</v>
      </c>
      <c r="Q273" s="42" t="n">
        <f aca="false">IF(ISNUMBER(MATCH(E273,Product_Master!$A$2:$A$9,0)),0,1)</f>
        <v>0</v>
      </c>
      <c r="R273" s="42" t="n">
        <f aca="false">IF(ISNUMBER(MATCH(D273,Customer_Master!$A$2:$A$49,0)),0,1)</f>
        <v>0</v>
      </c>
      <c r="S273" s="42" t="n">
        <f aca="false">IF(ISNUMBER(MATCH(B273,Calendar!$A$2:$A$25,0)),0,1)</f>
        <v>0</v>
      </c>
      <c r="T273" s="42" t="n">
        <f aca="false">IF(COUNTIF(Sales_Transactions!$A$2:$A$865,A273)&gt;1,1,0)</f>
        <v>0</v>
      </c>
      <c r="U273" s="42" t="n">
        <f aca="false">IF(OR(ABS(Sales_Transactions!F273*Sales_Transactions!G273-Sales_Transactions!I273)&gt;0.01,ABS(Sales_Transactions!F273*Sales_Transactions!H273-Sales_Transactions!J273)&gt;0.01,ABS(Sales_Transactions!I273-Sales_Transactions!J273-Sales_Transactions!K273)&gt;0.01),1,0)</f>
        <v>0</v>
      </c>
      <c r="V273" s="42" t="n">
        <f aca="false">IF(C273&lt;&gt;L273,1,0)</f>
        <v>0</v>
      </c>
      <c r="W273" s="42" t="n">
        <f aca="false">IF(SUM(Q273:V273)&gt;0,1,0)</f>
        <v>0</v>
      </c>
    </row>
    <row r="274" customFormat="false" ht="15" hidden="false" customHeight="false" outlineLevel="0" collapsed="false">
      <c r="A274" s="42" t="str">
        <f aca="false">Sales_Transactions!A274</f>
        <v>INV-08-021</v>
      </c>
      <c r="B274" s="42" t="str">
        <f aca="false">Sales_Transactions!B274</f>
        <v>2025-08</v>
      </c>
      <c r="C274" s="42" t="str">
        <f aca="false">Sales_Transactions!C274</f>
        <v>Actual</v>
      </c>
      <c r="D274" s="42" t="str">
        <f aca="false">Sales_Transactions!D274</f>
        <v>C018</v>
      </c>
      <c r="E274" s="42" t="str">
        <f aca="false">Sales_Transactions!E274</f>
        <v>P004</v>
      </c>
      <c r="F274" s="42" t="str">
        <f aca="false">IFERROR(INDEX(Customer_Master!$C$2:$C$49,MATCH(D274,Customer_Master!$A$2:$A$49,0)),"UNMATCHED")</f>
        <v>North</v>
      </c>
      <c r="G274" s="42" t="str">
        <f aca="false">IFERROR(INDEX(Customer_Master!$D$2:$D$49,MATCH(D274,Customer_Master!$A$2:$A$49,0)),"UNMATCHED")</f>
        <v>Retail</v>
      </c>
      <c r="H274" s="42" t="str">
        <f aca="false">IFERROR(INDEX(Product_Master!$C$2:$C$9,MATCH(E274,Product_Master!$A$2:$A$9,0)),"UNMATCHED")</f>
        <v>Personal Care</v>
      </c>
      <c r="I274" s="42" t="str">
        <f aca="false">IFERROR(INDEX(Product_Master!$B$2:$B$9,MATCH(E274,Product_Master!$A$2:$A$9,0)),"UNMATCHED")</f>
        <v>Soap 4-pack</v>
      </c>
      <c r="J274" s="42" t="n">
        <f aca="false">IFERROR(INDEX(Calendar!$B$2:$B$25,MATCH(B274,Calendar!$A$2:$A$25,0)),0)</f>
        <v>2025</v>
      </c>
      <c r="K274" s="42" t="n">
        <f aca="false">IFERROR(VALUE(RIGHT(B274,2)),0)</f>
        <v>8</v>
      </c>
      <c r="L274" s="42" t="str">
        <f aca="false">IFERROR(INDEX(Calendar!$E$2:$E$25,MATCH(B274,Calendar!$A$2:$A$25,0)),"UNMATCHED")</f>
        <v>Actual</v>
      </c>
      <c r="M274" s="42" t="n">
        <f aca="false">Sales_Transactions!F274</f>
        <v>379</v>
      </c>
      <c r="N274" s="52" t="n">
        <f aca="false">Sales_Transactions!I274</f>
        <v>64092.69</v>
      </c>
      <c r="O274" s="52" t="n">
        <f aca="false">Sales_Transactions!J274</f>
        <v>35019.6</v>
      </c>
      <c r="P274" s="52" t="n">
        <f aca="false">Sales_Transactions!K274</f>
        <v>29073.09</v>
      </c>
      <c r="Q274" s="42" t="n">
        <f aca="false">IF(ISNUMBER(MATCH(E274,Product_Master!$A$2:$A$9,0)),0,1)</f>
        <v>0</v>
      </c>
      <c r="R274" s="42" t="n">
        <f aca="false">IF(ISNUMBER(MATCH(D274,Customer_Master!$A$2:$A$49,0)),0,1)</f>
        <v>0</v>
      </c>
      <c r="S274" s="42" t="n">
        <f aca="false">IF(ISNUMBER(MATCH(B274,Calendar!$A$2:$A$25,0)),0,1)</f>
        <v>0</v>
      </c>
      <c r="T274" s="42" t="n">
        <f aca="false">IF(COUNTIF(Sales_Transactions!$A$2:$A$865,A274)&gt;1,1,0)</f>
        <v>0</v>
      </c>
      <c r="U274" s="42" t="n">
        <f aca="false">IF(OR(ABS(Sales_Transactions!F274*Sales_Transactions!G274-Sales_Transactions!I274)&gt;0.01,ABS(Sales_Transactions!F274*Sales_Transactions!H274-Sales_Transactions!J274)&gt;0.01,ABS(Sales_Transactions!I274-Sales_Transactions!J274-Sales_Transactions!K274)&gt;0.01),1,0)</f>
        <v>0</v>
      </c>
      <c r="V274" s="42" t="n">
        <f aca="false">IF(C274&lt;&gt;L274,1,0)</f>
        <v>0</v>
      </c>
      <c r="W274" s="42" t="n">
        <f aca="false">IF(SUM(Q274:V274)&gt;0,1,0)</f>
        <v>0</v>
      </c>
    </row>
    <row r="275" customFormat="false" ht="15" hidden="false" customHeight="false" outlineLevel="0" collapsed="false">
      <c r="A275" s="42" t="str">
        <f aca="false">Sales_Transactions!A275</f>
        <v>INV-08-022</v>
      </c>
      <c r="B275" s="42" t="str">
        <f aca="false">Sales_Transactions!B275</f>
        <v>2025-08</v>
      </c>
      <c r="C275" s="42" t="str">
        <f aca="false">Sales_Transactions!C275</f>
        <v>Actual</v>
      </c>
      <c r="D275" s="42" t="str">
        <f aca="false">Sales_Transactions!D275</f>
        <v>C025</v>
      </c>
      <c r="E275" s="42" t="str">
        <f aca="false">Sales_Transactions!E275</f>
        <v>P001</v>
      </c>
      <c r="F275" s="42" t="str">
        <f aca="false">IFERROR(INDEX(Customer_Master!$C$2:$C$49,MATCH(D275,Customer_Master!$A$2:$A$49,0)),"UNMATCHED")</f>
        <v>South</v>
      </c>
      <c r="G275" s="42" t="str">
        <f aca="false">IFERROR(INDEX(Customer_Master!$D$2:$D$49,MATCH(D275,Customer_Master!$A$2:$A$49,0)),"UNMATCHED")</f>
        <v>Distributor</v>
      </c>
      <c r="H275" s="42" t="str">
        <f aca="false">IFERROR(INDEX(Product_Master!$C$2:$C$9,MATCH(E275,Product_Master!$A$2:$A$9,0)),"UNMATCHED")</f>
        <v>Home Care</v>
      </c>
      <c r="I275" s="42" t="str">
        <f aca="false">IFERROR(INDEX(Product_Master!$B$2:$B$9,MATCH(E275,Product_Master!$A$2:$A$9,0)),"UNMATCHED")</f>
        <v>Detergent 1kg</v>
      </c>
      <c r="J275" s="42" t="n">
        <f aca="false">IFERROR(INDEX(Calendar!$B$2:$B$25,MATCH(B275,Calendar!$A$2:$A$25,0)),0)</f>
        <v>2025</v>
      </c>
      <c r="K275" s="42" t="n">
        <f aca="false">IFERROR(VALUE(RIGHT(B275,2)),0)</f>
        <v>8</v>
      </c>
      <c r="L275" s="42" t="str">
        <f aca="false">IFERROR(INDEX(Calendar!$E$2:$E$25,MATCH(B275,Calendar!$A$2:$A$25,0)),"UNMATCHED")</f>
        <v>Actual</v>
      </c>
      <c r="M275" s="42" t="n">
        <f aca="false">Sales_Transactions!F275</f>
        <v>429</v>
      </c>
      <c r="N275" s="52" t="n">
        <f aca="false">Sales_Transactions!I275</f>
        <v>89798.28</v>
      </c>
      <c r="O275" s="52" t="n">
        <f aca="false">Sales_Transactions!J275</f>
        <v>58279.65</v>
      </c>
      <c r="P275" s="52" t="n">
        <f aca="false">Sales_Transactions!K275</f>
        <v>31518.63</v>
      </c>
      <c r="Q275" s="42" t="n">
        <f aca="false">IF(ISNUMBER(MATCH(E275,Product_Master!$A$2:$A$9,0)),0,1)</f>
        <v>0</v>
      </c>
      <c r="R275" s="42" t="n">
        <f aca="false">IF(ISNUMBER(MATCH(D275,Customer_Master!$A$2:$A$49,0)),0,1)</f>
        <v>0</v>
      </c>
      <c r="S275" s="42" t="n">
        <f aca="false">IF(ISNUMBER(MATCH(B275,Calendar!$A$2:$A$25,0)),0,1)</f>
        <v>0</v>
      </c>
      <c r="T275" s="42" t="n">
        <f aca="false">IF(COUNTIF(Sales_Transactions!$A$2:$A$865,A275)&gt;1,1,0)</f>
        <v>0</v>
      </c>
      <c r="U275" s="42" t="n">
        <f aca="false">IF(OR(ABS(Sales_Transactions!F275*Sales_Transactions!G275-Sales_Transactions!I275)&gt;0.01,ABS(Sales_Transactions!F275*Sales_Transactions!H275-Sales_Transactions!J275)&gt;0.01,ABS(Sales_Transactions!I275-Sales_Transactions!J275-Sales_Transactions!K275)&gt;0.01),1,0)</f>
        <v>0</v>
      </c>
      <c r="V275" s="42" t="n">
        <f aca="false">IF(C275&lt;&gt;L275,1,0)</f>
        <v>0</v>
      </c>
      <c r="W275" s="42" t="n">
        <f aca="false">IF(SUM(Q275:V275)&gt;0,1,0)</f>
        <v>0</v>
      </c>
    </row>
    <row r="276" customFormat="false" ht="15" hidden="false" customHeight="false" outlineLevel="0" collapsed="false">
      <c r="A276" s="42" t="str">
        <f aca="false">Sales_Transactions!A276</f>
        <v>INV-08-023</v>
      </c>
      <c r="B276" s="42" t="str">
        <f aca="false">Sales_Transactions!B276</f>
        <v>2025-08</v>
      </c>
      <c r="C276" s="42" t="str">
        <f aca="false">Sales_Transactions!C276</f>
        <v>Actual</v>
      </c>
      <c r="D276" s="42" t="str">
        <f aca="false">Sales_Transactions!D276</f>
        <v>C032</v>
      </c>
      <c r="E276" s="42" t="str">
        <f aca="false">Sales_Transactions!E276</f>
        <v>P006</v>
      </c>
      <c r="F276" s="42" t="str">
        <f aca="false">IFERROR(INDEX(Customer_Master!$C$2:$C$49,MATCH(D276,Customer_Master!$A$2:$A$49,0)),"UNMATCHED")</f>
        <v>East</v>
      </c>
      <c r="G276" s="42" t="str">
        <f aca="false">IFERROR(INDEX(Customer_Master!$D$2:$D$49,MATCH(D276,Customer_Master!$A$2:$A$49,0)),"UNMATCHED")</f>
        <v>Modern Trade</v>
      </c>
      <c r="H276" s="42" t="str">
        <f aca="false">IFERROR(INDEX(Product_Master!$C$2:$C$9,MATCH(E276,Product_Master!$A$2:$A$9,0)),"UNMATCHED")</f>
        <v>Foods</v>
      </c>
      <c r="I276" s="42" t="str">
        <f aca="false">IFERROR(INDEX(Product_Master!$B$2:$B$9,MATCH(E276,Product_Master!$A$2:$A$9,0)),"UNMATCHED")</f>
        <v>Breakfast Cereal</v>
      </c>
      <c r="J276" s="42" t="n">
        <f aca="false">IFERROR(INDEX(Calendar!$B$2:$B$25,MATCH(B276,Calendar!$A$2:$A$25,0)),0)</f>
        <v>2025</v>
      </c>
      <c r="K276" s="42" t="n">
        <f aca="false">IFERROR(VALUE(RIGHT(B276,2)),0)</f>
        <v>8</v>
      </c>
      <c r="L276" s="42" t="str">
        <f aca="false">IFERROR(INDEX(Calendar!$E$2:$E$25,MATCH(B276,Calendar!$A$2:$A$25,0)),"UNMATCHED")</f>
        <v>Actual</v>
      </c>
      <c r="M276" s="42" t="n">
        <f aca="false">Sales_Transactions!F276</f>
        <v>174</v>
      </c>
      <c r="N276" s="52" t="n">
        <f aca="false">Sales_Transactions!I276</f>
        <v>42203.7</v>
      </c>
      <c r="O276" s="52" t="n">
        <f aca="false">Sales_Transactions!J276</f>
        <v>28181.04</v>
      </c>
      <c r="P276" s="52" t="n">
        <f aca="false">Sales_Transactions!K276</f>
        <v>14022.66</v>
      </c>
      <c r="Q276" s="42" t="n">
        <f aca="false">IF(ISNUMBER(MATCH(E276,Product_Master!$A$2:$A$9,0)),0,1)</f>
        <v>0</v>
      </c>
      <c r="R276" s="42" t="n">
        <f aca="false">IF(ISNUMBER(MATCH(D276,Customer_Master!$A$2:$A$49,0)),0,1)</f>
        <v>0</v>
      </c>
      <c r="S276" s="42" t="n">
        <f aca="false">IF(ISNUMBER(MATCH(B276,Calendar!$A$2:$A$25,0)),0,1)</f>
        <v>0</v>
      </c>
      <c r="T276" s="42" t="n">
        <f aca="false">IF(COUNTIF(Sales_Transactions!$A$2:$A$865,A276)&gt;1,1,0)</f>
        <v>0</v>
      </c>
      <c r="U276" s="42" t="n">
        <f aca="false">IF(OR(ABS(Sales_Transactions!F276*Sales_Transactions!G276-Sales_Transactions!I276)&gt;0.01,ABS(Sales_Transactions!F276*Sales_Transactions!H276-Sales_Transactions!J276)&gt;0.01,ABS(Sales_Transactions!I276-Sales_Transactions!J276-Sales_Transactions!K276)&gt;0.01),1,0)</f>
        <v>0</v>
      </c>
      <c r="V276" s="42" t="n">
        <f aca="false">IF(C276&lt;&gt;L276,1,0)</f>
        <v>0</v>
      </c>
      <c r="W276" s="42" t="n">
        <f aca="false">IF(SUM(Q276:V276)&gt;0,1,0)</f>
        <v>0</v>
      </c>
    </row>
    <row r="277" customFormat="false" ht="15" hidden="false" customHeight="false" outlineLevel="0" collapsed="false">
      <c r="A277" s="42" t="str">
        <f aca="false">Sales_Transactions!A277</f>
        <v>INV-08-024</v>
      </c>
      <c r="B277" s="42" t="str">
        <f aca="false">Sales_Transactions!B277</f>
        <v>2025-08</v>
      </c>
      <c r="C277" s="42" t="str">
        <f aca="false">Sales_Transactions!C277</f>
        <v>Actual</v>
      </c>
      <c r="D277" s="42" t="str">
        <f aca="false">Sales_Transactions!D277</f>
        <v>C039</v>
      </c>
      <c r="E277" s="42" t="str">
        <f aca="false">Sales_Transactions!E277</f>
        <v>P003</v>
      </c>
      <c r="F277" s="42" t="str">
        <f aca="false">IFERROR(INDEX(Customer_Master!$C$2:$C$49,MATCH(D277,Customer_Master!$A$2:$A$49,0)),"UNMATCHED")</f>
        <v>West</v>
      </c>
      <c r="G277" s="42" t="str">
        <f aca="false">IFERROR(INDEX(Customer_Master!$D$2:$D$49,MATCH(D277,Customer_Master!$A$2:$A$49,0)),"UNMATCHED")</f>
        <v>Retail</v>
      </c>
      <c r="H277" s="42" t="str">
        <f aca="false">IFERROR(INDEX(Product_Master!$C$2:$C$9,MATCH(E277,Product_Master!$A$2:$A$9,0)),"UNMATCHED")</f>
        <v>Personal Care</v>
      </c>
      <c r="I277" s="42" t="str">
        <f aca="false">IFERROR(INDEX(Product_Master!$B$2:$B$9,MATCH(E277,Product_Master!$A$2:$A$9,0)),"UNMATCHED")</f>
        <v>Shampoo 400ml</v>
      </c>
      <c r="J277" s="42" t="n">
        <f aca="false">IFERROR(INDEX(Calendar!$B$2:$B$25,MATCH(B277,Calendar!$A$2:$A$25,0)),0)</f>
        <v>2025</v>
      </c>
      <c r="K277" s="42" t="n">
        <f aca="false">IFERROR(VALUE(RIGHT(B277,2)),0)</f>
        <v>8</v>
      </c>
      <c r="L277" s="42" t="str">
        <f aca="false">IFERROR(INDEX(Calendar!$E$2:$E$25,MATCH(B277,Calendar!$A$2:$A$25,0)),"UNMATCHED")</f>
        <v>Actual</v>
      </c>
      <c r="M277" s="42" t="n">
        <f aca="false">Sales_Transactions!F277</f>
        <v>227</v>
      </c>
      <c r="N277" s="52" t="n">
        <f aca="false">Sales_Transactions!I277</f>
        <v>58068.87</v>
      </c>
      <c r="O277" s="52" t="n">
        <f aca="false">Sales_Transactions!J277</f>
        <v>39990.59</v>
      </c>
      <c r="P277" s="52" t="n">
        <f aca="false">Sales_Transactions!K277</f>
        <v>18078.28</v>
      </c>
      <c r="Q277" s="42" t="n">
        <f aca="false">IF(ISNUMBER(MATCH(E277,Product_Master!$A$2:$A$9,0)),0,1)</f>
        <v>0</v>
      </c>
      <c r="R277" s="42" t="n">
        <f aca="false">IF(ISNUMBER(MATCH(D277,Customer_Master!$A$2:$A$49,0)),0,1)</f>
        <v>0</v>
      </c>
      <c r="S277" s="42" t="n">
        <f aca="false">IF(ISNUMBER(MATCH(B277,Calendar!$A$2:$A$25,0)),0,1)</f>
        <v>0</v>
      </c>
      <c r="T277" s="42" t="n">
        <f aca="false">IF(COUNTIF(Sales_Transactions!$A$2:$A$865,A277)&gt;1,1,0)</f>
        <v>0</v>
      </c>
      <c r="U277" s="42" t="n">
        <f aca="false">IF(OR(ABS(Sales_Transactions!F277*Sales_Transactions!G277-Sales_Transactions!I277)&gt;0.01,ABS(Sales_Transactions!F277*Sales_Transactions!H277-Sales_Transactions!J277)&gt;0.01,ABS(Sales_Transactions!I277-Sales_Transactions!J277-Sales_Transactions!K277)&gt;0.01),1,0)</f>
        <v>0</v>
      </c>
      <c r="V277" s="42" t="n">
        <f aca="false">IF(C277&lt;&gt;L277,1,0)</f>
        <v>0</v>
      </c>
      <c r="W277" s="42" t="n">
        <f aca="false">IF(SUM(Q277:V277)&gt;0,1,0)</f>
        <v>0</v>
      </c>
    </row>
    <row r="278" customFormat="false" ht="15" hidden="false" customHeight="false" outlineLevel="0" collapsed="false">
      <c r="A278" s="42" t="str">
        <f aca="false">Sales_Transactions!A278</f>
        <v>INV-08-025</v>
      </c>
      <c r="B278" s="42" t="str">
        <f aca="false">Sales_Transactions!B278</f>
        <v>2025-08</v>
      </c>
      <c r="C278" s="42" t="str">
        <f aca="false">Sales_Transactions!C278</f>
        <v>Actual</v>
      </c>
      <c r="D278" s="42" t="str">
        <f aca="false">Sales_Transactions!D278</f>
        <v>C046</v>
      </c>
      <c r="E278" s="42" t="str">
        <f aca="false">Sales_Transactions!E278</f>
        <v>P008</v>
      </c>
      <c r="F278" s="42" t="str">
        <f aca="false">IFERROR(INDEX(Customer_Master!$C$2:$C$49,MATCH(D278,Customer_Master!$A$2:$A$49,0)),"UNMATCHED")</f>
        <v>North</v>
      </c>
      <c r="G278" s="42" t="str">
        <f aca="false">IFERROR(INDEX(Customer_Master!$D$2:$D$49,MATCH(D278,Customer_Master!$A$2:$A$49,0)),"UNMATCHED")</f>
        <v>Distributor</v>
      </c>
      <c r="H278" s="42" t="str">
        <f aca="false">IFERROR(INDEX(Product_Master!$C$2:$C$9,MATCH(E278,Product_Master!$A$2:$A$9,0)),"UNMATCHED")</f>
        <v>Personal Care</v>
      </c>
      <c r="I278" s="42" t="str">
        <f aca="false">IFERROR(INDEX(Product_Master!$B$2:$B$9,MATCH(E278,Product_Master!$A$2:$A$9,0)),"UNMATCHED")</f>
        <v>Body Lotion</v>
      </c>
      <c r="J278" s="42" t="n">
        <f aca="false">IFERROR(INDEX(Calendar!$B$2:$B$25,MATCH(B278,Calendar!$A$2:$A$25,0)),0)</f>
        <v>2025</v>
      </c>
      <c r="K278" s="42" t="n">
        <f aca="false">IFERROR(VALUE(RIGHT(B278,2)),0)</f>
        <v>8</v>
      </c>
      <c r="L278" s="42" t="str">
        <f aca="false">IFERROR(INDEX(Calendar!$E$2:$E$25,MATCH(B278,Calendar!$A$2:$A$25,0)),"UNMATCHED")</f>
        <v>Actual</v>
      </c>
      <c r="M278" s="42" t="n">
        <f aca="false">Sales_Transactions!F278</f>
        <v>410</v>
      </c>
      <c r="N278" s="52" t="n">
        <f aca="false">Sales_Transactions!I278</f>
        <v>132696.5</v>
      </c>
      <c r="O278" s="52" t="n">
        <f aca="false">Sales_Transactions!J278</f>
        <v>89138.1</v>
      </c>
      <c r="P278" s="52" t="n">
        <f aca="false">Sales_Transactions!K278</f>
        <v>43558.4</v>
      </c>
      <c r="Q278" s="42" t="n">
        <f aca="false">IF(ISNUMBER(MATCH(E278,Product_Master!$A$2:$A$9,0)),0,1)</f>
        <v>0</v>
      </c>
      <c r="R278" s="42" t="n">
        <f aca="false">IF(ISNUMBER(MATCH(D278,Customer_Master!$A$2:$A$49,0)),0,1)</f>
        <v>0</v>
      </c>
      <c r="S278" s="42" t="n">
        <f aca="false">IF(ISNUMBER(MATCH(B278,Calendar!$A$2:$A$25,0)),0,1)</f>
        <v>0</v>
      </c>
      <c r="T278" s="42" t="n">
        <f aca="false">IF(COUNTIF(Sales_Transactions!$A$2:$A$865,A278)&gt;1,1,0)</f>
        <v>0</v>
      </c>
      <c r="U278" s="42" t="n">
        <f aca="false">IF(OR(ABS(Sales_Transactions!F278*Sales_Transactions!G278-Sales_Transactions!I278)&gt;0.01,ABS(Sales_Transactions!F278*Sales_Transactions!H278-Sales_Transactions!J278)&gt;0.01,ABS(Sales_Transactions!I278-Sales_Transactions!J278-Sales_Transactions!K278)&gt;0.01),1,0)</f>
        <v>0</v>
      </c>
      <c r="V278" s="42" t="n">
        <f aca="false">IF(C278&lt;&gt;L278,1,0)</f>
        <v>0</v>
      </c>
      <c r="W278" s="42" t="n">
        <f aca="false">IF(SUM(Q278:V278)&gt;0,1,0)</f>
        <v>0</v>
      </c>
    </row>
    <row r="279" customFormat="false" ht="15" hidden="false" customHeight="false" outlineLevel="0" collapsed="false">
      <c r="A279" s="42" t="str">
        <f aca="false">Sales_Transactions!A279</f>
        <v>INV-08-026</v>
      </c>
      <c r="B279" s="42" t="str">
        <f aca="false">Sales_Transactions!B279</f>
        <v>2025-08</v>
      </c>
      <c r="C279" s="42" t="str">
        <f aca="false">Sales_Transactions!C279</f>
        <v>Actual</v>
      </c>
      <c r="D279" s="42" t="str">
        <f aca="false">Sales_Transactions!D279</f>
        <v>C005</v>
      </c>
      <c r="E279" s="42" t="str">
        <f aca="false">Sales_Transactions!E279</f>
        <v>P005</v>
      </c>
      <c r="F279" s="42" t="str">
        <f aca="false">IFERROR(INDEX(Customer_Master!$C$2:$C$49,MATCH(D279,Customer_Master!$A$2:$A$49,0)),"UNMATCHED")</f>
        <v>South</v>
      </c>
      <c r="G279" s="42" t="str">
        <f aca="false">IFERROR(INDEX(Customer_Master!$D$2:$D$49,MATCH(D279,Customer_Master!$A$2:$A$49,0)),"UNMATCHED")</f>
        <v>Modern Trade</v>
      </c>
      <c r="H279" s="42" t="str">
        <f aca="false">IFERROR(INDEX(Product_Master!$C$2:$C$9,MATCH(E279,Product_Master!$A$2:$A$9,0)),"UNMATCHED")</f>
        <v>Foods</v>
      </c>
      <c r="I279" s="42" t="str">
        <f aca="false">IFERROR(INDEX(Product_Master!$B$2:$B$9,MATCH(E279,Product_Master!$A$2:$A$9,0)),"UNMATCHED")</f>
        <v>Biscuits 500g</v>
      </c>
      <c r="J279" s="42" t="n">
        <f aca="false">IFERROR(INDEX(Calendar!$B$2:$B$25,MATCH(B279,Calendar!$A$2:$A$25,0)),0)</f>
        <v>2025</v>
      </c>
      <c r="K279" s="42" t="n">
        <f aca="false">IFERROR(VALUE(RIGHT(B279,2)),0)</f>
        <v>8</v>
      </c>
      <c r="L279" s="42" t="str">
        <f aca="false">IFERROR(INDEX(Calendar!$E$2:$E$25,MATCH(B279,Calendar!$A$2:$A$25,0)),"UNMATCHED")</f>
        <v>Actual</v>
      </c>
      <c r="M279" s="42" t="n">
        <f aca="false">Sales_Transactions!F279</f>
        <v>325</v>
      </c>
      <c r="N279" s="52" t="n">
        <f aca="false">Sales_Transactions!I279</f>
        <v>33436</v>
      </c>
      <c r="O279" s="52" t="n">
        <f aca="false">Sales_Transactions!J279</f>
        <v>21775</v>
      </c>
      <c r="P279" s="52" t="n">
        <f aca="false">Sales_Transactions!K279</f>
        <v>11661</v>
      </c>
      <c r="Q279" s="42" t="n">
        <f aca="false">IF(ISNUMBER(MATCH(E279,Product_Master!$A$2:$A$9,0)),0,1)</f>
        <v>0</v>
      </c>
      <c r="R279" s="42" t="n">
        <f aca="false">IF(ISNUMBER(MATCH(D279,Customer_Master!$A$2:$A$49,0)),0,1)</f>
        <v>0</v>
      </c>
      <c r="S279" s="42" t="n">
        <f aca="false">IF(ISNUMBER(MATCH(B279,Calendar!$A$2:$A$25,0)),0,1)</f>
        <v>0</v>
      </c>
      <c r="T279" s="42" t="n">
        <f aca="false">IF(COUNTIF(Sales_Transactions!$A$2:$A$865,A279)&gt;1,1,0)</f>
        <v>0</v>
      </c>
      <c r="U279" s="42" t="n">
        <f aca="false">IF(OR(ABS(Sales_Transactions!F279*Sales_Transactions!G279-Sales_Transactions!I279)&gt;0.01,ABS(Sales_Transactions!F279*Sales_Transactions!H279-Sales_Transactions!J279)&gt;0.01,ABS(Sales_Transactions!I279-Sales_Transactions!J279-Sales_Transactions!K279)&gt;0.01),1,0)</f>
        <v>0</v>
      </c>
      <c r="V279" s="42" t="n">
        <f aca="false">IF(C279&lt;&gt;L279,1,0)</f>
        <v>0</v>
      </c>
      <c r="W279" s="42" t="n">
        <f aca="false">IF(SUM(Q279:V279)&gt;0,1,0)</f>
        <v>0</v>
      </c>
    </row>
    <row r="280" customFormat="false" ht="15" hidden="false" customHeight="false" outlineLevel="0" collapsed="false">
      <c r="A280" s="42" t="str">
        <f aca="false">Sales_Transactions!A280</f>
        <v>INV-08-027</v>
      </c>
      <c r="B280" s="42" t="str">
        <f aca="false">Sales_Transactions!B280</f>
        <v>2025-08</v>
      </c>
      <c r="C280" s="42" t="str">
        <f aca="false">Sales_Transactions!C280</f>
        <v>Actual</v>
      </c>
      <c r="D280" s="42" t="str">
        <f aca="false">Sales_Transactions!D280</f>
        <v>C012</v>
      </c>
      <c r="E280" s="42" t="str">
        <f aca="false">Sales_Transactions!E280</f>
        <v>P002</v>
      </c>
      <c r="F280" s="42" t="str">
        <f aca="false">IFERROR(INDEX(Customer_Master!$C$2:$C$49,MATCH(D280,Customer_Master!$A$2:$A$49,0)),"UNMATCHED")</f>
        <v>East</v>
      </c>
      <c r="G280" s="42" t="str">
        <f aca="false">IFERROR(INDEX(Customer_Master!$D$2:$D$49,MATCH(D280,Customer_Master!$A$2:$A$49,0)),"UNMATCHED")</f>
        <v>Retail</v>
      </c>
      <c r="H280" s="42" t="str">
        <f aca="false">IFERROR(INDEX(Product_Master!$C$2:$C$9,MATCH(E280,Product_Master!$A$2:$A$9,0)),"UNMATCHED")</f>
        <v>Home Care</v>
      </c>
      <c r="I280" s="42" t="str">
        <f aca="false">IFERROR(INDEX(Product_Master!$B$2:$B$9,MATCH(E280,Product_Master!$A$2:$A$9,0)),"UNMATCHED")</f>
        <v>Dishwash Gel</v>
      </c>
      <c r="J280" s="42" t="n">
        <f aca="false">IFERROR(INDEX(Calendar!$B$2:$B$25,MATCH(B280,Calendar!$A$2:$A$25,0)),0)</f>
        <v>2025</v>
      </c>
      <c r="K280" s="42" t="n">
        <f aca="false">IFERROR(VALUE(RIGHT(B280,2)),0)</f>
        <v>8</v>
      </c>
      <c r="L280" s="42" t="str">
        <f aca="false">IFERROR(INDEX(Calendar!$E$2:$E$25,MATCH(B280,Calendar!$A$2:$A$25,0)),"UNMATCHED")</f>
        <v>Actual</v>
      </c>
      <c r="M280" s="42" t="n">
        <f aca="false">Sales_Transactions!F280</f>
        <v>428</v>
      </c>
      <c r="N280" s="52" t="n">
        <f aca="false">Sales_Transactions!I280</f>
        <v>56076.56</v>
      </c>
      <c r="O280" s="52" t="n">
        <f aca="false">Sales_Transactions!J280</f>
        <v>34368.4</v>
      </c>
      <c r="P280" s="52" t="n">
        <f aca="false">Sales_Transactions!K280</f>
        <v>21708.16</v>
      </c>
      <c r="Q280" s="42" t="n">
        <f aca="false">IF(ISNUMBER(MATCH(E280,Product_Master!$A$2:$A$9,0)),0,1)</f>
        <v>0</v>
      </c>
      <c r="R280" s="42" t="n">
        <f aca="false">IF(ISNUMBER(MATCH(D280,Customer_Master!$A$2:$A$49,0)),0,1)</f>
        <v>0</v>
      </c>
      <c r="S280" s="42" t="n">
        <f aca="false">IF(ISNUMBER(MATCH(B280,Calendar!$A$2:$A$25,0)),0,1)</f>
        <v>0</v>
      </c>
      <c r="T280" s="42" t="n">
        <f aca="false">IF(COUNTIF(Sales_Transactions!$A$2:$A$865,A280)&gt;1,1,0)</f>
        <v>0</v>
      </c>
      <c r="U280" s="42" t="n">
        <f aca="false">IF(OR(ABS(Sales_Transactions!F280*Sales_Transactions!G280-Sales_Transactions!I280)&gt;0.01,ABS(Sales_Transactions!F280*Sales_Transactions!H280-Sales_Transactions!J280)&gt;0.01,ABS(Sales_Transactions!I280-Sales_Transactions!J280-Sales_Transactions!K280)&gt;0.01),1,0)</f>
        <v>0</v>
      </c>
      <c r="V280" s="42" t="n">
        <f aca="false">IF(C280&lt;&gt;L280,1,0)</f>
        <v>0</v>
      </c>
      <c r="W280" s="42" t="n">
        <f aca="false">IF(SUM(Q280:V280)&gt;0,1,0)</f>
        <v>0</v>
      </c>
    </row>
    <row r="281" customFormat="false" ht="15" hidden="false" customHeight="false" outlineLevel="0" collapsed="false">
      <c r="A281" s="42" t="str">
        <f aca="false">Sales_Transactions!A281</f>
        <v>INV-08-028</v>
      </c>
      <c r="B281" s="42" t="str">
        <f aca="false">Sales_Transactions!B281</f>
        <v>2025-08</v>
      </c>
      <c r="C281" s="42" t="str">
        <f aca="false">Sales_Transactions!C281</f>
        <v>Actual</v>
      </c>
      <c r="D281" s="42" t="str">
        <f aca="false">Sales_Transactions!D281</f>
        <v>C019</v>
      </c>
      <c r="E281" s="42" t="str">
        <f aca="false">Sales_Transactions!E281</f>
        <v>P007</v>
      </c>
      <c r="F281" s="42" t="str">
        <f aca="false">IFERROR(INDEX(Customer_Master!$C$2:$C$49,MATCH(D281,Customer_Master!$A$2:$A$49,0)),"UNMATCHED")</f>
        <v>West</v>
      </c>
      <c r="G281" s="42" t="str">
        <f aca="false">IFERROR(INDEX(Customer_Master!$D$2:$D$49,MATCH(D281,Customer_Master!$A$2:$A$49,0)),"UNMATCHED")</f>
        <v>Distributor</v>
      </c>
      <c r="H281" s="42" t="str">
        <f aca="false">IFERROR(INDEX(Product_Master!$C$2:$C$9,MATCH(E281,Product_Master!$A$2:$A$9,0)),"UNMATCHED")</f>
        <v>Home Care</v>
      </c>
      <c r="I281" s="42" t="str">
        <f aca="false">IFERROR(INDEX(Product_Master!$B$2:$B$9,MATCH(E281,Product_Master!$A$2:$A$9,0)),"UNMATCHED")</f>
        <v>Floor Cleaner</v>
      </c>
      <c r="J281" s="42" t="n">
        <f aca="false">IFERROR(INDEX(Calendar!$B$2:$B$25,MATCH(B281,Calendar!$A$2:$A$25,0)),0)</f>
        <v>2025</v>
      </c>
      <c r="K281" s="42" t="n">
        <f aca="false">IFERROR(VALUE(RIGHT(B281,2)),0)</f>
        <v>8</v>
      </c>
      <c r="L281" s="42" t="str">
        <f aca="false">IFERROR(INDEX(Calendar!$E$2:$E$25,MATCH(B281,Calendar!$A$2:$A$25,0)),"UNMATCHED")</f>
        <v>Actual</v>
      </c>
      <c r="M281" s="42" t="n">
        <f aca="false">Sales_Transactions!F281</f>
        <v>295</v>
      </c>
      <c r="N281" s="52" t="n">
        <f aca="false">Sales_Transactions!I281</f>
        <v>54937.85</v>
      </c>
      <c r="O281" s="52" t="n">
        <f aca="false">Sales_Transactions!J281</f>
        <v>32860.05</v>
      </c>
      <c r="P281" s="52" t="n">
        <f aca="false">Sales_Transactions!K281</f>
        <v>22077.8</v>
      </c>
      <c r="Q281" s="42" t="n">
        <f aca="false">IF(ISNUMBER(MATCH(E281,Product_Master!$A$2:$A$9,0)),0,1)</f>
        <v>0</v>
      </c>
      <c r="R281" s="42" t="n">
        <f aca="false">IF(ISNUMBER(MATCH(D281,Customer_Master!$A$2:$A$49,0)),0,1)</f>
        <v>0</v>
      </c>
      <c r="S281" s="42" t="n">
        <f aca="false">IF(ISNUMBER(MATCH(B281,Calendar!$A$2:$A$25,0)),0,1)</f>
        <v>0</v>
      </c>
      <c r="T281" s="42" t="n">
        <f aca="false">IF(COUNTIF(Sales_Transactions!$A$2:$A$865,A281)&gt;1,1,0)</f>
        <v>0</v>
      </c>
      <c r="U281" s="42" t="n">
        <f aca="false">IF(OR(ABS(Sales_Transactions!F281*Sales_Transactions!G281-Sales_Transactions!I281)&gt;0.01,ABS(Sales_Transactions!F281*Sales_Transactions!H281-Sales_Transactions!J281)&gt;0.01,ABS(Sales_Transactions!I281-Sales_Transactions!J281-Sales_Transactions!K281)&gt;0.01),1,0)</f>
        <v>0</v>
      </c>
      <c r="V281" s="42" t="n">
        <f aca="false">IF(C281&lt;&gt;L281,1,0)</f>
        <v>0</v>
      </c>
      <c r="W281" s="42" t="n">
        <f aca="false">IF(SUM(Q281:V281)&gt;0,1,0)</f>
        <v>0</v>
      </c>
    </row>
    <row r="282" customFormat="false" ht="15" hidden="false" customHeight="false" outlineLevel="0" collapsed="false">
      <c r="A282" s="42" t="str">
        <f aca="false">Sales_Transactions!A282</f>
        <v>INV-08-029</v>
      </c>
      <c r="B282" s="42" t="str">
        <f aca="false">Sales_Transactions!B282</f>
        <v>2025-08</v>
      </c>
      <c r="C282" s="42" t="str">
        <f aca="false">Sales_Transactions!C282</f>
        <v>Actual</v>
      </c>
      <c r="D282" s="42" t="str">
        <f aca="false">Sales_Transactions!D282</f>
        <v>C026</v>
      </c>
      <c r="E282" s="42" t="str">
        <f aca="false">Sales_Transactions!E282</f>
        <v>P004</v>
      </c>
      <c r="F282" s="42" t="str">
        <f aca="false">IFERROR(INDEX(Customer_Master!$C$2:$C$49,MATCH(D282,Customer_Master!$A$2:$A$49,0)),"UNMATCHED")</f>
        <v>North</v>
      </c>
      <c r="G282" s="42" t="str">
        <f aca="false">IFERROR(INDEX(Customer_Master!$D$2:$D$49,MATCH(D282,Customer_Master!$A$2:$A$49,0)),"UNMATCHED")</f>
        <v>Modern Trade</v>
      </c>
      <c r="H282" s="42" t="str">
        <f aca="false">IFERROR(INDEX(Product_Master!$C$2:$C$9,MATCH(E282,Product_Master!$A$2:$A$9,0)),"UNMATCHED")</f>
        <v>Personal Care</v>
      </c>
      <c r="I282" s="42" t="str">
        <f aca="false">IFERROR(INDEX(Product_Master!$B$2:$B$9,MATCH(E282,Product_Master!$A$2:$A$9,0)),"UNMATCHED")</f>
        <v>Soap 4-pack</v>
      </c>
      <c r="J282" s="42" t="n">
        <f aca="false">IFERROR(INDEX(Calendar!$B$2:$B$25,MATCH(B282,Calendar!$A$2:$A$25,0)),0)</f>
        <v>2025</v>
      </c>
      <c r="K282" s="42" t="n">
        <f aca="false">IFERROR(VALUE(RIGHT(B282,2)),0)</f>
        <v>8</v>
      </c>
      <c r="L282" s="42" t="str">
        <f aca="false">IFERROR(INDEX(Calendar!$E$2:$E$25,MATCH(B282,Calendar!$A$2:$A$25,0)),"UNMATCHED")</f>
        <v>Actual</v>
      </c>
      <c r="M282" s="42" t="n">
        <f aca="false">Sales_Transactions!F282</f>
        <v>290</v>
      </c>
      <c r="N282" s="52" t="n">
        <f aca="false">Sales_Transactions!I282</f>
        <v>50535.4</v>
      </c>
      <c r="O282" s="52" t="n">
        <f aca="false">Sales_Transactions!J282</f>
        <v>28565</v>
      </c>
      <c r="P282" s="52" t="n">
        <f aca="false">Sales_Transactions!K282</f>
        <v>21970.4</v>
      </c>
      <c r="Q282" s="42" t="n">
        <f aca="false">IF(ISNUMBER(MATCH(E282,Product_Master!$A$2:$A$9,0)),0,1)</f>
        <v>0</v>
      </c>
      <c r="R282" s="42" t="n">
        <f aca="false">IF(ISNUMBER(MATCH(D282,Customer_Master!$A$2:$A$49,0)),0,1)</f>
        <v>0</v>
      </c>
      <c r="S282" s="42" t="n">
        <f aca="false">IF(ISNUMBER(MATCH(B282,Calendar!$A$2:$A$25,0)),0,1)</f>
        <v>0</v>
      </c>
      <c r="T282" s="42" t="n">
        <f aca="false">IF(COUNTIF(Sales_Transactions!$A$2:$A$865,A282)&gt;1,1,0)</f>
        <v>0</v>
      </c>
      <c r="U282" s="42" t="n">
        <f aca="false">IF(OR(ABS(Sales_Transactions!F282*Sales_Transactions!G282-Sales_Transactions!I282)&gt;0.01,ABS(Sales_Transactions!F282*Sales_Transactions!H282-Sales_Transactions!J282)&gt;0.01,ABS(Sales_Transactions!I282-Sales_Transactions!J282-Sales_Transactions!K282)&gt;0.01),1,0)</f>
        <v>0</v>
      </c>
      <c r="V282" s="42" t="n">
        <f aca="false">IF(C282&lt;&gt;L282,1,0)</f>
        <v>0</v>
      </c>
      <c r="W282" s="42" t="n">
        <f aca="false">IF(SUM(Q282:V282)&gt;0,1,0)</f>
        <v>0</v>
      </c>
    </row>
    <row r="283" customFormat="false" ht="15" hidden="false" customHeight="false" outlineLevel="0" collapsed="false">
      <c r="A283" s="42" t="str">
        <f aca="false">Sales_Transactions!A283</f>
        <v>INV-08-030</v>
      </c>
      <c r="B283" s="42" t="str">
        <f aca="false">Sales_Transactions!B283</f>
        <v>2025-08</v>
      </c>
      <c r="C283" s="42" t="str">
        <f aca="false">Sales_Transactions!C283</f>
        <v>Actual</v>
      </c>
      <c r="D283" s="42" t="str">
        <f aca="false">Sales_Transactions!D283</f>
        <v>C033</v>
      </c>
      <c r="E283" s="42" t="str">
        <f aca="false">Sales_Transactions!E283</f>
        <v>P001</v>
      </c>
      <c r="F283" s="42" t="str">
        <f aca="false">IFERROR(INDEX(Customer_Master!$C$2:$C$49,MATCH(D283,Customer_Master!$A$2:$A$49,0)),"UNMATCHED")</f>
        <v>South</v>
      </c>
      <c r="G283" s="42" t="str">
        <f aca="false">IFERROR(INDEX(Customer_Master!$D$2:$D$49,MATCH(D283,Customer_Master!$A$2:$A$49,0)),"UNMATCHED")</f>
        <v>Retail</v>
      </c>
      <c r="H283" s="42" t="str">
        <f aca="false">IFERROR(INDEX(Product_Master!$C$2:$C$9,MATCH(E283,Product_Master!$A$2:$A$9,0)),"UNMATCHED")</f>
        <v>Home Care</v>
      </c>
      <c r="I283" s="42" t="str">
        <f aca="false">IFERROR(INDEX(Product_Master!$B$2:$B$9,MATCH(E283,Product_Master!$A$2:$A$9,0)),"UNMATCHED")</f>
        <v>Detergent 1kg</v>
      </c>
      <c r="J283" s="42" t="n">
        <f aca="false">IFERROR(INDEX(Calendar!$B$2:$B$25,MATCH(B283,Calendar!$A$2:$A$25,0)),0)</f>
        <v>2025</v>
      </c>
      <c r="K283" s="42" t="n">
        <f aca="false">IFERROR(VALUE(RIGHT(B283,2)),0)</f>
        <v>8</v>
      </c>
      <c r="L283" s="42" t="str">
        <f aca="false">IFERROR(INDEX(Calendar!$E$2:$E$25,MATCH(B283,Calendar!$A$2:$A$25,0)),"UNMATCHED")</f>
        <v>Actual</v>
      </c>
      <c r="M283" s="42" t="n">
        <f aca="false">Sales_Transactions!F283</f>
        <v>317</v>
      </c>
      <c r="N283" s="52" t="n">
        <f aca="false">Sales_Transactions!I283</f>
        <v>60008.1</v>
      </c>
      <c r="O283" s="52" t="n">
        <f aca="false">Sales_Transactions!J283</f>
        <v>41438.24</v>
      </c>
      <c r="P283" s="52" t="n">
        <f aca="false">Sales_Transactions!K283</f>
        <v>18569.86</v>
      </c>
      <c r="Q283" s="42" t="n">
        <f aca="false">IF(ISNUMBER(MATCH(E283,Product_Master!$A$2:$A$9,0)),0,1)</f>
        <v>0</v>
      </c>
      <c r="R283" s="42" t="n">
        <f aca="false">IF(ISNUMBER(MATCH(D283,Customer_Master!$A$2:$A$49,0)),0,1)</f>
        <v>0</v>
      </c>
      <c r="S283" s="42" t="n">
        <f aca="false">IF(ISNUMBER(MATCH(B283,Calendar!$A$2:$A$25,0)),0,1)</f>
        <v>0</v>
      </c>
      <c r="T283" s="42" t="n">
        <f aca="false">IF(COUNTIF(Sales_Transactions!$A$2:$A$865,A283)&gt;1,1,0)</f>
        <v>0</v>
      </c>
      <c r="U283" s="42" t="n">
        <f aca="false">IF(OR(ABS(Sales_Transactions!F283*Sales_Transactions!G283-Sales_Transactions!I283)&gt;0.01,ABS(Sales_Transactions!F283*Sales_Transactions!H283-Sales_Transactions!J283)&gt;0.01,ABS(Sales_Transactions!I283-Sales_Transactions!J283-Sales_Transactions!K283)&gt;0.01),1,0)</f>
        <v>0</v>
      </c>
      <c r="V283" s="42" t="n">
        <f aca="false">IF(C283&lt;&gt;L283,1,0)</f>
        <v>0</v>
      </c>
      <c r="W283" s="42" t="n">
        <f aca="false">IF(SUM(Q283:V283)&gt;0,1,0)</f>
        <v>0</v>
      </c>
    </row>
    <row r="284" customFormat="false" ht="15" hidden="false" customHeight="false" outlineLevel="0" collapsed="false">
      <c r="A284" s="42" t="str">
        <f aca="false">Sales_Transactions!A284</f>
        <v>INV-08-031</v>
      </c>
      <c r="B284" s="42" t="str">
        <f aca="false">Sales_Transactions!B284</f>
        <v>2025-08</v>
      </c>
      <c r="C284" s="42" t="str">
        <f aca="false">Sales_Transactions!C284</f>
        <v>Actual</v>
      </c>
      <c r="D284" s="42" t="str">
        <f aca="false">Sales_Transactions!D284</f>
        <v>C040</v>
      </c>
      <c r="E284" s="42" t="str">
        <f aca="false">Sales_Transactions!E284</f>
        <v>P006</v>
      </c>
      <c r="F284" s="42" t="str">
        <f aca="false">IFERROR(INDEX(Customer_Master!$C$2:$C$49,MATCH(D284,Customer_Master!$A$2:$A$49,0)),"UNMATCHED")</f>
        <v>East</v>
      </c>
      <c r="G284" s="42" t="str">
        <f aca="false">IFERROR(INDEX(Customer_Master!$D$2:$D$49,MATCH(D284,Customer_Master!$A$2:$A$49,0)),"UNMATCHED")</f>
        <v>Distributor</v>
      </c>
      <c r="H284" s="42" t="str">
        <f aca="false">IFERROR(INDEX(Product_Master!$C$2:$C$9,MATCH(E284,Product_Master!$A$2:$A$9,0)),"UNMATCHED")</f>
        <v>Foods</v>
      </c>
      <c r="I284" s="42" t="str">
        <f aca="false">IFERROR(INDEX(Product_Master!$B$2:$B$9,MATCH(E284,Product_Master!$A$2:$A$9,0)),"UNMATCHED")</f>
        <v>Breakfast Cereal</v>
      </c>
      <c r="J284" s="42" t="n">
        <f aca="false">IFERROR(INDEX(Calendar!$B$2:$B$25,MATCH(B284,Calendar!$A$2:$A$25,0)),0)</f>
        <v>2025</v>
      </c>
      <c r="K284" s="42" t="n">
        <f aca="false">IFERROR(VALUE(RIGHT(B284,2)),0)</f>
        <v>8</v>
      </c>
      <c r="L284" s="42" t="str">
        <f aca="false">IFERROR(INDEX(Calendar!$E$2:$E$25,MATCH(B284,Calendar!$A$2:$A$25,0)),"UNMATCHED")</f>
        <v>Actual</v>
      </c>
      <c r="M284" s="42" t="n">
        <f aca="false">Sales_Transactions!F284</f>
        <v>144</v>
      </c>
      <c r="N284" s="52" t="n">
        <f aca="false">Sales_Transactions!I284</f>
        <v>37311.84</v>
      </c>
      <c r="O284" s="52" t="n">
        <f aca="false">Sales_Transactions!J284</f>
        <v>22655.52</v>
      </c>
      <c r="P284" s="52" t="n">
        <f aca="false">Sales_Transactions!K284</f>
        <v>14656.32</v>
      </c>
      <c r="Q284" s="42" t="n">
        <f aca="false">IF(ISNUMBER(MATCH(E284,Product_Master!$A$2:$A$9,0)),0,1)</f>
        <v>0</v>
      </c>
      <c r="R284" s="42" t="n">
        <f aca="false">IF(ISNUMBER(MATCH(D284,Customer_Master!$A$2:$A$49,0)),0,1)</f>
        <v>0</v>
      </c>
      <c r="S284" s="42" t="n">
        <f aca="false">IF(ISNUMBER(MATCH(B284,Calendar!$A$2:$A$25,0)),0,1)</f>
        <v>0</v>
      </c>
      <c r="T284" s="42" t="n">
        <f aca="false">IF(COUNTIF(Sales_Transactions!$A$2:$A$865,A284)&gt;1,1,0)</f>
        <v>0</v>
      </c>
      <c r="U284" s="42" t="n">
        <f aca="false">IF(OR(ABS(Sales_Transactions!F284*Sales_Transactions!G284-Sales_Transactions!I284)&gt;0.01,ABS(Sales_Transactions!F284*Sales_Transactions!H284-Sales_Transactions!J284)&gt;0.01,ABS(Sales_Transactions!I284-Sales_Transactions!J284-Sales_Transactions!K284)&gt;0.01),1,0)</f>
        <v>0</v>
      </c>
      <c r="V284" s="42" t="n">
        <f aca="false">IF(C284&lt;&gt;L284,1,0)</f>
        <v>0</v>
      </c>
      <c r="W284" s="42" t="n">
        <f aca="false">IF(SUM(Q284:V284)&gt;0,1,0)</f>
        <v>0</v>
      </c>
    </row>
    <row r="285" customFormat="false" ht="15" hidden="false" customHeight="false" outlineLevel="0" collapsed="false">
      <c r="A285" s="42" t="str">
        <f aca="false">Sales_Transactions!A285</f>
        <v>INV-08-032</v>
      </c>
      <c r="B285" s="42" t="str">
        <f aca="false">Sales_Transactions!B285</f>
        <v>2025-08</v>
      </c>
      <c r="C285" s="42" t="str">
        <f aca="false">Sales_Transactions!C285</f>
        <v>Actual</v>
      </c>
      <c r="D285" s="42" t="str">
        <f aca="false">Sales_Transactions!D285</f>
        <v>C047</v>
      </c>
      <c r="E285" s="42" t="str">
        <f aca="false">Sales_Transactions!E285</f>
        <v>P003</v>
      </c>
      <c r="F285" s="42" t="str">
        <f aca="false">IFERROR(INDEX(Customer_Master!$C$2:$C$49,MATCH(D285,Customer_Master!$A$2:$A$49,0)),"UNMATCHED")</f>
        <v>West</v>
      </c>
      <c r="G285" s="42" t="str">
        <f aca="false">IFERROR(INDEX(Customer_Master!$D$2:$D$49,MATCH(D285,Customer_Master!$A$2:$A$49,0)),"UNMATCHED")</f>
        <v>Modern Trade</v>
      </c>
      <c r="H285" s="42" t="str">
        <f aca="false">IFERROR(INDEX(Product_Master!$C$2:$C$9,MATCH(E285,Product_Master!$A$2:$A$9,0)),"UNMATCHED")</f>
        <v>Personal Care</v>
      </c>
      <c r="I285" s="42" t="str">
        <f aca="false">IFERROR(INDEX(Product_Master!$B$2:$B$9,MATCH(E285,Product_Master!$A$2:$A$9,0)),"UNMATCHED")</f>
        <v>Shampoo 400ml</v>
      </c>
      <c r="J285" s="42" t="n">
        <f aca="false">IFERROR(INDEX(Calendar!$B$2:$B$25,MATCH(B285,Calendar!$A$2:$A$25,0)),0)</f>
        <v>2025</v>
      </c>
      <c r="K285" s="42" t="n">
        <f aca="false">IFERROR(VALUE(RIGHT(B285,2)),0)</f>
        <v>8</v>
      </c>
      <c r="L285" s="42" t="str">
        <f aca="false">IFERROR(INDEX(Calendar!$E$2:$E$25,MATCH(B285,Calendar!$A$2:$A$25,0)),"UNMATCHED")</f>
        <v>Actual</v>
      </c>
      <c r="M285" s="42" t="n">
        <f aca="false">Sales_Transactions!F285</f>
        <v>348</v>
      </c>
      <c r="N285" s="52" t="n">
        <f aca="false">Sales_Transactions!I285</f>
        <v>97172.04</v>
      </c>
      <c r="O285" s="52" t="n">
        <f aca="false">Sales_Transactions!J285</f>
        <v>57134.64</v>
      </c>
      <c r="P285" s="52" t="n">
        <f aca="false">Sales_Transactions!K285</f>
        <v>40037.4</v>
      </c>
      <c r="Q285" s="42" t="n">
        <f aca="false">IF(ISNUMBER(MATCH(E285,Product_Master!$A$2:$A$9,0)),0,1)</f>
        <v>0</v>
      </c>
      <c r="R285" s="42" t="n">
        <f aca="false">IF(ISNUMBER(MATCH(D285,Customer_Master!$A$2:$A$49,0)),0,1)</f>
        <v>0</v>
      </c>
      <c r="S285" s="42" t="n">
        <f aca="false">IF(ISNUMBER(MATCH(B285,Calendar!$A$2:$A$25,0)),0,1)</f>
        <v>0</v>
      </c>
      <c r="T285" s="42" t="n">
        <f aca="false">IF(COUNTIF(Sales_Transactions!$A$2:$A$865,A285)&gt;1,1,0)</f>
        <v>0</v>
      </c>
      <c r="U285" s="42" t="n">
        <f aca="false">IF(OR(ABS(Sales_Transactions!F285*Sales_Transactions!G285-Sales_Transactions!I285)&gt;0.01,ABS(Sales_Transactions!F285*Sales_Transactions!H285-Sales_Transactions!J285)&gt;0.01,ABS(Sales_Transactions!I285-Sales_Transactions!J285-Sales_Transactions!K285)&gt;0.01),1,0)</f>
        <v>0</v>
      </c>
      <c r="V285" s="42" t="n">
        <f aca="false">IF(C285&lt;&gt;L285,1,0)</f>
        <v>0</v>
      </c>
      <c r="W285" s="42" t="n">
        <f aca="false">IF(SUM(Q285:V285)&gt;0,1,0)</f>
        <v>0</v>
      </c>
    </row>
    <row r="286" customFormat="false" ht="15" hidden="false" customHeight="false" outlineLevel="0" collapsed="false">
      <c r="A286" s="42" t="str">
        <f aca="false">Sales_Transactions!A286</f>
        <v>INV-08-033</v>
      </c>
      <c r="B286" s="42" t="str">
        <f aca="false">Sales_Transactions!B286</f>
        <v>2025-08</v>
      </c>
      <c r="C286" s="42" t="str">
        <f aca="false">Sales_Transactions!C286</f>
        <v>Actual</v>
      </c>
      <c r="D286" s="42" t="str">
        <f aca="false">Sales_Transactions!D286</f>
        <v>C006</v>
      </c>
      <c r="E286" s="42" t="str">
        <f aca="false">Sales_Transactions!E286</f>
        <v>P008</v>
      </c>
      <c r="F286" s="42" t="str">
        <f aca="false">IFERROR(INDEX(Customer_Master!$C$2:$C$49,MATCH(D286,Customer_Master!$A$2:$A$49,0)),"UNMATCHED")</f>
        <v>North</v>
      </c>
      <c r="G286" s="42" t="str">
        <f aca="false">IFERROR(INDEX(Customer_Master!$D$2:$D$49,MATCH(D286,Customer_Master!$A$2:$A$49,0)),"UNMATCHED")</f>
        <v>Retail</v>
      </c>
      <c r="H286" s="42" t="str">
        <f aca="false">IFERROR(INDEX(Product_Master!$C$2:$C$9,MATCH(E286,Product_Master!$A$2:$A$9,0)),"UNMATCHED")</f>
        <v>Personal Care</v>
      </c>
      <c r="I286" s="42" t="str">
        <f aca="false">IFERROR(INDEX(Product_Master!$B$2:$B$9,MATCH(E286,Product_Master!$A$2:$A$9,0)),"UNMATCHED")</f>
        <v>Body Lotion</v>
      </c>
      <c r="J286" s="42" t="n">
        <f aca="false">IFERROR(INDEX(Calendar!$B$2:$B$25,MATCH(B286,Calendar!$A$2:$A$25,0)),0)</f>
        <v>2025</v>
      </c>
      <c r="K286" s="42" t="n">
        <f aca="false">IFERROR(VALUE(RIGHT(B286,2)),0)</f>
        <v>8</v>
      </c>
      <c r="L286" s="42" t="str">
        <f aca="false">IFERROR(INDEX(Calendar!$E$2:$E$25,MATCH(B286,Calendar!$A$2:$A$25,0)),"UNMATCHED")</f>
        <v>Actual</v>
      </c>
      <c r="M286" s="42" t="n">
        <f aca="false">Sales_Transactions!F286</f>
        <v>362</v>
      </c>
      <c r="N286" s="52" t="n">
        <f aca="false">Sales_Transactions!I286</f>
        <v>111774.74</v>
      </c>
      <c r="O286" s="52" t="n">
        <f aca="false">Sales_Transactions!J286</f>
        <v>70673.26</v>
      </c>
      <c r="P286" s="52" t="n">
        <f aca="false">Sales_Transactions!K286</f>
        <v>41101.48</v>
      </c>
      <c r="Q286" s="42" t="n">
        <f aca="false">IF(ISNUMBER(MATCH(E286,Product_Master!$A$2:$A$9,0)),0,1)</f>
        <v>0</v>
      </c>
      <c r="R286" s="42" t="n">
        <f aca="false">IF(ISNUMBER(MATCH(D286,Customer_Master!$A$2:$A$49,0)),0,1)</f>
        <v>0</v>
      </c>
      <c r="S286" s="42" t="n">
        <f aca="false">IF(ISNUMBER(MATCH(B286,Calendar!$A$2:$A$25,0)),0,1)</f>
        <v>0</v>
      </c>
      <c r="T286" s="42" t="n">
        <f aca="false">IF(COUNTIF(Sales_Transactions!$A$2:$A$865,A286)&gt;1,1,0)</f>
        <v>0</v>
      </c>
      <c r="U286" s="42" t="n">
        <f aca="false">IF(OR(ABS(Sales_Transactions!F286*Sales_Transactions!G286-Sales_Transactions!I286)&gt;0.01,ABS(Sales_Transactions!F286*Sales_Transactions!H286-Sales_Transactions!J286)&gt;0.01,ABS(Sales_Transactions!I286-Sales_Transactions!J286-Sales_Transactions!K286)&gt;0.01),1,0)</f>
        <v>0</v>
      </c>
      <c r="V286" s="42" t="n">
        <f aca="false">IF(C286&lt;&gt;L286,1,0)</f>
        <v>0</v>
      </c>
      <c r="W286" s="42" t="n">
        <f aca="false">IF(SUM(Q286:V286)&gt;0,1,0)</f>
        <v>0</v>
      </c>
    </row>
    <row r="287" customFormat="false" ht="15" hidden="false" customHeight="false" outlineLevel="0" collapsed="false">
      <c r="A287" s="42" t="str">
        <f aca="false">Sales_Transactions!A287</f>
        <v>INV-08-034</v>
      </c>
      <c r="B287" s="42" t="str">
        <f aca="false">Sales_Transactions!B287</f>
        <v>2025-08</v>
      </c>
      <c r="C287" s="42" t="str">
        <f aca="false">Sales_Transactions!C287</f>
        <v>Actual</v>
      </c>
      <c r="D287" s="42" t="str">
        <f aca="false">Sales_Transactions!D287</f>
        <v>C013</v>
      </c>
      <c r="E287" s="42" t="str">
        <f aca="false">Sales_Transactions!E287</f>
        <v>P005</v>
      </c>
      <c r="F287" s="42" t="str">
        <f aca="false">IFERROR(INDEX(Customer_Master!$C$2:$C$49,MATCH(D287,Customer_Master!$A$2:$A$49,0)),"UNMATCHED")</f>
        <v>South</v>
      </c>
      <c r="G287" s="42" t="str">
        <f aca="false">IFERROR(INDEX(Customer_Master!$D$2:$D$49,MATCH(D287,Customer_Master!$A$2:$A$49,0)),"UNMATCHED")</f>
        <v>Distributor</v>
      </c>
      <c r="H287" s="42" t="str">
        <f aca="false">IFERROR(INDEX(Product_Master!$C$2:$C$9,MATCH(E287,Product_Master!$A$2:$A$9,0)),"UNMATCHED")</f>
        <v>Foods</v>
      </c>
      <c r="I287" s="42" t="str">
        <f aca="false">IFERROR(INDEX(Product_Master!$B$2:$B$9,MATCH(E287,Product_Master!$A$2:$A$9,0)),"UNMATCHED")</f>
        <v>Biscuits 500g</v>
      </c>
      <c r="J287" s="42" t="n">
        <f aca="false">IFERROR(INDEX(Calendar!$B$2:$B$25,MATCH(B287,Calendar!$A$2:$A$25,0)),0)</f>
        <v>2025</v>
      </c>
      <c r="K287" s="42" t="n">
        <f aca="false">IFERROR(VALUE(RIGHT(B287,2)),0)</f>
        <v>8</v>
      </c>
      <c r="L287" s="42" t="str">
        <f aca="false">IFERROR(INDEX(Calendar!$E$2:$E$25,MATCH(B287,Calendar!$A$2:$A$25,0)),"UNMATCHED")</f>
        <v>Actual</v>
      </c>
      <c r="M287" s="42" t="n">
        <f aca="false">Sales_Transactions!F287</f>
        <v>350</v>
      </c>
      <c r="N287" s="52" t="n">
        <f aca="false">Sales_Transactions!I287</f>
        <v>36074.5</v>
      </c>
      <c r="O287" s="52" t="n">
        <f aca="false">Sales_Transactions!J287</f>
        <v>24640</v>
      </c>
      <c r="P287" s="52" t="n">
        <f aca="false">Sales_Transactions!K287</f>
        <v>11434.5</v>
      </c>
      <c r="Q287" s="42" t="n">
        <f aca="false">IF(ISNUMBER(MATCH(E287,Product_Master!$A$2:$A$9,0)),0,1)</f>
        <v>0</v>
      </c>
      <c r="R287" s="42" t="n">
        <f aca="false">IF(ISNUMBER(MATCH(D287,Customer_Master!$A$2:$A$49,0)),0,1)</f>
        <v>0</v>
      </c>
      <c r="S287" s="42" t="n">
        <f aca="false">IF(ISNUMBER(MATCH(B287,Calendar!$A$2:$A$25,0)),0,1)</f>
        <v>0</v>
      </c>
      <c r="T287" s="42" t="n">
        <f aca="false">IF(COUNTIF(Sales_Transactions!$A$2:$A$865,A287)&gt;1,1,0)</f>
        <v>0</v>
      </c>
      <c r="U287" s="42" t="n">
        <f aca="false">IF(OR(ABS(Sales_Transactions!F287*Sales_Transactions!G287-Sales_Transactions!I287)&gt;0.01,ABS(Sales_Transactions!F287*Sales_Transactions!H287-Sales_Transactions!J287)&gt;0.01,ABS(Sales_Transactions!I287-Sales_Transactions!J287-Sales_Transactions!K287)&gt;0.01),1,0)</f>
        <v>0</v>
      </c>
      <c r="V287" s="42" t="n">
        <f aca="false">IF(C287&lt;&gt;L287,1,0)</f>
        <v>0</v>
      </c>
      <c r="W287" s="42" t="n">
        <f aca="false">IF(SUM(Q287:V287)&gt;0,1,0)</f>
        <v>0</v>
      </c>
    </row>
    <row r="288" customFormat="false" ht="15" hidden="false" customHeight="false" outlineLevel="0" collapsed="false">
      <c r="A288" s="42" t="str">
        <f aca="false">Sales_Transactions!A288</f>
        <v>INV-08-035</v>
      </c>
      <c r="B288" s="42" t="str">
        <f aca="false">Sales_Transactions!B288</f>
        <v>2025-08</v>
      </c>
      <c r="C288" s="42" t="str">
        <f aca="false">Sales_Transactions!C288</f>
        <v>Actual</v>
      </c>
      <c r="D288" s="42" t="str">
        <f aca="false">Sales_Transactions!D288</f>
        <v>C020</v>
      </c>
      <c r="E288" s="42" t="str">
        <f aca="false">Sales_Transactions!E288</f>
        <v>P002</v>
      </c>
      <c r="F288" s="42" t="str">
        <f aca="false">IFERROR(INDEX(Customer_Master!$C$2:$C$49,MATCH(D288,Customer_Master!$A$2:$A$49,0)),"UNMATCHED")</f>
        <v>East</v>
      </c>
      <c r="G288" s="42" t="str">
        <f aca="false">IFERROR(INDEX(Customer_Master!$D$2:$D$49,MATCH(D288,Customer_Master!$A$2:$A$49,0)),"UNMATCHED")</f>
        <v>Modern Trade</v>
      </c>
      <c r="H288" s="42" t="str">
        <f aca="false">IFERROR(INDEX(Product_Master!$C$2:$C$9,MATCH(E288,Product_Master!$A$2:$A$9,0)),"UNMATCHED")</f>
        <v>Home Care</v>
      </c>
      <c r="I288" s="42" t="str">
        <f aca="false">IFERROR(INDEX(Product_Master!$B$2:$B$9,MATCH(E288,Product_Master!$A$2:$A$9,0)),"UNMATCHED")</f>
        <v>Dishwash Gel</v>
      </c>
      <c r="J288" s="42" t="n">
        <f aca="false">IFERROR(INDEX(Calendar!$B$2:$B$25,MATCH(B288,Calendar!$A$2:$A$25,0)),0)</f>
        <v>2025</v>
      </c>
      <c r="K288" s="42" t="n">
        <f aca="false">IFERROR(VALUE(RIGHT(B288,2)),0)</f>
        <v>8</v>
      </c>
      <c r="L288" s="42" t="str">
        <f aca="false">IFERROR(INDEX(Calendar!$E$2:$E$25,MATCH(B288,Calendar!$A$2:$A$25,0)),"UNMATCHED")</f>
        <v>Actual</v>
      </c>
      <c r="M288" s="42" t="n">
        <f aca="false">Sales_Transactions!F288</f>
        <v>405</v>
      </c>
      <c r="N288" s="52" t="n">
        <f aca="false">Sales_Transactions!I288</f>
        <v>55638.9</v>
      </c>
      <c r="O288" s="52" t="n">
        <f aca="false">Sales_Transactions!J288</f>
        <v>32088.15</v>
      </c>
      <c r="P288" s="52" t="n">
        <f aca="false">Sales_Transactions!K288</f>
        <v>23550.75</v>
      </c>
      <c r="Q288" s="42" t="n">
        <f aca="false">IF(ISNUMBER(MATCH(E288,Product_Master!$A$2:$A$9,0)),0,1)</f>
        <v>0</v>
      </c>
      <c r="R288" s="42" t="n">
        <f aca="false">IF(ISNUMBER(MATCH(D288,Customer_Master!$A$2:$A$49,0)),0,1)</f>
        <v>0</v>
      </c>
      <c r="S288" s="42" t="n">
        <f aca="false">IF(ISNUMBER(MATCH(B288,Calendar!$A$2:$A$25,0)),0,1)</f>
        <v>0</v>
      </c>
      <c r="T288" s="42" t="n">
        <f aca="false">IF(COUNTIF(Sales_Transactions!$A$2:$A$865,A288)&gt;1,1,0)</f>
        <v>0</v>
      </c>
      <c r="U288" s="42" t="n">
        <f aca="false">IF(OR(ABS(Sales_Transactions!F288*Sales_Transactions!G288-Sales_Transactions!I288)&gt;0.01,ABS(Sales_Transactions!F288*Sales_Transactions!H288-Sales_Transactions!J288)&gt;0.01,ABS(Sales_Transactions!I288-Sales_Transactions!J288-Sales_Transactions!K288)&gt;0.01),1,0)</f>
        <v>0</v>
      </c>
      <c r="V288" s="42" t="n">
        <f aca="false">IF(C288&lt;&gt;L288,1,0)</f>
        <v>0</v>
      </c>
      <c r="W288" s="42" t="n">
        <f aca="false">IF(SUM(Q288:V288)&gt;0,1,0)</f>
        <v>0</v>
      </c>
    </row>
    <row r="289" customFormat="false" ht="15" hidden="false" customHeight="false" outlineLevel="0" collapsed="false">
      <c r="A289" s="42" t="str">
        <f aca="false">Sales_Transactions!A289</f>
        <v>INV-08-036</v>
      </c>
      <c r="B289" s="42" t="str">
        <f aca="false">Sales_Transactions!B289</f>
        <v>2025-08</v>
      </c>
      <c r="C289" s="42" t="str">
        <f aca="false">Sales_Transactions!C289</f>
        <v>Actual</v>
      </c>
      <c r="D289" s="42" t="str">
        <f aca="false">Sales_Transactions!D289</f>
        <v>C027</v>
      </c>
      <c r="E289" s="42" t="str">
        <f aca="false">Sales_Transactions!E289</f>
        <v>P007</v>
      </c>
      <c r="F289" s="42" t="str">
        <f aca="false">IFERROR(INDEX(Customer_Master!$C$2:$C$49,MATCH(D289,Customer_Master!$A$2:$A$49,0)),"UNMATCHED")</f>
        <v>West</v>
      </c>
      <c r="G289" s="42" t="str">
        <f aca="false">IFERROR(INDEX(Customer_Master!$D$2:$D$49,MATCH(D289,Customer_Master!$A$2:$A$49,0)),"UNMATCHED")</f>
        <v>Retail</v>
      </c>
      <c r="H289" s="42" t="str">
        <f aca="false">IFERROR(INDEX(Product_Master!$C$2:$C$9,MATCH(E289,Product_Master!$A$2:$A$9,0)),"UNMATCHED")</f>
        <v>Home Care</v>
      </c>
      <c r="I289" s="42" t="str">
        <f aca="false">IFERROR(INDEX(Product_Master!$B$2:$B$9,MATCH(E289,Product_Master!$A$2:$A$9,0)),"UNMATCHED")</f>
        <v>Floor Cleaner</v>
      </c>
      <c r="J289" s="42" t="n">
        <f aca="false">IFERROR(INDEX(Calendar!$B$2:$B$25,MATCH(B289,Calendar!$A$2:$A$25,0)),0)</f>
        <v>2025</v>
      </c>
      <c r="K289" s="42" t="n">
        <f aca="false">IFERROR(VALUE(RIGHT(B289,2)),0)</f>
        <v>8</v>
      </c>
      <c r="L289" s="42" t="str">
        <f aca="false">IFERROR(INDEX(Calendar!$E$2:$E$25,MATCH(B289,Calendar!$A$2:$A$25,0)),"UNMATCHED")</f>
        <v>Actual</v>
      </c>
      <c r="M289" s="42" t="n">
        <f aca="false">Sales_Transactions!F289</f>
        <v>221</v>
      </c>
      <c r="N289" s="52" t="n">
        <f aca="false">Sales_Transactions!I289</f>
        <v>40370.07</v>
      </c>
      <c r="O289" s="52" t="n">
        <f aca="false">Sales_Transactions!J289</f>
        <v>26517.79</v>
      </c>
      <c r="P289" s="52" t="n">
        <f aca="false">Sales_Transactions!K289</f>
        <v>13852.28</v>
      </c>
      <c r="Q289" s="42" t="n">
        <f aca="false">IF(ISNUMBER(MATCH(E289,Product_Master!$A$2:$A$9,0)),0,1)</f>
        <v>0</v>
      </c>
      <c r="R289" s="42" t="n">
        <f aca="false">IF(ISNUMBER(MATCH(D289,Customer_Master!$A$2:$A$49,0)),0,1)</f>
        <v>0</v>
      </c>
      <c r="S289" s="42" t="n">
        <f aca="false">IF(ISNUMBER(MATCH(B289,Calendar!$A$2:$A$25,0)),0,1)</f>
        <v>0</v>
      </c>
      <c r="T289" s="42" t="n">
        <f aca="false">IF(COUNTIF(Sales_Transactions!$A$2:$A$865,A289)&gt;1,1,0)</f>
        <v>0</v>
      </c>
      <c r="U289" s="42" t="n">
        <f aca="false">IF(OR(ABS(Sales_Transactions!F289*Sales_Transactions!G289-Sales_Transactions!I289)&gt;0.01,ABS(Sales_Transactions!F289*Sales_Transactions!H289-Sales_Transactions!J289)&gt;0.01,ABS(Sales_Transactions!I289-Sales_Transactions!J289-Sales_Transactions!K289)&gt;0.01),1,0)</f>
        <v>0</v>
      </c>
      <c r="V289" s="42" t="n">
        <f aca="false">IF(C289&lt;&gt;L289,1,0)</f>
        <v>0</v>
      </c>
      <c r="W289" s="42" t="n">
        <f aca="false">IF(SUM(Q289:V289)&gt;0,1,0)</f>
        <v>0</v>
      </c>
    </row>
    <row r="290" customFormat="false" ht="15" hidden="false" customHeight="false" outlineLevel="0" collapsed="false">
      <c r="A290" s="42" t="str">
        <f aca="false">Sales_Transactions!A290</f>
        <v>INV-09-001</v>
      </c>
      <c r="B290" s="42" t="str">
        <f aca="false">Sales_Transactions!B290</f>
        <v>2025-09</v>
      </c>
      <c r="C290" s="42" t="str">
        <f aca="false">Sales_Transactions!C290</f>
        <v>Actual</v>
      </c>
      <c r="D290" s="42" t="str">
        <f aca="false">Sales_Transactions!D290</f>
        <v>C025</v>
      </c>
      <c r="E290" s="42" t="str">
        <f aca="false">Sales_Transactions!E290</f>
        <v>P001</v>
      </c>
      <c r="F290" s="42" t="str">
        <f aca="false">IFERROR(INDEX(Customer_Master!$C$2:$C$49,MATCH(D290,Customer_Master!$A$2:$A$49,0)),"UNMATCHED")</f>
        <v>South</v>
      </c>
      <c r="G290" s="42" t="str">
        <f aca="false">IFERROR(INDEX(Customer_Master!$D$2:$D$49,MATCH(D290,Customer_Master!$A$2:$A$49,0)),"UNMATCHED")</f>
        <v>Distributor</v>
      </c>
      <c r="H290" s="42" t="str">
        <f aca="false">IFERROR(INDEX(Product_Master!$C$2:$C$9,MATCH(E290,Product_Master!$A$2:$A$9,0)),"UNMATCHED")</f>
        <v>Home Care</v>
      </c>
      <c r="I290" s="42" t="str">
        <f aca="false">IFERROR(INDEX(Product_Master!$B$2:$B$9,MATCH(E290,Product_Master!$A$2:$A$9,0)),"UNMATCHED")</f>
        <v>Detergent 1kg</v>
      </c>
      <c r="J290" s="42" t="n">
        <f aca="false">IFERROR(INDEX(Calendar!$B$2:$B$25,MATCH(B290,Calendar!$A$2:$A$25,0)),0)</f>
        <v>2025</v>
      </c>
      <c r="K290" s="42" t="n">
        <f aca="false">IFERROR(VALUE(RIGHT(B290,2)),0)</f>
        <v>9</v>
      </c>
      <c r="L290" s="42" t="str">
        <f aca="false">IFERROR(INDEX(Calendar!$E$2:$E$25,MATCH(B290,Calendar!$A$2:$A$25,0)),"UNMATCHED")</f>
        <v>Actual</v>
      </c>
      <c r="M290" s="42" t="n">
        <f aca="false">Sales_Transactions!F290</f>
        <v>309</v>
      </c>
      <c r="N290" s="52" t="n">
        <f aca="false">Sales_Transactions!I290</f>
        <v>65183.55</v>
      </c>
      <c r="O290" s="52" t="n">
        <f aca="false">Sales_Transactions!J290</f>
        <v>41529.6</v>
      </c>
      <c r="P290" s="52" t="n">
        <f aca="false">Sales_Transactions!K290</f>
        <v>23653.95</v>
      </c>
      <c r="Q290" s="42" t="n">
        <f aca="false">IF(ISNUMBER(MATCH(E290,Product_Master!$A$2:$A$9,0)),0,1)</f>
        <v>0</v>
      </c>
      <c r="R290" s="42" t="n">
        <f aca="false">IF(ISNUMBER(MATCH(D290,Customer_Master!$A$2:$A$49,0)),0,1)</f>
        <v>0</v>
      </c>
      <c r="S290" s="42" t="n">
        <f aca="false">IF(ISNUMBER(MATCH(B290,Calendar!$A$2:$A$25,0)),0,1)</f>
        <v>0</v>
      </c>
      <c r="T290" s="42" t="n">
        <f aca="false">IF(COUNTIF(Sales_Transactions!$A$2:$A$865,A290)&gt;1,1,0)</f>
        <v>0</v>
      </c>
      <c r="U290" s="42" t="n">
        <f aca="false">IF(OR(ABS(Sales_Transactions!F290*Sales_Transactions!G290-Sales_Transactions!I290)&gt;0.01,ABS(Sales_Transactions!F290*Sales_Transactions!H290-Sales_Transactions!J290)&gt;0.01,ABS(Sales_Transactions!I290-Sales_Transactions!J290-Sales_Transactions!K290)&gt;0.01),1,0)</f>
        <v>0</v>
      </c>
      <c r="V290" s="42" t="n">
        <f aca="false">IF(C290&lt;&gt;L290,1,0)</f>
        <v>0</v>
      </c>
      <c r="W290" s="42" t="n">
        <f aca="false">IF(SUM(Q290:V290)&gt;0,1,0)</f>
        <v>0</v>
      </c>
    </row>
    <row r="291" customFormat="false" ht="15" hidden="false" customHeight="false" outlineLevel="0" collapsed="false">
      <c r="A291" s="42" t="str">
        <f aca="false">Sales_Transactions!A291</f>
        <v>INV-09-002</v>
      </c>
      <c r="B291" s="42" t="str">
        <f aca="false">Sales_Transactions!B291</f>
        <v>2025-09</v>
      </c>
      <c r="C291" s="42" t="str">
        <f aca="false">Sales_Transactions!C291</f>
        <v>Actual</v>
      </c>
      <c r="D291" s="42" t="str">
        <f aca="false">Sales_Transactions!D291</f>
        <v>C032</v>
      </c>
      <c r="E291" s="42" t="str">
        <f aca="false">Sales_Transactions!E291</f>
        <v>P006</v>
      </c>
      <c r="F291" s="42" t="str">
        <f aca="false">IFERROR(INDEX(Customer_Master!$C$2:$C$49,MATCH(D291,Customer_Master!$A$2:$A$49,0)),"UNMATCHED")</f>
        <v>East</v>
      </c>
      <c r="G291" s="42" t="str">
        <f aca="false">IFERROR(INDEX(Customer_Master!$D$2:$D$49,MATCH(D291,Customer_Master!$A$2:$A$49,0)),"UNMATCHED")</f>
        <v>Modern Trade</v>
      </c>
      <c r="H291" s="42" t="str">
        <f aca="false">IFERROR(INDEX(Product_Master!$C$2:$C$9,MATCH(E291,Product_Master!$A$2:$A$9,0)),"UNMATCHED")</f>
        <v>Foods</v>
      </c>
      <c r="I291" s="42" t="str">
        <f aca="false">IFERROR(INDEX(Product_Master!$B$2:$B$9,MATCH(E291,Product_Master!$A$2:$A$9,0)),"UNMATCHED")</f>
        <v>Breakfast Cereal</v>
      </c>
      <c r="J291" s="42" t="n">
        <f aca="false">IFERROR(INDEX(Calendar!$B$2:$B$25,MATCH(B291,Calendar!$A$2:$A$25,0)),0)</f>
        <v>2025</v>
      </c>
      <c r="K291" s="42" t="n">
        <f aca="false">IFERROR(VALUE(RIGHT(B291,2)),0)</f>
        <v>9</v>
      </c>
      <c r="L291" s="42" t="str">
        <f aca="false">IFERROR(INDEX(Calendar!$E$2:$E$25,MATCH(B291,Calendar!$A$2:$A$25,0)),"UNMATCHED")</f>
        <v>Actual</v>
      </c>
      <c r="M291" s="42" t="n">
        <f aca="false">Sales_Transactions!F291</f>
        <v>99</v>
      </c>
      <c r="N291" s="52" t="n">
        <f aca="false">Sales_Transactions!I291</f>
        <v>25661.79</v>
      </c>
      <c r="O291" s="52" t="n">
        <f aca="false">Sales_Transactions!J291</f>
        <v>15954.84</v>
      </c>
      <c r="P291" s="52" t="n">
        <f aca="false">Sales_Transactions!K291</f>
        <v>9706.95</v>
      </c>
      <c r="Q291" s="42" t="n">
        <f aca="false">IF(ISNUMBER(MATCH(E291,Product_Master!$A$2:$A$9,0)),0,1)</f>
        <v>0</v>
      </c>
      <c r="R291" s="42" t="n">
        <f aca="false">IF(ISNUMBER(MATCH(D291,Customer_Master!$A$2:$A$49,0)),0,1)</f>
        <v>0</v>
      </c>
      <c r="S291" s="42" t="n">
        <f aca="false">IF(ISNUMBER(MATCH(B291,Calendar!$A$2:$A$25,0)),0,1)</f>
        <v>0</v>
      </c>
      <c r="T291" s="42" t="n">
        <f aca="false">IF(COUNTIF(Sales_Transactions!$A$2:$A$865,A291)&gt;1,1,0)</f>
        <v>0</v>
      </c>
      <c r="U291" s="42" t="n">
        <f aca="false">IF(OR(ABS(Sales_Transactions!F291*Sales_Transactions!G291-Sales_Transactions!I291)&gt;0.01,ABS(Sales_Transactions!F291*Sales_Transactions!H291-Sales_Transactions!J291)&gt;0.01,ABS(Sales_Transactions!I291-Sales_Transactions!J291-Sales_Transactions!K291)&gt;0.01),1,0)</f>
        <v>0</v>
      </c>
      <c r="V291" s="42" t="n">
        <f aca="false">IF(C291&lt;&gt;L291,1,0)</f>
        <v>0</v>
      </c>
      <c r="W291" s="42" t="n">
        <f aca="false">IF(SUM(Q291:V291)&gt;0,1,0)</f>
        <v>0</v>
      </c>
    </row>
    <row r="292" customFormat="false" ht="15" hidden="false" customHeight="false" outlineLevel="0" collapsed="false">
      <c r="A292" s="42" t="str">
        <f aca="false">Sales_Transactions!A292</f>
        <v>INV-09-003</v>
      </c>
      <c r="B292" s="42" t="str">
        <f aca="false">Sales_Transactions!B292</f>
        <v>2025-09</v>
      </c>
      <c r="C292" s="42" t="str">
        <f aca="false">Sales_Transactions!C292</f>
        <v>Actual</v>
      </c>
      <c r="D292" s="42" t="str">
        <f aca="false">Sales_Transactions!D292</f>
        <v>C039</v>
      </c>
      <c r="E292" s="42" t="str">
        <f aca="false">Sales_Transactions!E292</f>
        <v>P003</v>
      </c>
      <c r="F292" s="42" t="str">
        <f aca="false">IFERROR(INDEX(Customer_Master!$C$2:$C$49,MATCH(D292,Customer_Master!$A$2:$A$49,0)),"UNMATCHED")</f>
        <v>West</v>
      </c>
      <c r="G292" s="42" t="str">
        <f aca="false">IFERROR(INDEX(Customer_Master!$D$2:$D$49,MATCH(D292,Customer_Master!$A$2:$A$49,0)),"UNMATCHED")</f>
        <v>Retail</v>
      </c>
      <c r="H292" s="42" t="str">
        <f aca="false">IFERROR(INDEX(Product_Master!$C$2:$C$9,MATCH(E292,Product_Master!$A$2:$A$9,0)),"UNMATCHED")</f>
        <v>Personal Care</v>
      </c>
      <c r="I292" s="42" t="str">
        <f aca="false">IFERROR(INDEX(Product_Master!$B$2:$B$9,MATCH(E292,Product_Master!$A$2:$A$9,0)),"UNMATCHED")</f>
        <v>Shampoo 400ml</v>
      </c>
      <c r="J292" s="42" t="n">
        <f aca="false">IFERROR(INDEX(Calendar!$B$2:$B$25,MATCH(B292,Calendar!$A$2:$A$25,0)),0)</f>
        <v>2025</v>
      </c>
      <c r="K292" s="42" t="n">
        <f aca="false">IFERROR(VALUE(RIGHT(B292,2)),0)</f>
        <v>9</v>
      </c>
      <c r="L292" s="42" t="str">
        <f aca="false">IFERROR(INDEX(Calendar!$E$2:$E$25,MATCH(B292,Calendar!$A$2:$A$25,0)),"UNMATCHED")</f>
        <v>Actual</v>
      </c>
      <c r="M292" s="42" t="n">
        <f aca="false">Sales_Transactions!F292</f>
        <v>207</v>
      </c>
      <c r="N292" s="52" t="n">
        <f aca="false">Sales_Transactions!I292</f>
        <v>56933.28</v>
      </c>
      <c r="O292" s="52" t="n">
        <f aca="false">Sales_Transactions!J292</f>
        <v>35301.78</v>
      </c>
      <c r="P292" s="52" t="n">
        <f aca="false">Sales_Transactions!K292</f>
        <v>21631.5</v>
      </c>
      <c r="Q292" s="42" t="n">
        <f aca="false">IF(ISNUMBER(MATCH(E292,Product_Master!$A$2:$A$9,0)),0,1)</f>
        <v>0</v>
      </c>
      <c r="R292" s="42" t="n">
        <f aca="false">IF(ISNUMBER(MATCH(D292,Customer_Master!$A$2:$A$49,0)),0,1)</f>
        <v>0</v>
      </c>
      <c r="S292" s="42" t="n">
        <f aca="false">IF(ISNUMBER(MATCH(B292,Calendar!$A$2:$A$25,0)),0,1)</f>
        <v>0</v>
      </c>
      <c r="T292" s="42" t="n">
        <f aca="false">IF(COUNTIF(Sales_Transactions!$A$2:$A$865,A292)&gt;1,1,0)</f>
        <v>0</v>
      </c>
      <c r="U292" s="42" t="n">
        <f aca="false">IF(OR(ABS(Sales_Transactions!F292*Sales_Transactions!G292-Sales_Transactions!I292)&gt;0.01,ABS(Sales_Transactions!F292*Sales_Transactions!H292-Sales_Transactions!J292)&gt;0.01,ABS(Sales_Transactions!I292-Sales_Transactions!J292-Sales_Transactions!K292)&gt;0.01),1,0)</f>
        <v>0</v>
      </c>
      <c r="V292" s="42" t="n">
        <f aca="false">IF(C292&lt;&gt;L292,1,0)</f>
        <v>0</v>
      </c>
      <c r="W292" s="42" t="n">
        <f aca="false">IF(SUM(Q292:V292)&gt;0,1,0)</f>
        <v>0</v>
      </c>
    </row>
    <row r="293" customFormat="false" ht="15" hidden="false" customHeight="false" outlineLevel="0" collapsed="false">
      <c r="A293" s="42" t="str">
        <f aca="false">Sales_Transactions!A293</f>
        <v>INV-09-004</v>
      </c>
      <c r="B293" s="42" t="str">
        <f aca="false">Sales_Transactions!B293</f>
        <v>2025-09</v>
      </c>
      <c r="C293" s="42" t="str">
        <f aca="false">Sales_Transactions!C293</f>
        <v>Actual</v>
      </c>
      <c r="D293" s="42" t="str">
        <f aca="false">Sales_Transactions!D293</f>
        <v>C046</v>
      </c>
      <c r="E293" s="42" t="str">
        <f aca="false">Sales_Transactions!E293</f>
        <v>P008</v>
      </c>
      <c r="F293" s="42" t="str">
        <f aca="false">IFERROR(INDEX(Customer_Master!$C$2:$C$49,MATCH(D293,Customer_Master!$A$2:$A$49,0)),"UNMATCHED")</f>
        <v>North</v>
      </c>
      <c r="G293" s="42" t="str">
        <f aca="false">IFERROR(INDEX(Customer_Master!$D$2:$D$49,MATCH(D293,Customer_Master!$A$2:$A$49,0)),"UNMATCHED")</f>
        <v>Distributor</v>
      </c>
      <c r="H293" s="42" t="str">
        <f aca="false">IFERROR(INDEX(Product_Master!$C$2:$C$9,MATCH(E293,Product_Master!$A$2:$A$9,0)),"UNMATCHED")</f>
        <v>Personal Care</v>
      </c>
      <c r="I293" s="42" t="str">
        <f aca="false">IFERROR(INDEX(Product_Master!$B$2:$B$9,MATCH(E293,Product_Master!$A$2:$A$9,0)),"UNMATCHED")</f>
        <v>Body Lotion</v>
      </c>
      <c r="J293" s="42" t="n">
        <f aca="false">IFERROR(INDEX(Calendar!$B$2:$B$25,MATCH(B293,Calendar!$A$2:$A$25,0)),0)</f>
        <v>2025</v>
      </c>
      <c r="K293" s="42" t="n">
        <f aca="false">IFERROR(VALUE(RIGHT(B293,2)),0)</f>
        <v>9</v>
      </c>
      <c r="L293" s="42" t="str">
        <f aca="false">IFERROR(INDEX(Calendar!$E$2:$E$25,MATCH(B293,Calendar!$A$2:$A$25,0)),"UNMATCHED")</f>
        <v>Actual</v>
      </c>
      <c r="M293" s="42" t="n">
        <f aca="false">Sales_Transactions!F293</f>
        <v>92</v>
      </c>
      <c r="N293" s="52" t="n">
        <f aca="false">Sales_Transactions!I293</f>
        <v>28757.36</v>
      </c>
      <c r="O293" s="52" t="n">
        <f aca="false">Sales_Transactions!J293</f>
        <v>18048.56</v>
      </c>
      <c r="P293" s="52" t="n">
        <f aca="false">Sales_Transactions!K293</f>
        <v>10708.8</v>
      </c>
      <c r="Q293" s="42" t="n">
        <f aca="false">IF(ISNUMBER(MATCH(E293,Product_Master!$A$2:$A$9,0)),0,1)</f>
        <v>0</v>
      </c>
      <c r="R293" s="42" t="n">
        <f aca="false">IF(ISNUMBER(MATCH(D293,Customer_Master!$A$2:$A$49,0)),0,1)</f>
        <v>0</v>
      </c>
      <c r="S293" s="42" t="n">
        <f aca="false">IF(ISNUMBER(MATCH(B293,Calendar!$A$2:$A$25,0)),0,1)</f>
        <v>0</v>
      </c>
      <c r="T293" s="42" t="n">
        <f aca="false">IF(COUNTIF(Sales_Transactions!$A$2:$A$865,A293)&gt;1,1,0)</f>
        <v>0</v>
      </c>
      <c r="U293" s="42" t="n">
        <f aca="false">IF(OR(ABS(Sales_Transactions!F293*Sales_Transactions!G293-Sales_Transactions!I293)&gt;0.01,ABS(Sales_Transactions!F293*Sales_Transactions!H293-Sales_Transactions!J293)&gt;0.01,ABS(Sales_Transactions!I293-Sales_Transactions!J293-Sales_Transactions!K293)&gt;0.01),1,0)</f>
        <v>0</v>
      </c>
      <c r="V293" s="42" t="n">
        <f aca="false">IF(C293&lt;&gt;L293,1,0)</f>
        <v>0</v>
      </c>
      <c r="W293" s="42" t="n">
        <f aca="false">IF(SUM(Q293:V293)&gt;0,1,0)</f>
        <v>0</v>
      </c>
    </row>
    <row r="294" customFormat="false" ht="15" hidden="false" customHeight="false" outlineLevel="0" collapsed="false">
      <c r="A294" s="42" t="str">
        <f aca="false">Sales_Transactions!A294</f>
        <v>INV-09-005</v>
      </c>
      <c r="B294" s="42" t="str">
        <f aca="false">Sales_Transactions!B294</f>
        <v>2025-09</v>
      </c>
      <c r="C294" s="42" t="str">
        <f aca="false">Sales_Transactions!C294</f>
        <v>Actual</v>
      </c>
      <c r="D294" s="42" t="str">
        <f aca="false">Sales_Transactions!D294</f>
        <v>C005</v>
      </c>
      <c r="E294" s="42" t="str">
        <f aca="false">Sales_Transactions!E294</f>
        <v>P005</v>
      </c>
      <c r="F294" s="42" t="str">
        <f aca="false">IFERROR(INDEX(Customer_Master!$C$2:$C$49,MATCH(D294,Customer_Master!$A$2:$A$49,0)),"UNMATCHED")</f>
        <v>South</v>
      </c>
      <c r="G294" s="42" t="str">
        <f aca="false">IFERROR(INDEX(Customer_Master!$D$2:$D$49,MATCH(D294,Customer_Master!$A$2:$A$49,0)),"UNMATCHED")</f>
        <v>Modern Trade</v>
      </c>
      <c r="H294" s="42" t="str">
        <f aca="false">IFERROR(INDEX(Product_Master!$C$2:$C$9,MATCH(E294,Product_Master!$A$2:$A$9,0)),"UNMATCHED")</f>
        <v>Foods</v>
      </c>
      <c r="I294" s="42" t="str">
        <f aca="false">IFERROR(INDEX(Product_Master!$B$2:$B$9,MATCH(E294,Product_Master!$A$2:$A$9,0)),"UNMATCHED")</f>
        <v>Biscuits 500g</v>
      </c>
      <c r="J294" s="42" t="n">
        <f aca="false">IFERROR(INDEX(Calendar!$B$2:$B$25,MATCH(B294,Calendar!$A$2:$A$25,0)),0)</f>
        <v>2025</v>
      </c>
      <c r="K294" s="42" t="n">
        <f aca="false">IFERROR(VALUE(RIGHT(B294,2)),0)</f>
        <v>9</v>
      </c>
      <c r="L294" s="42" t="str">
        <f aca="false">IFERROR(INDEX(Calendar!$E$2:$E$25,MATCH(B294,Calendar!$A$2:$A$25,0)),"UNMATCHED")</f>
        <v>Actual</v>
      </c>
      <c r="M294" s="42" t="n">
        <f aca="false">Sales_Transactions!F294</f>
        <v>143</v>
      </c>
      <c r="N294" s="52" t="n">
        <f aca="false">Sales_Transactions!I294</f>
        <v>14943.5</v>
      </c>
      <c r="O294" s="52" t="n">
        <f aca="false">Sales_Transactions!J294</f>
        <v>9332.18</v>
      </c>
      <c r="P294" s="52" t="n">
        <f aca="false">Sales_Transactions!K294</f>
        <v>5611.32</v>
      </c>
      <c r="Q294" s="42" t="n">
        <f aca="false">IF(ISNUMBER(MATCH(E294,Product_Master!$A$2:$A$9,0)),0,1)</f>
        <v>0</v>
      </c>
      <c r="R294" s="42" t="n">
        <f aca="false">IF(ISNUMBER(MATCH(D294,Customer_Master!$A$2:$A$49,0)),0,1)</f>
        <v>0</v>
      </c>
      <c r="S294" s="42" t="n">
        <f aca="false">IF(ISNUMBER(MATCH(B294,Calendar!$A$2:$A$25,0)),0,1)</f>
        <v>0</v>
      </c>
      <c r="T294" s="42" t="n">
        <f aca="false">IF(COUNTIF(Sales_Transactions!$A$2:$A$865,A294)&gt;1,1,0)</f>
        <v>0</v>
      </c>
      <c r="U294" s="42" t="n">
        <f aca="false">IF(OR(ABS(Sales_Transactions!F294*Sales_Transactions!G294-Sales_Transactions!I294)&gt;0.01,ABS(Sales_Transactions!F294*Sales_Transactions!H294-Sales_Transactions!J294)&gt;0.01,ABS(Sales_Transactions!I294-Sales_Transactions!J294-Sales_Transactions!K294)&gt;0.01),1,0)</f>
        <v>0</v>
      </c>
      <c r="V294" s="42" t="n">
        <f aca="false">IF(C294&lt;&gt;L294,1,0)</f>
        <v>0</v>
      </c>
      <c r="W294" s="42" t="n">
        <f aca="false">IF(SUM(Q294:V294)&gt;0,1,0)</f>
        <v>0</v>
      </c>
    </row>
    <row r="295" customFormat="false" ht="15" hidden="false" customHeight="false" outlineLevel="0" collapsed="false">
      <c r="A295" s="42" t="str">
        <f aca="false">Sales_Transactions!A295</f>
        <v>INV-09-006</v>
      </c>
      <c r="B295" s="42" t="str">
        <f aca="false">Sales_Transactions!B295</f>
        <v>2025-09</v>
      </c>
      <c r="C295" s="42" t="str">
        <f aca="false">Sales_Transactions!C295</f>
        <v>Actual</v>
      </c>
      <c r="D295" s="42" t="str">
        <f aca="false">Sales_Transactions!D295</f>
        <v>C012</v>
      </c>
      <c r="E295" s="42" t="str">
        <f aca="false">Sales_Transactions!E295</f>
        <v>P002</v>
      </c>
      <c r="F295" s="42" t="str">
        <f aca="false">IFERROR(INDEX(Customer_Master!$C$2:$C$49,MATCH(D295,Customer_Master!$A$2:$A$49,0)),"UNMATCHED")</f>
        <v>East</v>
      </c>
      <c r="G295" s="42" t="str">
        <f aca="false">IFERROR(INDEX(Customer_Master!$D$2:$D$49,MATCH(D295,Customer_Master!$A$2:$A$49,0)),"UNMATCHED")</f>
        <v>Retail</v>
      </c>
      <c r="H295" s="42" t="str">
        <f aca="false">IFERROR(INDEX(Product_Master!$C$2:$C$9,MATCH(E295,Product_Master!$A$2:$A$9,0)),"UNMATCHED")</f>
        <v>Home Care</v>
      </c>
      <c r="I295" s="42" t="str">
        <f aca="false">IFERROR(INDEX(Product_Master!$B$2:$B$9,MATCH(E295,Product_Master!$A$2:$A$9,0)),"UNMATCHED")</f>
        <v>Dishwash Gel</v>
      </c>
      <c r="J295" s="42" t="n">
        <f aca="false">IFERROR(INDEX(Calendar!$B$2:$B$25,MATCH(B295,Calendar!$A$2:$A$25,0)),0)</f>
        <v>2025</v>
      </c>
      <c r="K295" s="42" t="n">
        <f aca="false">IFERROR(VALUE(RIGHT(B295,2)),0)</f>
        <v>9</v>
      </c>
      <c r="L295" s="42" t="str">
        <f aca="false">IFERROR(INDEX(Calendar!$E$2:$E$25,MATCH(B295,Calendar!$A$2:$A$25,0)),"UNMATCHED")</f>
        <v>Actual</v>
      </c>
      <c r="M295" s="42" t="n">
        <f aca="false">Sales_Transactions!F295</f>
        <v>163</v>
      </c>
      <c r="N295" s="52" t="n">
        <f aca="false">Sales_Transactions!I295</f>
        <v>22565.72</v>
      </c>
      <c r="O295" s="52" t="n">
        <f aca="false">Sales_Transactions!J295</f>
        <v>13980.51</v>
      </c>
      <c r="P295" s="52" t="n">
        <f aca="false">Sales_Transactions!K295</f>
        <v>8585.21</v>
      </c>
      <c r="Q295" s="42" t="n">
        <f aca="false">IF(ISNUMBER(MATCH(E295,Product_Master!$A$2:$A$9,0)),0,1)</f>
        <v>0</v>
      </c>
      <c r="R295" s="42" t="n">
        <f aca="false">IF(ISNUMBER(MATCH(D295,Customer_Master!$A$2:$A$49,0)),0,1)</f>
        <v>0</v>
      </c>
      <c r="S295" s="42" t="n">
        <f aca="false">IF(ISNUMBER(MATCH(B295,Calendar!$A$2:$A$25,0)),0,1)</f>
        <v>0</v>
      </c>
      <c r="T295" s="42" t="n">
        <f aca="false">IF(COUNTIF(Sales_Transactions!$A$2:$A$865,A295)&gt;1,1,0)</f>
        <v>0</v>
      </c>
      <c r="U295" s="42" t="n">
        <f aca="false">IF(OR(ABS(Sales_Transactions!F295*Sales_Transactions!G295-Sales_Transactions!I295)&gt;0.01,ABS(Sales_Transactions!F295*Sales_Transactions!H295-Sales_Transactions!J295)&gt;0.01,ABS(Sales_Transactions!I295-Sales_Transactions!J295-Sales_Transactions!K295)&gt;0.01),1,0)</f>
        <v>0</v>
      </c>
      <c r="V295" s="42" t="n">
        <f aca="false">IF(C295&lt;&gt;L295,1,0)</f>
        <v>0</v>
      </c>
      <c r="W295" s="42" t="n">
        <f aca="false">IF(SUM(Q295:V295)&gt;0,1,0)</f>
        <v>0</v>
      </c>
    </row>
    <row r="296" customFormat="false" ht="15" hidden="false" customHeight="false" outlineLevel="0" collapsed="false">
      <c r="A296" s="42" t="str">
        <f aca="false">Sales_Transactions!A296</f>
        <v>INV-09-007</v>
      </c>
      <c r="B296" s="42" t="str">
        <f aca="false">Sales_Transactions!B296</f>
        <v>2025-09</v>
      </c>
      <c r="C296" s="42" t="str">
        <f aca="false">Sales_Transactions!C296</f>
        <v>Actual</v>
      </c>
      <c r="D296" s="42" t="str">
        <f aca="false">Sales_Transactions!D296</f>
        <v>C019</v>
      </c>
      <c r="E296" s="42" t="str">
        <f aca="false">Sales_Transactions!E296</f>
        <v>P007</v>
      </c>
      <c r="F296" s="42" t="str">
        <f aca="false">IFERROR(INDEX(Customer_Master!$C$2:$C$49,MATCH(D296,Customer_Master!$A$2:$A$49,0)),"UNMATCHED")</f>
        <v>West</v>
      </c>
      <c r="G296" s="42" t="str">
        <f aca="false">IFERROR(INDEX(Customer_Master!$D$2:$D$49,MATCH(D296,Customer_Master!$A$2:$A$49,0)),"UNMATCHED")</f>
        <v>Distributor</v>
      </c>
      <c r="H296" s="42" t="str">
        <f aca="false">IFERROR(INDEX(Product_Master!$C$2:$C$9,MATCH(E296,Product_Master!$A$2:$A$9,0)),"UNMATCHED")</f>
        <v>Home Care</v>
      </c>
      <c r="I296" s="42" t="str">
        <f aca="false">IFERROR(INDEX(Product_Master!$B$2:$B$9,MATCH(E296,Product_Master!$A$2:$A$9,0)),"UNMATCHED")</f>
        <v>Floor Cleaner</v>
      </c>
      <c r="J296" s="42" t="n">
        <f aca="false">IFERROR(INDEX(Calendar!$B$2:$B$25,MATCH(B296,Calendar!$A$2:$A$25,0)),0)</f>
        <v>2025</v>
      </c>
      <c r="K296" s="42" t="n">
        <f aca="false">IFERROR(VALUE(RIGHT(B296,2)),0)</f>
        <v>9</v>
      </c>
      <c r="L296" s="42" t="str">
        <f aca="false">IFERROR(INDEX(Calendar!$E$2:$E$25,MATCH(B296,Calendar!$A$2:$A$25,0)),"UNMATCHED")</f>
        <v>Actual</v>
      </c>
      <c r="M296" s="42" t="n">
        <f aca="false">Sales_Transactions!F296</f>
        <v>345</v>
      </c>
      <c r="N296" s="52" t="n">
        <f aca="false">Sales_Transactions!I296</f>
        <v>64349.4</v>
      </c>
      <c r="O296" s="52" t="n">
        <f aca="false">Sales_Transactions!J296</f>
        <v>39019.5</v>
      </c>
      <c r="P296" s="52" t="n">
        <f aca="false">Sales_Transactions!K296</f>
        <v>25329.9</v>
      </c>
      <c r="Q296" s="42" t="n">
        <f aca="false">IF(ISNUMBER(MATCH(E296,Product_Master!$A$2:$A$9,0)),0,1)</f>
        <v>0</v>
      </c>
      <c r="R296" s="42" t="n">
        <f aca="false">IF(ISNUMBER(MATCH(D296,Customer_Master!$A$2:$A$49,0)),0,1)</f>
        <v>0</v>
      </c>
      <c r="S296" s="42" t="n">
        <f aca="false">IF(ISNUMBER(MATCH(B296,Calendar!$A$2:$A$25,0)),0,1)</f>
        <v>0</v>
      </c>
      <c r="T296" s="42" t="n">
        <f aca="false">IF(COUNTIF(Sales_Transactions!$A$2:$A$865,A296)&gt;1,1,0)</f>
        <v>0</v>
      </c>
      <c r="U296" s="42" t="n">
        <f aca="false">IF(OR(ABS(Sales_Transactions!F296*Sales_Transactions!G296-Sales_Transactions!I296)&gt;0.01,ABS(Sales_Transactions!F296*Sales_Transactions!H296-Sales_Transactions!J296)&gt;0.01,ABS(Sales_Transactions!I296-Sales_Transactions!J296-Sales_Transactions!K296)&gt;0.01),1,0)</f>
        <v>0</v>
      </c>
      <c r="V296" s="42" t="n">
        <f aca="false">IF(C296&lt;&gt;L296,1,0)</f>
        <v>0</v>
      </c>
      <c r="W296" s="42" t="n">
        <f aca="false">IF(SUM(Q296:V296)&gt;0,1,0)</f>
        <v>0</v>
      </c>
    </row>
    <row r="297" customFormat="false" ht="15" hidden="false" customHeight="false" outlineLevel="0" collapsed="false">
      <c r="A297" s="42" t="str">
        <f aca="false">Sales_Transactions!A297</f>
        <v>INV-09-008</v>
      </c>
      <c r="B297" s="42" t="str">
        <f aca="false">Sales_Transactions!B297</f>
        <v>2025-09</v>
      </c>
      <c r="C297" s="42" t="str">
        <f aca="false">Sales_Transactions!C297</f>
        <v>Actual</v>
      </c>
      <c r="D297" s="42" t="str">
        <f aca="false">Sales_Transactions!D297</f>
        <v>C026</v>
      </c>
      <c r="E297" s="42" t="str">
        <f aca="false">Sales_Transactions!E297</f>
        <v>P004</v>
      </c>
      <c r="F297" s="42" t="str">
        <f aca="false">IFERROR(INDEX(Customer_Master!$C$2:$C$49,MATCH(D297,Customer_Master!$A$2:$A$49,0)),"UNMATCHED")</f>
        <v>North</v>
      </c>
      <c r="G297" s="42" t="str">
        <f aca="false">IFERROR(INDEX(Customer_Master!$D$2:$D$49,MATCH(D297,Customer_Master!$A$2:$A$49,0)),"UNMATCHED")</f>
        <v>Modern Trade</v>
      </c>
      <c r="H297" s="42" t="str">
        <f aca="false">IFERROR(INDEX(Product_Master!$C$2:$C$9,MATCH(E297,Product_Master!$A$2:$A$9,0)),"UNMATCHED")</f>
        <v>Personal Care</v>
      </c>
      <c r="I297" s="42" t="str">
        <f aca="false">IFERROR(INDEX(Product_Master!$B$2:$B$9,MATCH(E297,Product_Master!$A$2:$A$9,0)),"UNMATCHED")</f>
        <v>Soap 4-pack</v>
      </c>
      <c r="J297" s="42" t="n">
        <f aca="false">IFERROR(INDEX(Calendar!$B$2:$B$25,MATCH(B297,Calendar!$A$2:$A$25,0)),0)</f>
        <v>2025</v>
      </c>
      <c r="K297" s="42" t="n">
        <f aca="false">IFERROR(VALUE(RIGHT(B297,2)),0)</f>
        <v>9</v>
      </c>
      <c r="L297" s="42" t="str">
        <f aca="false">IFERROR(INDEX(Calendar!$E$2:$E$25,MATCH(B297,Calendar!$A$2:$A$25,0)),"UNMATCHED")</f>
        <v>Actual</v>
      </c>
      <c r="M297" s="42" t="n">
        <f aca="false">Sales_Transactions!F297</f>
        <v>332</v>
      </c>
      <c r="N297" s="52" t="n">
        <f aca="false">Sales_Transactions!I297</f>
        <v>59112.6</v>
      </c>
      <c r="O297" s="52" t="n">
        <f aca="false">Sales_Transactions!J297</f>
        <v>31530.04</v>
      </c>
      <c r="P297" s="52" t="n">
        <f aca="false">Sales_Transactions!K297</f>
        <v>27582.56</v>
      </c>
      <c r="Q297" s="42" t="n">
        <f aca="false">IF(ISNUMBER(MATCH(E297,Product_Master!$A$2:$A$9,0)),0,1)</f>
        <v>0</v>
      </c>
      <c r="R297" s="42" t="n">
        <f aca="false">IF(ISNUMBER(MATCH(D297,Customer_Master!$A$2:$A$49,0)),0,1)</f>
        <v>0</v>
      </c>
      <c r="S297" s="42" t="n">
        <f aca="false">IF(ISNUMBER(MATCH(B297,Calendar!$A$2:$A$25,0)),0,1)</f>
        <v>0</v>
      </c>
      <c r="T297" s="42" t="n">
        <f aca="false">IF(COUNTIF(Sales_Transactions!$A$2:$A$865,A297)&gt;1,1,0)</f>
        <v>0</v>
      </c>
      <c r="U297" s="42" t="n">
        <f aca="false">IF(OR(ABS(Sales_Transactions!F297*Sales_Transactions!G297-Sales_Transactions!I297)&gt;0.01,ABS(Sales_Transactions!F297*Sales_Transactions!H297-Sales_Transactions!J297)&gt;0.01,ABS(Sales_Transactions!I297-Sales_Transactions!J297-Sales_Transactions!K297)&gt;0.01),1,0)</f>
        <v>0</v>
      </c>
      <c r="V297" s="42" t="n">
        <f aca="false">IF(C297&lt;&gt;L297,1,0)</f>
        <v>0</v>
      </c>
      <c r="W297" s="42" t="n">
        <f aca="false">IF(SUM(Q297:V297)&gt;0,1,0)</f>
        <v>0</v>
      </c>
    </row>
    <row r="298" customFormat="false" ht="15" hidden="false" customHeight="false" outlineLevel="0" collapsed="false">
      <c r="A298" s="42" t="str">
        <f aca="false">Sales_Transactions!A298</f>
        <v>INV-09-009</v>
      </c>
      <c r="B298" s="42" t="str">
        <f aca="false">Sales_Transactions!B298</f>
        <v>2025-09</v>
      </c>
      <c r="C298" s="42" t="str">
        <f aca="false">Sales_Transactions!C298</f>
        <v>Actual</v>
      </c>
      <c r="D298" s="42" t="str">
        <f aca="false">Sales_Transactions!D298</f>
        <v>C033</v>
      </c>
      <c r="E298" s="42" t="str">
        <f aca="false">Sales_Transactions!E298</f>
        <v>P001</v>
      </c>
      <c r="F298" s="42" t="str">
        <f aca="false">IFERROR(INDEX(Customer_Master!$C$2:$C$49,MATCH(D298,Customer_Master!$A$2:$A$49,0)),"UNMATCHED")</f>
        <v>South</v>
      </c>
      <c r="G298" s="42" t="str">
        <f aca="false">IFERROR(INDEX(Customer_Master!$D$2:$D$49,MATCH(D298,Customer_Master!$A$2:$A$49,0)),"UNMATCHED")</f>
        <v>Retail</v>
      </c>
      <c r="H298" s="42" t="str">
        <f aca="false">IFERROR(INDEX(Product_Master!$C$2:$C$9,MATCH(E298,Product_Master!$A$2:$A$9,0)),"UNMATCHED")</f>
        <v>Home Care</v>
      </c>
      <c r="I298" s="42" t="str">
        <f aca="false">IFERROR(INDEX(Product_Master!$B$2:$B$9,MATCH(E298,Product_Master!$A$2:$A$9,0)),"UNMATCHED")</f>
        <v>Detergent 1kg</v>
      </c>
      <c r="J298" s="42" t="n">
        <f aca="false">IFERROR(INDEX(Calendar!$B$2:$B$25,MATCH(B298,Calendar!$A$2:$A$25,0)),0)</f>
        <v>2025</v>
      </c>
      <c r="K298" s="42" t="n">
        <f aca="false">IFERROR(VALUE(RIGHT(B298,2)),0)</f>
        <v>9</v>
      </c>
      <c r="L298" s="42" t="str">
        <f aca="false">IFERROR(INDEX(Calendar!$E$2:$E$25,MATCH(B298,Calendar!$A$2:$A$25,0)),"UNMATCHED")</f>
        <v>Actual</v>
      </c>
      <c r="M298" s="42" t="n">
        <f aca="false">Sales_Transactions!F298</f>
        <v>367</v>
      </c>
      <c r="N298" s="52" t="n">
        <f aca="false">Sales_Transactions!I298</f>
        <v>70041.95</v>
      </c>
      <c r="O298" s="52" t="n">
        <f aca="false">Sales_Transactions!J298</f>
        <v>47614.58</v>
      </c>
      <c r="P298" s="52" t="n">
        <f aca="false">Sales_Transactions!K298</f>
        <v>22427.37</v>
      </c>
      <c r="Q298" s="42" t="n">
        <f aca="false">IF(ISNUMBER(MATCH(E298,Product_Master!$A$2:$A$9,0)),0,1)</f>
        <v>0</v>
      </c>
      <c r="R298" s="42" t="n">
        <f aca="false">IF(ISNUMBER(MATCH(D298,Customer_Master!$A$2:$A$49,0)),0,1)</f>
        <v>0</v>
      </c>
      <c r="S298" s="42" t="n">
        <f aca="false">IF(ISNUMBER(MATCH(B298,Calendar!$A$2:$A$25,0)),0,1)</f>
        <v>0</v>
      </c>
      <c r="T298" s="42" t="n">
        <f aca="false">IF(COUNTIF(Sales_Transactions!$A$2:$A$865,A298)&gt;1,1,0)</f>
        <v>0</v>
      </c>
      <c r="U298" s="42" t="n">
        <f aca="false">IF(OR(ABS(Sales_Transactions!F298*Sales_Transactions!G298-Sales_Transactions!I298)&gt;0.01,ABS(Sales_Transactions!F298*Sales_Transactions!H298-Sales_Transactions!J298)&gt;0.01,ABS(Sales_Transactions!I298-Sales_Transactions!J298-Sales_Transactions!K298)&gt;0.01),1,0)</f>
        <v>0</v>
      </c>
      <c r="V298" s="42" t="n">
        <f aca="false">IF(C298&lt;&gt;L298,1,0)</f>
        <v>0</v>
      </c>
      <c r="W298" s="42" t="n">
        <f aca="false">IF(SUM(Q298:V298)&gt;0,1,0)</f>
        <v>0</v>
      </c>
    </row>
    <row r="299" customFormat="false" ht="15" hidden="false" customHeight="false" outlineLevel="0" collapsed="false">
      <c r="A299" s="42" t="str">
        <f aca="false">Sales_Transactions!A299</f>
        <v>INV-09-010</v>
      </c>
      <c r="B299" s="42" t="str">
        <f aca="false">Sales_Transactions!B299</f>
        <v>2025-09</v>
      </c>
      <c r="C299" s="42" t="str">
        <f aca="false">Sales_Transactions!C299</f>
        <v>Actual</v>
      </c>
      <c r="D299" s="42" t="str">
        <f aca="false">Sales_Transactions!D299</f>
        <v>C040</v>
      </c>
      <c r="E299" s="42" t="str">
        <f aca="false">Sales_Transactions!E299</f>
        <v>P006</v>
      </c>
      <c r="F299" s="42" t="str">
        <f aca="false">IFERROR(INDEX(Customer_Master!$C$2:$C$49,MATCH(D299,Customer_Master!$A$2:$A$49,0)),"UNMATCHED")</f>
        <v>East</v>
      </c>
      <c r="G299" s="42" t="str">
        <f aca="false">IFERROR(INDEX(Customer_Master!$D$2:$D$49,MATCH(D299,Customer_Master!$A$2:$A$49,0)),"UNMATCHED")</f>
        <v>Distributor</v>
      </c>
      <c r="H299" s="42" t="str">
        <f aca="false">IFERROR(INDEX(Product_Master!$C$2:$C$9,MATCH(E299,Product_Master!$A$2:$A$9,0)),"UNMATCHED")</f>
        <v>Foods</v>
      </c>
      <c r="I299" s="42" t="str">
        <f aca="false">IFERROR(INDEX(Product_Master!$B$2:$B$9,MATCH(E299,Product_Master!$A$2:$A$9,0)),"UNMATCHED")</f>
        <v>Breakfast Cereal</v>
      </c>
      <c r="J299" s="42" t="n">
        <f aca="false">IFERROR(INDEX(Calendar!$B$2:$B$25,MATCH(B299,Calendar!$A$2:$A$25,0)),0)</f>
        <v>2025</v>
      </c>
      <c r="K299" s="42" t="n">
        <f aca="false">IFERROR(VALUE(RIGHT(B299,2)),0)</f>
        <v>9</v>
      </c>
      <c r="L299" s="42" t="str">
        <f aca="false">IFERROR(INDEX(Calendar!$E$2:$E$25,MATCH(B299,Calendar!$A$2:$A$25,0)),"UNMATCHED")</f>
        <v>Actual</v>
      </c>
      <c r="M299" s="42" t="n">
        <f aca="false">Sales_Transactions!F299</f>
        <v>391</v>
      </c>
      <c r="N299" s="52" t="n">
        <f aca="false">Sales_Transactions!I299</f>
        <v>95325.8</v>
      </c>
      <c r="O299" s="52" t="n">
        <f aca="false">Sales_Transactions!J299</f>
        <v>64992.02</v>
      </c>
      <c r="P299" s="52" t="n">
        <f aca="false">Sales_Transactions!K299</f>
        <v>30333.78</v>
      </c>
      <c r="Q299" s="42" t="n">
        <f aca="false">IF(ISNUMBER(MATCH(E299,Product_Master!$A$2:$A$9,0)),0,1)</f>
        <v>0</v>
      </c>
      <c r="R299" s="42" t="n">
        <f aca="false">IF(ISNUMBER(MATCH(D299,Customer_Master!$A$2:$A$49,0)),0,1)</f>
        <v>0</v>
      </c>
      <c r="S299" s="42" t="n">
        <f aca="false">IF(ISNUMBER(MATCH(B299,Calendar!$A$2:$A$25,0)),0,1)</f>
        <v>0</v>
      </c>
      <c r="T299" s="42" t="n">
        <f aca="false">IF(COUNTIF(Sales_Transactions!$A$2:$A$865,A299)&gt;1,1,0)</f>
        <v>0</v>
      </c>
      <c r="U299" s="42" t="n">
        <f aca="false">IF(OR(ABS(Sales_Transactions!F299*Sales_Transactions!G299-Sales_Transactions!I299)&gt;0.01,ABS(Sales_Transactions!F299*Sales_Transactions!H299-Sales_Transactions!J299)&gt;0.01,ABS(Sales_Transactions!I299-Sales_Transactions!J299-Sales_Transactions!K299)&gt;0.01),1,0)</f>
        <v>0</v>
      </c>
      <c r="V299" s="42" t="n">
        <f aca="false">IF(C299&lt;&gt;L299,1,0)</f>
        <v>0</v>
      </c>
      <c r="W299" s="42" t="n">
        <f aca="false">IF(SUM(Q299:V299)&gt;0,1,0)</f>
        <v>0</v>
      </c>
    </row>
    <row r="300" customFormat="false" ht="15" hidden="false" customHeight="false" outlineLevel="0" collapsed="false">
      <c r="A300" s="42" t="str">
        <f aca="false">Sales_Transactions!A300</f>
        <v>INV-09-011</v>
      </c>
      <c r="B300" s="42" t="str">
        <f aca="false">Sales_Transactions!B300</f>
        <v>2025-09</v>
      </c>
      <c r="C300" s="42" t="str">
        <f aca="false">Sales_Transactions!C300</f>
        <v>Actual</v>
      </c>
      <c r="D300" s="42" t="str">
        <f aca="false">Sales_Transactions!D300</f>
        <v>C047</v>
      </c>
      <c r="E300" s="42" t="str">
        <f aca="false">Sales_Transactions!E300</f>
        <v>P003</v>
      </c>
      <c r="F300" s="42" t="str">
        <f aca="false">IFERROR(INDEX(Customer_Master!$C$2:$C$49,MATCH(D300,Customer_Master!$A$2:$A$49,0)),"UNMATCHED")</f>
        <v>West</v>
      </c>
      <c r="G300" s="42" t="str">
        <f aca="false">IFERROR(INDEX(Customer_Master!$D$2:$D$49,MATCH(D300,Customer_Master!$A$2:$A$49,0)),"UNMATCHED")</f>
        <v>Modern Trade</v>
      </c>
      <c r="H300" s="42" t="str">
        <f aca="false">IFERROR(INDEX(Product_Master!$C$2:$C$9,MATCH(E300,Product_Master!$A$2:$A$9,0)),"UNMATCHED")</f>
        <v>Personal Care</v>
      </c>
      <c r="I300" s="42" t="str">
        <f aca="false">IFERROR(INDEX(Product_Master!$B$2:$B$9,MATCH(E300,Product_Master!$A$2:$A$9,0)),"UNMATCHED")</f>
        <v>Shampoo 400ml</v>
      </c>
      <c r="J300" s="42" t="n">
        <f aca="false">IFERROR(INDEX(Calendar!$B$2:$B$25,MATCH(B300,Calendar!$A$2:$A$25,0)),0)</f>
        <v>2025</v>
      </c>
      <c r="K300" s="42" t="n">
        <f aca="false">IFERROR(VALUE(RIGHT(B300,2)),0)</f>
        <v>9</v>
      </c>
      <c r="L300" s="42" t="str">
        <f aca="false">IFERROR(INDEX(Calendar!$E$2:$E$25,MATCH(B300,Calendar!$A$2:$A$25,0)),"UNMATCHED")</f>
        <v>Actual</v>
      </c>
      <c r="M300" s="42" t="n">
        <f aca="false">Sales_Transactions!F300</f>
        <v>120</v>
      </c>
      <c r="N300" s="52" t="n">
        <f aca="false">Sales_Transactions!I300</f>
        <v>31111.2</v>
      </c>
      <c r="O300" s="52" t="n">
        <f aca="false">Sales_Transactions!J300</f>
        <v>21644.4</v>
      </c>
      <c r="P300" s="52" t="n">
        <f aca="false">Sales_Transactions!K300</f>
        <v>9466.8</v>
      </c>
      <c r="Q300" s="42" t="n">
        <f aca="false">IF(ISNUMBER(MATCH(E300,Product_Master!$A$2:$A$9,0)),0,1)</f>
        <v>0</v>
      </c>
      <c r="R300" s="42" t="n">
        <f aca="false">IF(ISNUMBER(MATCH(D300,Customer_Master!$A$2:$A$49,0)),0,1)</f>
        <v>0</v>
      </c>
      <c r="S300" s="42" t="n">
        <f aca="false">IF(ISNUMBER(MATCH(B300,Calendar!$A$2:$A$25,0)),0,1)</f>
        <v>0</v>
      </c>
      <c r="T300" s="42" t="n">
        <f aca="false">IF(COUNTIF(Sales_Transactions!$A$2:$A$865,A300)&gt;1,1,0)</f>
        <v>0</v>
      </c>
      <c r="U300" s="42" t="n">
        <f aca="false">IF(OR(ABS(Sales_Transactions!F300*Sales_Transactions!G300-Sales_Transactions!I300)&gt;0.01,ABS(Sales_Transactions!F300*Sales_Transactions!H300-Sales_Transactions!J300)&gt;0.01,ABS(Sales_Transactions!I300-Sales_Transactions!J300-Sales_Transactions!K300)&gt;0.01),1,0)</f>
        <v>0</v>
      </c>
      <c r="V300" s="42" t="n">
        <f aca="false">IF(C300&lt;&gt;L300,1,0)</f>
        <v>0</v>
      </c>
      <c r="W300" s="42" t="n">
        <f aca="false">IF(SUM(Q300:V300)&gt;0,1,0)</f>
        <v>0</v>
      </c>
    </row>
    <row r="301" customFormat="false" ht="15" hidden="false" customHeight="false" outlineLevel="0" collapsed="false">
      <c r="A301" s="42" t="str">
        <f aca="false">Sales_Transactions!A301</f>
        <v>INV-09-012</v>
      </c>
      <c r="B301" s="42" t="str">
        <f aca="false">Sales_Transactions!B301</f>
        <v>2025-09</v>
      </c>
      <c r="C301" s="42" t="str">
        <f aca="false">Sales_Transactions!C301</f>
        <v>Actual</v>
      </c>
      <c r="D301" s="42" t="str">
        <f aca="false">Sales_Transactions!D301</f>
        <v>C006</v>
      </c>
      <c r="E301" s="42" t="str">
        <f aca="false">Sales_Transactions!E301</f>
        <v>P008</v>
      </c>
      <c r="F301" s="42" t="str">
        <f aca="false">IFERROR(INDEX(Customer_Master!$C$2:$C$49,MATCH(D301,Customer_Master!$A$2:$A$49,0)),"UNMATCHED")</f>
        <v>North</v>
      </c>
      <c r="G301" s="42" t="str">
        <f aca="false">IFERROR(INDEX(Customer_Master!$D$2:$D$49,MATCH(D301,Customer_Master!$A$2:$A$49,0)),"UNMATCHED")</f>
        <v>Retail</v>
      </c>
      <c r="H301" s="42" t="str">
        <f aca="false">IFERROR(INDEX(Product_Master!$C$2:$C$9,MATCH(E301,Product_Master!$A$2:$A$9,0)),"UNMATCHED")</f>
        <v>Personal Care</v>
      </c>
      <c r="I301" s="42" t="str">
        <f aca="false">IFERROR(INDEX(Product_Master!$B$2:$B$9,MATCH(E301,Product_Master!$A$2:$A$9,0)),"UNMATCHED")</f>
        <v>Body Lotion</v>
      </c>
      <c r="J301" s="42" t="n">
        <f aca="false">IFERROR(INDEX(Calendar!$B$2:$B$25,MATCH(B301,Calendar!$A$2:$A$25,0)),0)</f>
        <v>2025</v>
      </c>
      <c r="K301" s="42" t="n">
        <f aca="false">IFERROR(VALUE(RIGHT(B301,2)),0)</f>
        <v>9</v>
      </c>
      <c r="L301" s="42" t="str">
        <f aca="false">IFERROR(INDEX(Calendar!$E$2:$E$25,MATCH(B301,Calendar!$A$2:$A$25,0)),"UNMATCHED")</f>
        <v>Actual</v>
      </c>
      <c r="M301" s="42" t="n">
        <f aca="false">Sales_Transactions!F301</f>
        <v>297</v>
      </c>
      <c r="N301" s="52" t="n">
        <f aca="false">Sales_Transactions!I301</f>
        <v>90172.17</v>
      </c>
      <c r="O301" s="52" t="n">
        <f aca="false">Sales_Transactions!J301</f>
        <v>63263.97</v>
      </c>
      <c r="P301" s="52" t="n">
        <f aca="false">Sales_Transactions!K301</f>
        <v>26908.2</v>
      </c>
      <c r="Q301" s="42" t="n">
        <f aca="false">IF(ISNUMBER(MATCH(E301,Product_Master!$A$2:$A$9,0)),0,1)</f>
        <v>0</v>
      </c>
      <c r="R301" s="42" t="n">
        <f aca="false">IF(ISNUMBER(MATCH(D301,Customer_Master!$A$2:$A$49,0)),0,1)</f>
        <v>0</v>
      </c>
      <c r="S301" s="42" t="n">
        <f aca="false">IF(ISNUMBER(MATCH(B301,Calendar!$A$2:$A$25,0)),0,1)</f>
        <v>0</v>
      </c>
      <c r="T301" s="42" t="n">
        <f aca="false">IF(COUNTIF(Sales_Transactions!$A$2:$A$865,A301)&gt;1,1,0)</f>
        <v>0</v>
      </c>
      <c r="U301" s="42" t="n">
        <f aca="false">IF(OR(ABS(Sales_Transactions!F301*Sales_Transactions!G301-Sales_Transactions!I301)&gt;0.01,ABS(Sales_Transactions!F301*Sales_Transactions!H301-Sales_Transactions!J301)&gt;0.01,ABS(Sales_Transactions!I301-Sales_Transactions!J301-Sales_Transactions!K301)&gt;0.01),1,0)</f>
        <v>0</v>
      </c>
      <c r="V301" s="42" t="n">
        <f aca="false">IF(C301&lt;&gt;L301,1,0)</f>
        <v>0</v>
      </c>
      <c r="W301" s="42" t="n">
        <f aca="false">IF(SUM(Q301:V301)&gt;0,1,0)</f>
        <v>0</v>
      </c>
    </row>
    <row r="302" customFormat="false" ht="15" hidden="false" customHeight="false" outlineLevel="0" collapsed="false">
      <c r="A302" s="42" t="str">
        <f aca="false">Sales_Transactions!A302</f>
        <v>INV-09-013</v>
      </c>
      <c r="B302" s="42" t="str">
        <f aca="false">Sales_Transactions!B302</f>
        <v>2025-09</v>
      </c>
      <c r="C302" s="42" t="str">
        <f aca="false">Sales_Transactions!C302</f>
        <v>Actual</v>
      </c>
      <c r="D302" s="42" t="str">
        <f aca="false">Sales_Transactions!D302</f>
        <v>C013</v>
      </c>
      <c r="E302" s="42" t="str">
        <f aca="false">Sales_Transactions!E302</f>
        <v>P005</v>
      </c>
      <c r="F302" s="42" t="str">
        <f aca="false">IFERROR(INDEX(Customer_Master!$C$2:$C$49,MATCH(D302,Customer_Master!$A$2:$A$49,0)),"UNMATCHED")</f>
        <v>South</v>
      </c>
      <c r="G302" s="42" t="str">
        <f aca="false">IFERROR(INDEX(Customer_Master!$D$2:$D$49,MATCH(D302,Customer_Master!$A$2:$A$49,0)),"UNMATCHED")</f>
        <v>Distributor</v>
      </c>
      <c r="H302" s="42" t="str">
        <f aca="false">IFERROR(INDEX(Product_Master!$C$2:$C$9,MATCH(E302,Product_Master!$A$2:$A$9,0)),"UNMATCHED")</f>
        <v>Foods</v>
      </c>
      <c r="I302" s="42" t="str">
        <f aca="false">IFERROR(INDEX(Product_Master!$B$2:$B$9,MATCH(E302,Product_Master!$A$2:$A$9,0)),"UNMATCHED")</f>
        <v>Biscuits 500g</v>
      </c>
      <c r="J302" s="42" t="n">
        <f aca="false">IFERROR(INDEX(Calendar!$B$2:$B$25,MATCH(B302,Calendar!$A$2:$A$25,0)),0)</f>
        <v>2025</v>
      </c>
      <c r="K302" s="42" t="n">
        <f aca="false">IFERROR(VALUE(RIGHT(B302,2)),0)</f>
        <v>9</v>
      </c>
      <c r="L302" s="42" t="str">
        <f aca="false">IFERROR(INDEX(Calendar!$E$2:$E$25,MATCH(B302,Calendar!$A$2:$A$25,0)),"UNMATCHED")</f>
        <v>Actual</v>
      </c>
      <c r="M302" s="42" t="n">
        <f aca="false">Sales_Transactions!F302</f>
        <v>221</v>
      </c>
      <c r="N302" s="52" t="n">
        <f aca="false">Sales_Transactions!I302</f>
        <v>24228.23</v>
      </c>
      <c r="O302" s="52" t="n">
        <f aca="false">Sales_Transactions!J302</f>
        <v>14716.39</v>
      </c>
      <c r="P302" s="52" t="n">
        <f aca="false">Sales_Transactions!K302</f>
        <v>9511.84</v>
      </c>
      <c r="Q302" s="42" t="n">
        <f aca="false">IF(ISNUMBER(MATCH(E302,Product_Master!$A$2:$A$9,0)),0,1)</f>
        <v>0</v>
      </c>
      <c r="R302" s="42" t="n">
        <f aca="false">IF(ISNUMBER(MATCH(D302,Customer_Master!$A$2:$A$49,0)),0,1)</f>
        <v>0</v>
      </c>
      <c r="S302" s="42" t="n">
        <f aca="false">IF(ISNUMBER(MATCH(B302,Calendar!$A$2:$A$25,0)),0,1)</f>
        <v>0</v>
      </c>
      <c r="T302" s="42" t="n">
        <f aca="false">IF(COUNTIF(Sales_Transactions!$A$2:$A$865,A302)&gt;1,1,0)</f>
        <v>0</v>
      </c>
      <c r="U302" s="42" t="n">
        <f aca="false">IF(OR(ABS(Sales_Transactions!F302*Sales_Transactions!G302-Sales_Transactions!I302)&gt;0.01,ABS(Sales_Transactions!F302*Sales_Transactions!H302-Sales_Transactions!J302)&gt;0.01,ABS(Sales_Transactions!I302-Sales_Transactions!J302-Sales_Transactions!K302)&gt;0.01),1,0)</f>
        <v>0</v>
      </c>
      <c r="V302" s="42" t="n">
        <f aca="false">IF(C302&lt;&gt;L302,1,0)</f>
        <v>0</v>
      </c>
      <c r="W302" s="42" t="n">
        <f aca="false">IF(SUM(Q302:V302)&gt;0,1,0)</f>
        <v>0</v>
      </c>
    </row>
    <row r="303" customFormat="false" ht="15" hidden="false" customHeight="false" outlineLevel="0" collapsed="false">
      <c r="A303" s="42" t="str">
        <f aca="false">Sales_Transactions!A303</f>
        <v>INV-09-014</v>
      </c>
      <c r="B303" s="42" t="str">
        <f aca="false">Sales_Transactions!B303</f>
        <v>2025-09</v>
      </c>
      <c r="C303" s="42" t="str">
        <f aca="false">Sales_Transactions!C303</f>
        <v>Actual</v>
      </c>
      <c r="D303" s="42" t="str">
        <f aca="false">Sales_Transactions!D303</f>
        <v>C020</v>
      </c>
      <c r="E303" s="42" t="str">
        <f aca="false">Sales_Transactions!E303</f>
        <v>P002</v>
      </c>
      <c r="F303" s="42" t="str">
        <f aca="false">IFERROR(INDEX(Customer_Master!$C$2:$C$49,MATCH(D303,Customer_Master!$A$2:$A$49,0)),"UNMATCHED")</f>
        <v>East</v>
      </c>
      <c r="G303" s="42" t="str">
        <f aca="false">IFERROR(INDEX(Customer_Master!$D$2:$D$49,MATCH(D303,Customer_Master!$A$2:$A$49,0)),"UNMATCHED")</f>
        <v>Modern Trade</v>
      </c>
      <c r="H303" s="42" t="str">
        <f aca="false">IFERROR(INDEX(Product_Master!$C$2:$C$9,MATCH(E303,Product_Master!$A$2:$A$9,0)),"UNMATCHED")</f>
        <v>Home Care</v>
      </c>
      <c r="I303" s="42" t="str">
        <f aca="false">IFERROR(INDEX(Product_Master!$B$2:$B$9,MATCH(E303,Product_Master!$A$2:$A$9,0)),"UNMATCHED")</f>
        <v>Dishwash Gel</v>
      </c>
      <c r="J303" s="42" t="n">
        <f aca="false">IFERROR(INDEX(Calendar!$B$2:$B$25,MATCH(B303,Calendar!$A$2:$A$25,0)),0)</f>
        <v>2025</v>
      </c>
      <c r="K303" s="42" t="n">
        <f aca="false">IFERROR(VALUE(RIGHT(B303,2)),0)</f>
        <v>9</v>
      </c>
      <c r="L303" s="42" t="str">
        <f aca="false">IFERROR(INDEX(Calendar!$E$2:$E$25,MATCH(B303,Calendar!$A$2:$A$25,0)),"UNMATCHED")</f>
        <v>Actual</v>
      </c>
      <c r="M303" s="42" t="n">
        <f aca="false">Sales_Transactions!F303</f>
        <v>237</v>
      </c>
      <c r="N303" s="52" t="n">
        <f aca="false">Sales_Transactions!I303</f>
        <v>34327.08</v>
      </c>
      <c r="O303" s="52" t="n">
        <f aca="false">Sales_Transactions!J303</f>
        <v>20009.91</v>
      </c>
      <c r="P303" s="52" t="n">
        <f aca="false">Sales_Transactions!K303</f>
        <v>14317.17</v>
      </c>
      <c r="Q303" s="42" t="n">
        <f aca="false">IF(ISNUMBER(MATCH(E303,Product_Master!$A$2:$A$9,0)),0,1)</f>
        <v>0</v>
      </c>
      <c r="R303" s="42" t="n">
        <f aca="false">IF(ISNUMBER(MATCH(D303,Customer_Master!$A$2:$A$49,0)),0,1)</f>
        <v>0</v>
      </c>
      <c r="S303" s="42" t="n">
        <f aca="false">IF(ISNUMBER(MATCH(B303,Calendar!$A$2:$A$25,0)),0,1)</f>
        <v>0</v>
      </c>
      <c r="T303" s="42" t="n">
        <f aca="false">IF(COUNTIF(Sales_Transactions!$A$2:$A$865,A303)&gt;1,1,0)</f>
        <v>0</v>
      </c>
      <c r="U303" s="42" t="n">
        <f aca="false">IF(OR(ABS(Sales_Transactions!F303*Sales_Transactions!G303-Sales_Transactions!I303)&gt;0.01,ABS(Sales_Transactions!F303*Sales_Transactions!H303-Sales_Transactions!J303)&gt;0.01,ABS(Sales_Transactions!I303-Sales_Transactions!J303-Sales_Transactions!K303)&gt;0.01),1,0)</f>
        <v>0</v>
      </c>
      <c r="V303" s="42" t="n">
        <f aca="false">IF(C303&lt;&gt;L303,1,0)</f>
        <v>0</v>
      </c>
      <c r="W303" s="42" t="n">
        <f aca="false">IF(SUM(Q303:V303)&gt;0,1,0)</f>
        <v>0</v>
      </c>
    </row>
    <row r="304" customFormat="false" ht="15" hidden="false" customHeight="false" outlineLevel="0" collapsed="false">
      <c r="A304" s="42" t="str">
        <f aca="false">Sales_Transactions!A304</f>
        <v>INV-09-015</v>
      </c>
      <c r="B304" s="42" t="str">
        <f aca="false">Sales_Transactions!B304</f>
        <v>2025-09</v>
      </c>
      <c r="C304" s="42" t="str">
        <f aca="false">Sales_Transactions!C304</f>
        <v>Actual</v>
      </c>
      <c r="D304" s="42" t="str">
        <f aca="false">Sales_Transactions!D304</f>
        <v>C027</v>
      </c>
      <c r="E304" s="42" t="str">
        <f aca="false">Sales_Transactions!E304</f>
        <v>P007</v>
      </c>
      <c r="F304" s="42" t="str">
        <f aca="false">IFERROR(INDEX(Customer_Master!$C$2:$C$49,MATCH(D304,Customer_Master!$A$2:$A$49,0)),"UNMATCHED")</f>
        <v>West</v>
      </c>
      <c r="G304" s="42" t="str">
        <f aca="false">IFERROR(INDEX(Customer_Master!$D$2:$D$49,MATCH(D304,Customer_Master!$A$2:$A$49,0)),"UNMATCHED")</f>
        <v>Retail</v>
      </c>
      <c r="H304" s="42" t="str">
        <f aca="false">IFERROR(INDEX(Product_Master!$C$2:$C$9,MATCH(E304,Product_Master!$A$2:$A$9,0)),"UNMATCHED")</f>
        <v>Home Care</v>
      </c>
      <c r="I304" s="42" t="str">
        <f aca="false">IFERROR(INDEX(Product_Master!$B$2:$B$9,MATCH(E304,Product_Master!$A$2:$A$9,0)),"UNMATCHED")</f>
        <v>Floor Cleaner</v>
      </c>
      <c r="J304" s="42" t="n">
        <f aca="false">IFERROR(INDEX(Calendar!$B$2:$B$25,MATCH(B304,Calendar!$A$2:$A$25,0)),0)</f>
        <v>2025</v>
      </c>
      <c r="K304" s="42" t="n">
        <f aca="false">IFERROR(VALUE(RIGHT(B304,2)),0)</f>
        <v>9</v>
      </c>
      <c r="L304" s="42" t="str">
        <f aca="false">IFERROR(INDEX(Calendar!$E$2:$E$25,MATCH(B304,Calendar!$A$2:$A$25,0)),"UNMATCHED")</f>
        <v>Actual</v>
      </c>
      <c r="M304" s="42" t="n">
        <f aca="false">Sales_Transactions!F304</f>
        <v>422</v>
      </c>
      <c r="N304" s="52" t="n">
        <f aca="false">Sales_Transactions!I304</f>
        <v>76462.18</v>
      </c>
      <c r="O304" s="52" t="n">
        <f aca="false">Sales_Transactions!J304</f>
        <v>46217.44</v>
      </c>
      <c r="P304" s="52" t="n">
        <f aca="false">Sales_Transactions!K304</f>
        <v>30244.74</v>
      </c>
      <c r="Q304" s="42" t="n">
        <f aca="false">IF(ISNUMBER(MATCH(E304,Product_Master!$A$2:$A$9,0)),0,1)</f>
        <v>0</v>
      </c>
      <c r="R304" s="42" t="n">
        <f aca="false">IF(ISNUMBER(MATCH(D304,Customer_Master!$A$2:$A$49,0)),0,1)</f>
        <v>0</v>
      </c>
      <c r="S304" s="42" t="n">
        <f aca="false">IF(ISNUMBER(MATCH(B304,Calendar!$A$2:$A$25,0)),0,1)</f>
        <v>0</v>
      </c>
      <c r="T304" s="42" t="n">
        <f aca="false">IF(COUNTIF(Sales_Transactions!$A$2:$A$865,A304)&gt;1,1,0)</f>
        <v>0</v>
      </c>
      <c r="U304" s="42" t="n">
        <f aca="false">IF(OR(ABS(Sales_Transactions!F304*Sales_Transactions!G304-Sales_Transactions!I304)&gt;0.01,ABS(Sales_Transactions!F304*Sales_Transactions!H304-Sales_Transactions!J304)&gt;0.01,ABS(Sales_Transactions!I304-Sales_Transactions!J304-Sales_Transactions!K304)&gt;0.01),1,0)</f>
        <v>0</v>
      </c>
      <c r="V304" s="42" t="n">
        <f aca="false">IF(C304&lt;&gt;L304,1,0)</f>
        <v>0</v>
      </c>
      <c r="W304" s="42" t="n">
        <f aca="false">IF(SUM(Q304:V304)&gt;0,1,0)</f>
        <v>0</v>
      </c>
    </row>
    <row r="305" customFormat="false" ht="15" hidden="false" customHeight="false" outlineLevel="0" collapsed="false">
      <c r="A305" s="42" t="str">
        <f aca="false">Sales_Transactions!A305</f>
        <v>INV-09-016</v>
      </c>
      <c r="B305" s="42" t="str">
        <f aca="false">Sales_Transactions!B305</f>
        <v>2025-09</v>
      </c>
      <c r="C305" s="42" t="str">
        <f aca="false">Sales_Transactions!C305</f>
        <v>Actual</v>
      </c>
      <c r="D305" s="42" t="str">
        <f aca="false">Sales_Transactions!D305</f>
        <v>C034</v>
      </c>
      <c r="E305" s="42" t="str">
        <f aca="false">Sales_Transactions!E305</f>
        <v>P004</v>
      </c>
      <c r="F305" s="42" t="str">
        <f aca="false">IFERROR(INDEX(Customer_Master!$C$2:$C$49,MATCH(D305,Customer_Master!$A$2:$A$49,0)),"UNMATCHED")</f>
        <v>North</v>
      </c>
      <c r="G305" s="42" t="str">
        <f aca="false">IFERROR(INDEX(Customer_Master!$D$2:$D$49,MATCH(D305,Customer_Master!$A$2:$A$49,0)),"UNMATCHED")</f>
        <v>Distributor</v>
      </c>
      <c r="H305" s="42" t="str">
        <f aca="false">IFERROR(INDEX(Product_Master!$C$2:$C$9,MATCH(E305,Product_Master!$A$2:$A$9,0)),"UNMATCHED")</f>
        <v>Personal Care</v>
      </c>
      <c r="I305" s="42" t="str">
        <f aca="false">IFERROR(INDEX(Product_Master!$B$2:$B$9,MATCH(E305,Product_Master!$A$2:$A$9,0)),"UNMATCHED")</f>
        <v>Soap 4-pack</v>
      </c>
      <c r="J305" s="42" t="n">
        <f aca="false">IFERROR(INDEX(Calendar!$B$2:$B$25,MATCH(B305,Calendar!$A$2:$A$25,0)),0)</f>
        <v>2025</v>
      </c>
      <c r="K305" s="42" t="n">
        <f aca="false">IFERROR(VALUE(RIGHT(B305,2)),0)</f>
        <v>9</v>
      </c>
      <c r="L305" s="42" t="str">
        <f aca="false">IFERROR(INDEX(Calendar!$E$2:$E$25,MATCH(B305,Calendar!$A$2:$A$25,0)),"UNMATCHED")</f>
        <v>Actual</v>
      </c>
      <c r="M305" s="42" t="n">
        <f aca="false">Sales_Transactions!F305</f>
        <v>360</v>
      </c>
      <c r="N305" s="52" t="n">
        <f aca="false">Sales_Transactions!I305</f>
        <v>60037.2</v>
      </c>
      <c r="O305" s="52" t="n">
        <f aca="false">Sales_Transactions!J305</f>
        <v>34556.4</v>
      </c>
      <c r="P305" s="52" t="n">
        <f aca="false">Sales_Transactions!K305</f>
        <v>25480.8</v>
      </c>
      <c r="Q305" s="42" t="n">
        <f aca="false">IF(ISNUMBER(MATCH(E305,Product_Master!$A$2:$A$9,0)),0,1)</f>
        <v>0</v>
      </c>
      <c r="R305" s="42" t="n">
        <f aca="false">IF(ISNUMBER(MATCH(D305,Customer_Master!$A$2:$A$49,0)),0,1)</f>
        <v>0</v>
      </c>
      <c r="S305" s="42" t="n">
        <f aca="false">IF(ISNUMBER(MATCH(B305,Calendar!$A$2:$A$25,0)),0,1)</f>
        <v>0</v>
      </c>
      <c r="T305" s="42" t="n">
        <f aca="false">IF(COUNTIF(Sales_Transactions!$A$2:$A$865,A305)&gt;1,1,0)</f>
        <v>0</v>
      </c>
      <c r="U305" s="42" t="n">
        <f aca="false">IF(OR(ABS(Sales_Transactions!F305*Sales_Transactions!G305-Sales_Transactions!I305)&gt;0.01,ABS(Sales_Transactions!F305*Sales_Transactions!H305-Sales_Transactions!J305)&gt;0.01,ABS(Sales_Transactions!I305-Sales_Transactions!J305-Sales_Transactions!K305)&gt;0.01),1,0)</f>
        <v>0</v>
      </c>
      <c r="V305" s="42" t="n">
        <f aca="false">IF(C305&lt;&gt;L305,1,0)</f>
        <v>0</v>
      </c>
      <c r="W305" s="42" t="n">
        <f aca="false">IF(SUM(Q305:V305)&gt;0,1,0)</f>
        <v>0</v>
      </c>
    </row>
    <row r="306" customFormat="false" ht="15" hidden="false" customHeight="false" outlineLevel="0" collapsed="false">
      <c r="A306" s="42" t="str">
        <f aca="false">Sales_Transactions!A306</f>
        <v>INV-09-017</v>
      </c>
      <c r="B306" s="42" t="str">
        <f aca="false">Sales_Transactions!B306</f>
        <v>2025-09</v>
      </c>
      <c r="C306" s="42" t="str">
        <f aca="false">Sales_Transactions!C306</f>
        <v>Actual</v>
      </c>
      <c r="D306" s="42" t="str">
        <f aca="false">Sales_Transactions!D306</f>
        <v>C041</v>
      </c>
      <c r="E306" s="42" t="str">
        <f aca="false">Sales_Transactions!E306</f>
        <v>P001</v>
      </c>
      <c r="F306" s="42" t="str">
        <f aca="false">IFERROR(INDEX(Customer_Master!$C$2:$C$49,MATCH(D306,Customer_Master!$A$2:$A$49,0)),"UNMATCHED")</f>
        <v>South</v>
      </c>
      <c r="G306" s="42" t="str">
        <f aca="false">IFERROR(INDEX(Customer_Master!$D$2:$D$49,MATCH(D306,Customer_Master!$A$2:$A$49,0)),"UNMATCHED")</f>
        <v>Modern Trade</v>
      </c>
      <c r="H306" s="42" t="str">
        <f aca="false">IFERROR(INDEX(Product_Master!$C$2:$C$9,MATCH(E306,Product_Master!$A$2:$A$9,0)),"UNMATCHED")</f>
        <v>Home Care</v>
      </c>
      <c r="I306" s="42" t="str">
        <f aca="false">IFERROR(INDEX(Product_Master!$B$2:$B$9,MATCH(E306,Product_Master!$A$2:$A$9,0)),"UNMATCHED")</f>
        <v>Detergent 1kg</v>
      </c>
      <c r="J306" s="42" t="n">
        <f aca="false">IFERROR(INDEX(Calendar!$B$2:$B$25,MATCH(B306,Calendar!$A$2:$A$25,0)),0)</f>
        <v>2025</v>
      </c>
      <c r="K306" s="42" t="n">
        <f aca="false">IFERROR(VALUE(RIGHT(B306,2)),0)</f>
        <v>9</v>
      </c>
      <c r="L306" s="42" t="str">
        <f aca="false">IFERROR(INDEX(Calendar!$E$2:$E$25,MATCH(B306,Calendar!$A$2:$A$25,0)),"UNMATCHED")</f>
        <v>Actual</v>
      </c>
      <c r="M306" s="42" t="n">
        <f aca="false">Sales_Transactions!F306</f>
        <v>363</v>
      </c>
      <c r="N306" s="52" t="n">
        <f aca="false">Sales_Transactions!I306</f>
        <v>71583.6</v>
      </c>
      <c r="O306" s="52" t="n">
        <f aca="false">Sales_Transactions!J306</f>
        <v>51364.5</v>
      </c>
      <c r="P306" s="52" t="n">
        <f aca="false">Sales_Transactions!K306</f>
        <v>20219.1</v>
      </c>
      <c r="Q306" s="42" t="n">
        <f aca="false">IF(ISNUMBER(MATCH(E306,Product_Master!$A$2:$A$9,0)),0,1)</f>
        <v>0</v>
      </c>
      <c r="R306" s="42" t="n">
        <f aca="false">IF(ISNUMBER(MATCH(D306,Customer_Master!$A$2:$A$49,0)),0,1)</f>
        <v>0</v>
      </c>
      <c r="S306" s="42" t="n">
        <f aca="false">IF(ISNUMBER(MATCH(B306,Calendar!$A$2:$A$25,0)),0,1)</f>
        <v>0</v>
      </c>
      <c r="T306" s="42" t="n">
        <f aca="false">IF(COUNTIF(Sales_Transactions!$A$2:$A$865,A306)&gt;1,1,0)</f>
        <v>0</v>
      </c>
      <c r="U306" s="42" t="n">
        <f aca="false">IF(OR(ABS(Sales_Transactions!F306*Sales_Transactions!G306-Sales_Transactions!I306)&gt;0.01,ABS(Sales_Transactions!F306*Sales_Transactions!H306-Sales_Transactions!J306)&gt;0.01,ABS(Sales_Transactions!I306-Sales_Transactions!J306-Sales_Transactions!K306)&gt;0.01),1,0)</f>
        <v>0</v>
      </c>
      <c r="V306" s="42" t="n">
        <f aca="false">IF(C306&lt;&gt;L306,1,0)</f>
        <v>0</v>
      </c>
      <c r="W306" s="42" t="n">
        <f aca="false">IF(SUM(Q306:V306)&gt;0,1,0)</f>
        <v>0</v>
      </c>
    </row>
    <row r="307" customFormat="false" ht="15" hidden="false" customHeight="false" outlineLevel="0" collapsed="false">
      <c r="A307" s="42" t="str">
        <f aca="false">Sales_Transactions!A307</f>
        <v>INV-09-018</v>
      </c>
      <c r="B307" s="42" t="str">
        <f aca="false">Sales_Transactions!B307</f>
        <v>2025-09</v>
      </c>
      <c r="C307" s="42" t="str">
        <f aca="false">Sales_Transactions!C307</f>
        <v>Actual</v>
      </c>
      <c r="D307" s="42" t="str">
        <f aca="false">Sales_Transactions!D307</f>
        <v>C048</v>
      </c>
      <c r="E307" s="42" t="str">
        <f aca="false">Sales_Transactions!E307</f>
        <v>P006</v>
      </c>
      <c r="F307" s="42" t="str">
        <f aca="false">IFERROR(INDEX(Customer_Master!$C$2:$C$49,MATCH(D307,Customer_Master!$A$2:$A$49,0)),"UNMATCHED")</f>
        <v>East</v>
      </c>
      <c r="G307" s="42" t="str">
        <f aca="false">IFERROR(INDEX(Customer_Master!$D$2:$D$49,MATCH(D307,Customer_Master!$A$2:$A$49,0)),"UNMATCHED")</f>
        <v>Retail</v>
      </c>
      <c r="H307" s="42" t="str">
        <f aca="false">IFERROR(INDEX(Product_Master!$C$2:$C$9,MATCH(E307,Product_Master!$A$2:$A$9,0)),"UNMATCHED")</f>
        <v>Foods</v>
      </c>
      <c r="I307" s="42" t="str">
        <f aca="false">IFERROR(INDEX(Product_Master!$B$2:$B$9,MATCH(E307,Product_Master!$A$2:$A$9,0)),"UNMATCHED")</f>
        <v>Breakfast Cereal</v>
      </c>
      <c r="J307" s="42" t="n">
        <f aca="false">IFERROR(INDEX(Calendar!$B$2:$B$25,MATCH(B307,Calendar!$A$2:$A$25,0)),0)</f>
        <v>2025</v>
      </c>
      <c r="K307" s="42" t="n">
        <f aca="false">IFERROR(VALUE(RIGHT(B307,2)),0)</f>
        <v>9</v>
      </c>
      <c r="L307" s="42" t="str">
        <f aca="false">IFERROR(INDEX(Calendar!$E$2:$E$25,MATCH(B307,Calendar!$A$2:$A$25,0)),"UNMATCHED")</f>
        <v>Actual</v>
      </c>
      <c r="M307" s="42" t="n">
        <f aca="false">Sales_Transactions!F307</f>
        <v>181</v>
      </c>
      <c r="N307" s="52" t="n">
        <f aca="false">Sales_Transactions!I307</f>
        <v>46962.26</v>
      </c>
      <c r="O307" s="52" t="n">
        <f aca="false">Sales_Transactions!J307</f>
        <v>27915.63</v>
      </c>
      <c r="P307" s="52" t="n">
        <f aca="false">Sales_Transactions!K307</f>
        <v>19046.63</v>
      </c>
      <c r="Q307" s="42" t="n">
        <f aca="false">IF(ISNUMBER(MATCH(E307,Product_Master!$A$2:$A$9,0)),0,1)</f>
        <v>0</v>
      </c>
      <c r="R307" s="42" t="n">
        <f aca="false">IF(ISNUMBER(MATCH(D307,Customer_Master!$A$2:$A$49,0)),0,1)</f>
        <v>0</v>
      </c>
      <c r="S307" s="42" t="n">
        <f aca="false">IF(ISNUMBER(MATCH(B307,Calendar!$A$2:$A$25,0)),0,1)</f>
        <v>0</v>
      </c>
      <c r="T307" s="42" t="n">
        <f aca="false">IF(COUNTIF(Sales_Transactions!$A$2:$A$865,A307)&gt;1,1,0)</f>
        <v>0</v>
      </c>
      <c r="U307" s="42" t="n">
        <f aca="false">IF(OR(ABS(Sales_Transactions!F307*Sales_Transactions!G307-Sales_Transactions!I307)&gt;0.01,ABS(Sales_Transactions!F307*Sales_Transactions!H307-Sales_Transactions!J307)&gt;0.01,ABS(Sales_Transactions!I307-Sales_Transactions!J307-Sales_Transactions!K307)&gt;0.01),1,0)</f>
        <v>0</v>
      </c>
      <c r="V307" s="42" t="n">
        <f aca="false">IF(C307&lt;&gt;L307,1,0)</f>
        <v>0</v>
      </c>
      <c r="W307" s="42" t="n">
        <f aca="false">IF(SUM(Q307:V307)&gt;0,1,0)</f>
        <v>0</v>
      </c>
    </row>
    <row r="308" customFormat="false" ht="15" hidden="false" customHeight="false" outlineLevel="0" collapsed="false">
      <c r="A308" s="42" t="str">
        <f aca="false">Sales_Transactions!A308</f>
        <v>INV-09-019</v>
      </c>
      <c r="B308" s="42" t="str">
        <f aca="false">Sales_Transactions!B308</f>
        <v>2025-09</v>
      </c>
      <c r="C308" s="42" t="str">
        <f aca="false">Sales_Transactions!C308</f>
        <v>Actual</v>
      </c>
      <c r="D308" s="42" t="str">
        <f aca="false">Sales_Transactions!D308</f>
        <v>C007</v>
      </c>
      <c r="E308" s="42" t="str">
        <f aca="false">Sales_Transactions!E308</f>
        <v>P003</v>
      </c>
      <c r="F308" s="42" t="str">
        <f aca="false">IFERROR(INDEX(Customer_Master!$C$2:$C$49,MATCH(D308,Customer_Master!$A$2:$A$49,0)),"UNMATCHED")</f>
        <v>West</v>
      </c>
      <c r="G308" s="42" t="str">
        <f aca="false">IFERROR(INDEX(Customer_Master!$D$2:$D$49,MATCH(D308,Customer_Master!$A$2:$A$49,0)),"UNMATCHED")</f>
        <v>Distributor</v>
      </c>
      <c r="H308" s="42" t="str">
        <f aca="false">IFERROR(INDEX(Product_Master!$C$2:$C$9,MATCH(E308,Product_Master!$A$2:$A$9,0)),"UNMATCHED")</f>
        <v>Personal Care</v>
      </c>
      <c r="I308" s="42" t="str">
        <f aca="false">IFERROR(INDEX(Product_Master!$B$2:$B$9,MATCH(E308,Product_Master!$A$2:$A$9,0)),"UNMATCHED")</f>
        <v>Shampoo 400ml</v>
      </c>
      <c r="J308" s="42" t="n">
        <f aca="false">IFERROR(INDEX(Calendar!$B$2:$B$25,MATCH(B308,Calendar!$A$2:$A$25,0)),0)</f>
        <v>2025</v>
      </c>
      <c r="K308" s="42" t="n">
        <f aca="false">IFERROR(VALUE(RIGHT(B308,2)),0)</f>
        <v>9</v>
      </c>
      <c r="L308" s="42" t="str">
        <f aca="false">IFERROR(INDEX(Calendar!$E$2:$E$25,MATCH(B308,Calendar!$A$2:$A$25,0)),"UNMATCHED")</f>
        <v>Actual</v>
      </c>
      <c r="M308" s="42" t="n">
        <f aca="false">Sales_Transactions!F308</f>
        <v>281</v>
      </c>
      <c r="N308" s="52" t="n">
        <f aca="false">Sales_Transactions!I308</f>
        <v>72413.7</v>
      </c>
      <c r="O308" s="52" t="n">
        <f aca="false">Sales_Transactions!J308</f>
        <v>50599.67</v>
      </c>
      <c r="P308" s="52" t="n">
        <f aca="false">Sales_Transactions!K308</f>
        <v>21814.03</v>
      </c>
      <c r="Q308" s="42" t="n">
        <f aca="false">IF(ISNUMBER(MATCH(E308,Product_Master!$A$2:$A$9,0)),0,1)</f>
        <v>0</v>
      </c>
      <c r="R308" s="42" t="n">
        <f aca="false">IF(ISNUMBER(MATCH(D308,Customer_Master!$A$2:$A$49,0)),0,1)</f>
        <v>0</v>
      </c>
      <c r="S308" s="42" t="n">
        <f aca="false">IF(ISNUMBER(MATCH(B308,Calendar!$A$2:$A$25,0)),0,1)</f>
        <v>0</v>
      </c>
      <c r="T308" s="42" t="n">
        <f aca="false">IF(COUNTIF(Sales_Transactions!$A$2:$A$865,A308)&gt;1,1,0)</f>
        <v>0</v>
      </c>
      <c r="U308" s="42" t="n">
        <f aca="false">IF(OR(ABS(Sales_Transactions!F308*Sales_Transactions!G308-Sales_Transactions!I308)&gt;0.01,ABS(Sales_Transactions!F308*Sales_Transactions!H308-Sales_Transactions!J308)&gt;0.01,ABS(Sales_Transactions!I308-Sales_Transactions!J308-Sales_Transactions!K308)&gt;0.01),1,0)</f>
        <v>0</v>
      </c>
      <c r="V308" s="42" t="n">
        <f aca="false">IF(C308&lt;&gt;L308,1,0)</f>
        <v>0</v>
      </c>
      <c r="W308" s="42" t="n">
        <f aca="false">IF(SUM(Q308:V308)&gt;0,1,0)</f>
        <v>0</v>
      </c>
    </row>
    <row r="309" customFormat="false" ht="15" hidden="false" customHeight="false" outlineLevel="0" collapsed="false">
      <c r="A309" s="42" t="str">
        <f aca="false">Sales_Transactions!A309</f>
        <v>INV-09-020</v>
      </c>
      <c r="B309" s="42" t="str">
        <f aca="false">Sales_Transactions!B309</f>
        <v>2025-09</v>
      </c>
      <c r="C309" s="42" t="str">
        <f aca="false">Sales_Transactions!C309</f>
        <v>Actual</v>
      </c>
      <c r="D309" s="42" t="str">
        <f aca="false">Sales_Transactions!D309</f>
        <v>C014</v>
      </c>
      <c r="E309" s="42" t="str">
        <f aca="false">Sales_Transactions!E309</f>
        <v>P008</v>
      </c>
      <c r="F309" s="42" t="str">
        <f aca="false">IFERROR(INDEX(Customer_Master!$C$2:$C$49,MATCH(D309,Customer_Master!$A$2:$A$49,0)),"UNMATCHED")</f>
        <v>North</v>
      </c>
      <c r="G309" s="42" t="str">
        <f aca="false">IFERROR(INDEX(Customer_Master!$D$2:$D$49,MATCH(D309,Customer_Master!$A$2:$A$49,0)),"UNMATCHED")</f>
        <v>Modern Trade</v>
      </c>
      <c r="H309" s="42" t="str">
        <f aca="false">IFERROR(INDEX(Product_Master!$C$2:$C$9,MATCH(E309,Product_Master!$A$2:$A$9,0)),"UNMATCHED")</f>
        <v>Personal Care</v>
      </c>
      <c r="I309" s="42" t="str">
        <f aca="false">IFERROR(INDEX(Product_Master!$B$2:$B$9,MATCH(E309,Product_Master!$A$2:$A$9,0)),"UNMATCHED")</f>
        <v>Body Lotion</v>
      </c>
      <c r="J309" s="42" t="n">
        <f aca="false">IFERROR(INDEX(Calendar!$B$2:$B$25,MATCH(B309,Calendar!$A$2:$A$25,0)),0)</f>
        <v>2025</v>
      </c>
      <c r="K309" s="42" t="n">
        <f aca="false">IFERROR(VALUE(RIGHT(B309,2)),0)</f>
        <v>9</v>
      </c>
      <c r="L309" s="42" t="str">
        <f aca="false">IFERROR(INDEX(Calendar!$E$2:$E$25,MATCH(B309,Calendar!$A$2:$A$25,0)),"UNMATCHED")</f>
        <v>Actual</v>
      </c>
      <c r="M309" s="42" t="n">
        <f aca="false">Sales_Transactions!F309</f>
        <v>107</v>
      </c>
      <c r="N309" s="52" t="n">
        <f aca="false">Sales_Transactions!I309</f>
        <v>32387.83</v>
      </c>
      <c r="O309" s="52" t="n">
        <f aca="false">Sales_Transactions!J309</f>
        <v>21975.66</v>
      </c>
      <c r="P309" s="52" t="n">
        <f aca="false">Sales_Transactions!K309</f>
        <v>10412.17</v>
      </c>
      <c r="Q309" s="42" t="n">
        <f aca="false">IF(ISNUMBER(MATCH(E309,Product_Master!$A$2:$A$9,0)),0,1)</f>
        <v>0</v>
      </c>
      <c r="R309" s="42" t="n">
        <f aca="false">IF(ISNUMBER(MATCH(D309,Customer_Master!$A$2:$A$49,0)),0,1)</f>
        <v>0</v>
      </c>
      <c r="S309" s="42" t="n">
        <f aca="false">IF(ISNUMBER(MATCH(B309,Calendar!$A$2:$A$25,0)),0,1)</f>
        <v>0</v>
      </c>
      <c r="T309" s="42" t="n">
        <f aca="false">IF(COUNTIF(Sales_Transactions!$A$2:$A$865,A309)&gt;1,1,0)</f>
        <v>0</v>
      </c>
      <c r="U309" s="42" t="n">
        <f aca="false">IF(OR(ABS(Sales_Transactions!F309*Sales_Transactions!G309-Sales_Transactions!I309)&gt;0.01,ABS(Sales_Transactions!F309*Sales_Transactions!H309-Sales_Transactions!J309)&gt;0.01,ABS(Sales_Transactions!I309-Sales_Transactions!J309-Sales_Transactions!K309)&gt;0.01),1,0)</f>
        <v>0</v>
      </c>
      <c r="V309" s="42" t="n">
        <f aca="false">IF(C309&lt;&gt;L309,1,0)</f>
        <v>0</v>
      </c>
      <c r="W309" s="42" t="n">
        <f aca="false">IF(SUM(Q309:V309)&gt;0,1,0)</f>
        <v>0</v>
      </c>
    </row>
    <row r="310" customFormat="false" ht="15" hidden="false" customHeight="false" outlineLevel="0" collapsed="false">
      <c r="A310" s="42" t="str">
        <f aca="false">Sales_Transactions!A310</f>
        <v>INV-09-021</v>
      </c>
      <c r="B310" s="42" t="str">
        <f aca="false">Sales_Transactions!B310</f>
        <v>2025-09</v>
      </c>
      <c r="C310" s="42" t="str">
        <f aca="false">Sales_Transactions!C310</f>
        <v>Actual</v>
      </c>
      <c r="D310" s="42" t="str">
        <f aca="false">Sales_Transactions!D310</f>
        <v>C021</v>
      </c>
      <c r="E310" s="42" t="str">
        <f aca="false">Sales_Transactions!E310</f>
        <v>P005</v>
      </c>
      <c r="F310" s="42" t="str">
        <f aca="false">IFERROR(INDEX(Customer_Master!$C$2:$C$49,MATCH(D310,Customer_Master!$A$2:$A$49,0)),"UNMATCHED")</f>
        <v>South</v>
      </c>
      <c r="G310" s="42" t="str">
        <f aca="false">IFERROR(INDEX(Customer_Master!$D$2:$D$49,MATCH(D310,Customer_Master!$A$2:$A$49,0)),"UNMATCHED")</f>
        <v>Retail</v>
      </c>
      <c r="H310" s="42" t="str">
        <f aca="false">IFERROR(INDEX(Product_Master!$C$2:$C$9,MATCH(E310,Product_Master!$A$2:$A$9,0)),"UNMATCHED")</f>
        <v>Foods</v>
      </c>
      <c r="I310" s="42" t="str">
        <f aca="false">IFERROR(INDEX(Product_Master!$B$2:$B$9,MATCH(E310,Product_Master!$A$2:$A$9,0)),"UNMATCHED")</f>
        <v>Biscuits 500g</v>
      </c>
      <c r="J310" s="42" t="n">
        <f aca="false">IFERROR(INDEX(Calendar!$B$2:$B$25,MATCH(B310,Calendar!$A$2:$A$25,0)),0)</f>
        <v>2025</v>
      </c>
      <c r="K310" s="42" t="n">
        <f aca="false">IFERROR(VALUE(RIGHT(B310,2)),0)</f>
        <v>9</v>
      </c>
      <c r="L310" s="42" t="str">
        <f aca="false">IFERROR(INDEX(Calendar!$E$2:$E$25,MATCH(B310,Calendar!$A$2:$A$25,0)),"UNMATCHED")</f>
        <v>Actual</v>
      </c>
      <c r="M310" s="42" t="n">
        <f aca="false">Sales_Transactions!F310</f>
        <v>280</v>
      </c>
      <c r="N310" s="52" t="n">
        <f aca="false">Sales_Transactions!I310</f>
        <v>28957.6</v>
      </c>
      <c r="O310" s="52" t="n">
        <f aca="false">Sales_Transactions!J310</f>
        <v>19504.8</v>
      </c>
      <c r="P310" s="52" t="n">
        <f aca="false">Sales_Transactions!K310</f>
        <v>9452.8</v>
      </c>
      <c r="Q310" s="42" t="n">
        <f aca="false">IF(ISNUMBER(MATCH(E310,Product_Master!$A$2:$A$9,0)),0,1)</f>
        <v>0</v>
      </c>
      <c r="R310" s="42" t="n">
        <f aca="false">IF(ISNUMBER(MATCH(D310,Customer_Master!$A$2:$A$49,0)),0,1)</f>
        <v>0</v>
      </c>
      <c r="S310" s="42" t="n">
        <f aca="false">IF(ISNUMBER(MATCH(B310,Calendar!$A$2:$A$25,0)),0,1)</f>
        <v>0</v>
      </c>
      <c r="T310" s="42" t="n">
        <f aca="false">IF(COUNTIF(Sales_Transactions!$A$2:$A$865,A310)&gt;1,1,0)</f>
        <v>0</v>
      </c>
      <c r="U310" s="42" t="n">
        <f aca="false">IF(OR(ABS(Sales_Transactions!F310*Sales_Transactions!G310-Sales_Transactions!I310)&gt;0.01,ABS(Sales_Transactions!F310*Sales_Transactions!H310-Sales_Transactions!J310)&gt;0.01,ABS(Sales_Transactions!I310-Sales_Transactions!J310-Sales_Transactions!K310)&gt;0.01),1,0)</f>
        <v>0</v>
      </c>
      <c r="V310" s="42" t="n">
        <f aca="false">IF(C310&lt;&gt;L310,1,0)</f>
        <v>0</v>
      </c>
      <c r="W310" s="42" t="n">
        <f aca="false">IF(SUM(Q310:V310)&gt;0,1,0)</f>
        <v>0</v>
      </c>
    </row>
    <row r="311" customFormat="false" ht="15" hidden="false" customHeight="false" outlineLevel="0" collapsed="false">
      <c r="A311" s="42" t="str">
        <f aca="false">Sales_Transactions!A311</f>
        <v>INV-09-022</v>
      </c>
      <c r="B311" s="42" t="str">
        <f aca="false">Sales_Transactions!B311</f>
        <v>2025-09</v>
      </c>
      <c r="C311" s="42" t="str">
        <f aca="false">Sales_Transactions!C311</f>
        <v>Actual</v>
      </c>
      <c r="D311" s="42" t="str">
        <f aca="false">Sales_Transactions!D311</f>
        <v>C028</v>
      </c>
      <c r="E311" s="42" t="str">
        <f aca="false">Sales_Transactions!E311</f>
        <v>P002</v>
      </c>
      <c r="F311" s="42" t="str">
        <f aca="false">IFERROR(INDEX(Customer_Master!$C$2:$C$49,MATCH(D311,Customer_Master!$A$2:$A$49,0)),"UNMATCHED")</f>
        <v>East</v>
      </c>
      <c r="G311" s="42" t="str">
        <f aca="false">IFERROR(INDEX(Customer_Master!$D$2:$D$49,MATCH(D311,Customer_Master!$A$2:$A$49,0)),"UNMATCHED")</f>
        <v>Distributor</v>
      </c>
      <c r="H311" s="42" t="str">
        <f aca="false">IFERROR(INDEX(Product_Master!$C$2:$C$9,MATCH(E311,Product_Master!$A$2:$A$9,0)),"UNMATCHED")</f>
        <v>Home Care</v>
      </c>
      <c r="I311" s="42" t="str">
        <f aca="false">IFERROR(INDEX(Product_Master!$B$2:$B$9,MATCH(E311,Product_Master!$A$2:$A$9,0)),"UNMATCHED")</f>
        <v>Dishwash Gel</v>
      </c>
      <c r="J311" s="42" t="n">
        <f aca="false">IFERROR(INDEX(Calendar!$B$2:$B$25,MATCH(B311,Calendar!$A$2:$A$25,0)),0)</f>
        <v>2025</v>
      </c>
      <c r="K311" s="42" t="n">
        <f aca="false">IFERROR(VALUE(RIGHT(B311,2)),0)</f>
        <v>9</v>
      </c>
      <c r="L311" s="42" t="str">
        <f aca="false">IFERROR(INDEX(Calendar!$E$2:$E$25,MATCH(B311,Calendar!$A$2:$A$25,0)),"UNMATCHED")</f>
        <v>Actual</v>
      </c>
      <c r="M311" s="42" t="n">
        <f aca="false">Sales_Transactions!F311</f>
        <v>418</v>
      </c>
      <c r="N311" s="52" t="n">
        <f aca="false">Sales_Transactions!I311</f>
        <v>61671.72</v>
      </c>
      <c r="O311" s="52" t="n">
        <f aca="false">Sales_Transactions!J311</f>
        <v>34940.62</v>
      </c>
      <c r="P311" s="52" t="n">
        <f aca="false">Sales_Transactions!K311</f>
        <v>26731.1</v>
      </c>
      <c r="Q311" s="42" t="n">
        <f aca="false">IF(ISNUMBER(MATCH(E311,Product_Master!$A$2:$A$9,0)),0,1)</f>
        <v>0</v>
      </c>
      <c r="R311" s="42" t="n">
        <f aca="false">IF(ISNUMBER(MATCH(D311,Customer_Master!$A$2:$A$49,0)),0,1)</f>
        <v>0</v>
      </c>
      <c r="S311" s="42" t="n">
        <f aca="false">IF(ISNUMBER(MATCH(B311,Calendar!$A$2:$A$25,0)),0,1)</f>
        <v>0</v>
      </c>
      <c r="T311" s="42" t="n">
        <f aca="false">IF(COUNTIF(Sales_Transactions!$A$2:$A$865,A311)&gt;1,1,0)</f>
        <v>0</v>
      </c>
      <c r="U311" s="42" t="n">
        <f aca="false">IF(OR(ABS(Sales_Transactions!F311*Sales_Transactions!G311-Sales_Transactions!I311)&gt;0.01,ABS(Sales_Transactions!F311*Sales_Transactions!H311-Sales_Transactions!J311)&gt;0.01,ABS(Sales_Transactions!I311-Sales_Transactions!J311-Sales_Transactions!K311)&gt;0.01),1,0)</f>
        <v>0</v>
      </c>
      <c r="V311" s="42" t="n">
        <f aca="false">IF(C311&lt;&gt;L311,1,0)</f>
        <v>0</v>
      </c>
      <c r="W311" s="42" t="n">
        <f aca="false">IF(SUM(Q311:V311)&gt;0,1,0)</f>
        <v>0</v>
      </c>
    </row>
    <row r="312" customFormat="false" ht="15" hidden="false" customHeight="false" outlineLevel="0" collapsed="false">
      <c r="A312" s="42" t="str">
        <f aca="false">Sales_Transactions!A312</f>
        <v>INV-09-023</v>
      </c>
      <c r="B312" s="42" t="str">
        <f aca="false">Sales_Transactions!B312</f>
        <v>2025-09</v>
      </c>
      <c r="C312" s="42" t="str">
        <f aca="false">Sales_Transactions!C312</f>
        <v>Actual</v>
      </c>
      <c r="D312" s="42" t="str">
        <f aca="false">Sales_Transactions!D312</f>
        <v>C035</v>
      </c>
      <c r="E312" s="42" t="str">
        <f aca="false">Sales_Transactions!E312</f>
        <v>P007</v>
      </c>
      <c r="F312" s="42" t="str">
        <f aca="false">IFERROR(INDEX(Customer_Master!$C$2:$C$49,MATCH(D312,Customer_Master!$A$2:$A$49,0)),"UNMATCHED")</f>
        <v>West</v>
      </c>
      <c r="G312" s="42" t="str">
        <f aca="false">IFERROR(INDEX(Customer_Master!$D$2:$D$49,MATCH(D312,Customer_Master!$A$2:$A$49,0)),"UNMATCHED")</f>
        <v>Modern Trade</v>
      </c>
      <c r="H312" s="42" t="str">
        <f aca="false">IFERROR(INDEX(Product_Master!$C$2:$C$9,MATCH(E312,Product_Master!$A$2:$A$9,0)),"UNMATCHED")</f>
        <v>Home Care</v>
      </c>
      <c r="I312" s="42" t="str">
        <f aca="false">IFERROR(INDEX(Product_Master!$B$2:$B$9,MATCH(E312,Product_Master!$A$2:$A$9,0)),"UNMATCHED")</f>
        <v>Floor Cleaner</v>
      </c>
      <c r="J312" s="42" t="n">
        <f aca="false">IFERROR(INDEX(Calendar!$B$2:$B$25,MATCH(B312,Calendar!$A$2:$A$25,0)),0)</f>
        <v>2025</v>
      </c>
      <c r="K312" s="42" t="n">
        <f aca="false">IFERROR(VALUE(RIGHT(B312,2)),0)</f>
        <v>9</v>
      </c>
      <c r="L312" s="42" t="str">
        <f aca="false">IFERROR(INDEX(Calendar!$E$2:$E$25,MATCH(B312,Calendar!$A$2:$A$25,0)),"UNMATCHED")</f>
        <v>Actual</v>
      </c>
      <c r="M312" s="42" t="n">
        <f aca="false">Sales_Transactions!F312</f>
        <v>103</v>
      </c>
      <c r="N312" s="52" t="n">
        <f aca="false">Sales_Transactions!I312</f>
        <v>17738.66</v>
      </c>
      <c r="O312" s="52" t="n">
        <f aca="false">Sales_Transactions!J312</f>
        <v>12410.47</v>
      </c>
      <c r="P312" s="52" t="n">
        <f aca="false">Sales_Transactions!K312</f>
        <v>5328.19</v>
      </c>
      <c r="Q312" s="42" t="n">
        <f aca="false">IF(ISNUMBER(MATCH(E312,Product_Master!$A$2:$A$9,0)),0,1)</f>
        <v>0</v>
      </c>
      <c r="R312" s="42" t="n">
        <f aca="false">IF(ISNUMBER(MATCH(D312,Customer_Master!$A$2:$A$49,0)),0,1)</f>
        <v>0</v>
      </c>
      <c r="S312" s="42" t="n">
        <f aca="false">IF(ISNUMBER(MATCH(B312,Calendar!$A$2:$A$25,0)),0,1)</f>
        <v>0</v>
      </c>
      <c r="T312" s="42" t="n">
        <f aca="false">IF(COUNTIF(Sales_Transactions!$A$2:$A$865,A312)&gt;1,1,0)</f>
        <v>0</v>
      </c>
      <c r="U312" s="42" t="n">
        <f aca="false">IF(OR(ABS(Sales_Transactions!F312*Sales_Transactions!G312-Sales_Transactions!I312)&gt;0.01,ABS(Sales_Transactions!F312*Sales_Transactions!H312-Sales_Transactions!J312)&gt;0.01,ABS(Sales_Transactions!I312-Sales_Transactions!J312-Sales_Transactions!K312)&gt;0.01),1,0)</f>
        <v>0</v>
      </c>
      <c r="V312" s="42" t="n">
        <f aca="false">IF(C312&lt;&gt;L312,1,0)</f>
        <v>0</v>
      </c>
      <c r="W312" s="42" t="n">
        <f aca="false">IF(SUM(Q312:V312)&gt;0,1,0)</f>
        <v>0</v>
      </c>
    </row>
    <row r="313" customFormat="false" ht="15" hidden="false" customHeight="false" outlineLevel="0" collapsed="false">
      <c r="A313" s="42" t="str">
        <f aca="false">Sales_Transactions!A313</f>
        <v>INV-09-024</v>
      </c>
      <c r="B313" s="42" t="str">
        <f aca="false">Sales_Transactions!B313</f>
        <v>2025-09</v>
      </c>
      <c r="C313" s="42" t="str">
        <f aca="false">Sales_Transactions!C313</f>
        <v>Actual</v>
      </c>
      <c r="D313" s="42" t="str">
        <f aca="false">Sales_Transactions!D313</f>
        <v>C042</v>
      </c>
      <c r="E313" s="42" t="str">
        <f aca="false">Sales_Transactions!E313</f>
        <v>P004</v>
      </c>
      <c r="F313" s="42" t="str">
        <f aca="false">IFERROR(INDEX(Customer_Master!$C$2:$C$49,MATCH(D313,Customer_Master!$A$2:$A$49,0)),"UNMATCHED")</f>
        <v>North</v>
      </c>
      <c r="G313" s="42" t="str">
        <f aca="false">IFERROR(INDEX(Customer_Master!$D$2:$D$49,MATCH(D313,Customer_Master!$A$2:$A$49,0)),"UNMATCHED")</f>
        <v>Retail</v>
      </c>
      <c r="H313" s="42" t="str">
        <f aca="false">IFERROR(INDEX(Product_Master!$C$2:$C$9,MATCH(E313,Product_Master!$A$2:$A$9,0)),"UNMATCHED")</f>
        <v>Personal Care</v>
      </c>
      <c r="I313" s="42" t="str">
        <f aca="false">IFERROR(INDEX(Product_Master!$B$2:$B$9,MATCH(E313,Product_Master!$A$2:$A$9,0)),"UNMATCHED")</f>
        <v>Soap 4-pack</v>
      </c>
      <c r="J313" s="42" t="n">
        <f aca="false">IFERROR(INDEX(Calendar!$B$2:$B$25,MATCH(B313,Calendar!$A$2:$A$25,0)),0)</f>
        <v>2025</v>
      </c>
      <c r="K313" s="42" t="n">
        <f aca="false">IFERROR(VALUE(RIGHT(B313,2)),0)</f>
        <v>9</v>
      </c>
      <c r="L313" s="42" t="str">
        <f aca="false">IFERROR(INDEX(Calendar!$E$2:$E$25,MATCH(B313,Calendar!$A$2:$A$25,0)),"UNMATCHED")</f>
        <v>Actual</v>
      </c>
      <c r="M313" s="42" t="n">
        <f aca="false">Sales_Transactions!F313</f>
        <v>254</v>
      </c>
      <c r="N313" s="52" t="n">
        <f aca="false">Sales_Transactions!I313</f>
        <v>44587.16</v>
      </c>
      <c r="O313" s="52" t="n">
        <f aca="false">Sales_Transactions!J313</f>
        <v>25966.42</v>
      </c>
      <c r="P313" s="52" t="n">
        <f aca="false">Sales_Transactions!K313</f>
        <v>18620.74</v>
      </c>
      <c r="Q313" s="42" t="n">
        <f aca="false">IF(ISNUMBER(MATCH(E313,Product_Master!$A$2:$A$9,0)),0,1)</f>
        <v>0</v>
      </c>
      <c r="R313" s="42" t="n">
        <f aca="false">IF(ISNUMBER(MATCH(D313,Customer_Master!$A$2:$A$49,0)),0,1)</f>
        <v>0</v>
      </c>
      <c r="S313" s="42" t="n">
        <f aca="false">IF(ISNUMBER(MATCH(B313,Calendar!$A$2:$A$25,0)),0,1)</f>
        <v>0</v>
      </c>
      <c r="T313" s="42" t="n">
        <f aca="false">IF(COUNTIF(Sales_Transactions!$A$2:$A$865,A313)&gt;1,1,0)</f>
        <v>0</v>
      </c>
      <c r="U313" s="42" t="n">
        <f aca="false">IF(OR(ABS(Sales_Transactions!F313*Sales_Transactions!G313-Sales_Transactions!I313)&gt;0.01,ABS(Sales_Transactions!F313*Sales_Transactions!H313-Sales_Transactions!J313)&gt;0.01,ABS(Sales_Transactions!I313-Sales_Transactions!J313-Sales_Transactions!K313)&gt;0.01),1,0)</f>
        <v>0</v>
      </c>
      <c r="V313" s="42" t="n">
        <f aca="false">IF(C313&lt;&gt;L313,1,0)</f>
        <v>0</v>
      </c>
      <c r="W313" s="42" t="n">
        <f aca="false">IF(SUM(Q313:V313)&gt;0,1,0)</f>
        <v>0</v>
      </c>
    </row>
    <row r="314" customFormat="false" ht="15" hidden="false" customHeight="false" outlineLevel="0" collapsed="false">
      <c r="A314" s="42" t="str">
        <f aca="false">Sales_Transactions!A314</f>
        <v>INV-09-025</v>
      </c>
      <c r="B314" s="42" t="str">
        <f aca="false">Sales_Transactions!B314</f>
        <v>2025-09</v>
      </c>
      <c r="C314" s="42" t="str">
        <f aca="false">Sales_Transactions!C314</f>
        <v>Actual</v>
      </c>
      <c r="D314" s="42" t="str">
        <f aca="false">Sales_Transactions!D314</f>
        <v>C001</v>
      </c>
      <c r="E314" s="42" t="str">
        <f aca="false">Sales_Transactions!E314</f>
        <v>P001</v>
      </c>
      <c r="F314" s="42" t="str">
        <f aca="false">IFERROR(INDEX(Customer_Master!$C$2:$C$49,MATCH(D314,Customer_Master!$A$2:$A$49,0)),"UNMATCHED")</f>
        <v>South</v>
      </c>
      <c r="G314" s="42" t="str">
        <f aca="false">IFERROR(INDEX(Customer_Master!$D$2:$D$49,MATCH(D314,Customer_Master!$A$2:$A$49,0)),"UNMATCHED")</f>
        <v>Distributor</v>
      </c>
      <c r="H314" s="42" t="str">
        <f aca="false">IFERROR(INDEX(Product_Master!$C$2:$C$9,MATCH(E314,Product_Master!$A$2:$A$9,0)),"UNMATCHED")</f>
        <v>Home Care</v>
      </c>
      <c r="I314" s="42" t="str">
        <f aca="false">IFERROR(INDEX(Product_Master!$B$2:$B$9,MATCH(E314,Product_Master!$A$2:$A$9,0)),"UNMATCHED")</f>
        <v>Detergent 1kg</v>
      </c>
      <c r="J314" s="42" t="n">
        <f aca="false">IFERROR(INDEX(Calendar!$B$2:$B$25,MATCH(B314,Calendar!$A$2:$A$25,0)),0)</f>
        <v>2025</v>
      </c>
      <c r="K314" s="42" t="n">
        <f aca="false">IFERROR(VALUE(RIGHT(B314,2)),0)</f>
        <v>9</v>
      </c>
      <c r="L314" s="42" t="str">
        <f aca="false">IFERROR(INDEX(Calendar!$E$2:$E$25,MATCH(B314,Calendar!$A$2:$A$25,0)),"UNMATCHED")</f>
        <v>Actual</v>
      </c>
      <c r="M314" s="42" t="n">
        <f aca="false">Sales_Transactions!F314</f>
        <v>310</v>
      </c>
      <c r="N314" s="52" t="n">
        <f aca="false">Sales_Transactions!I314</f>
        <v>58782.2</v>
      </c>
      <c r="O314" s="52" t="n">
        <f aca="false">Sales_Transactions!J314</f>
        <v>43753.4</v>
      </c>
      <c r="P314" s="52" t="n">
        <f aca="false">Sales_Transactions!K314</f>
        <v>15028.8</v>
      </c>
      <c r="Q314" s="42" t="n">
        <f aca="false">IF(ISNUMBER(MATCH(E314,Product_Master!$A$2:$A$9,0)),0,1)</f>
        <v>0</v>
      </c>
      <c r="R314" s="42" t="n">
        <f aca="false">IF(ISNUMBER(MATCH(D314,Customer_Master!$A$2:$A$49,0)),0,1)</f>
        <v>0</v>
      </c>
      <c r="S314" s="42" t="n">
        <f aca="false">IF(ISNUMBER(MATCH(B314,Calendar!$A$2:$A$25,0)),0,1)</f>
        <v>0</v>
      </c>
      <c r="T314" s="42" t="n">
        <f aca="false">IF(COUNTIF(Sales_Transactions!$A$2:$A$865,A314)&gt;1,1,0)</f>
        <v>0</v>
      </c>
      <c r="U314" s="42" t="n">
        <f aca="false">IF(OR(ABS(Sales_Transactions!F314*Sales_Transactions!G314-Sales_Transactions!I314)&gt;0.01,ABS(Sales_Transactions!F314*Sales_Transactions!H314-Sales_Transactions!J314)&gt;0.01,ABS(Sales_Transactions!I314-Sales_Transactions!J314-Sales_Transactions!K314)&gt;0.01),1,0)</f>
        <v>0</v>
      </c>
      <c r="V314" s="42" t="n">
        <f aca="false">IF(C314&lt;&gt;L314,1,0)</f>
        <v>0</v>
      </c>
      <c r="W314" s="42" t="n">
        <f aca="false">IF(SUM(Q314:V314)&gt;0,1,0)</f>
        <v>0</v>
      </c>
    </row>
    <row r="315" customFormat="false" ht="15" hidden="false" customHeight="false" outlineLevel="0" collapsed="false">
      <c r="A315" s="42" t="str">
        <f aca="false">Sales_Transactions!A315</f>
        <v>INV-09-026</v>
      </c>
      <c r="B315" s="42" t="str">
        <f aca="false">Sales_Transactions!B315</f>
        <v>2025-09</v>
      </c>
      <c r="C315" s="42" t="str">
        <f aca="false">Sales_Transactions!C315</f>
        <v>Actual</v>
      </c>
      <c r="D315" s="42" t="str">
        <f aca="false">Sales_Transactions!D315</f>
        <v>C008</v>
      </c>
      <c r="E315" s="42" t="str">
        <f aca="false">Sales_Transactions!E315</f>
        <v>P006</v>
      </c>
      <c r="F315" s="42" t="str">
        <f aca="false">IFERROR(INDEX(Customer_Master!$C$2:$C$49,MATCH(D315,Customer_Master!$A$2:$A$49,0)),"UNMATCHED")</f>
        <v>East</v>
      </c>
      <c r="G315" s="42" t="str">
        <f aca="false">IFERROR(INDEX(Customer_Master!$D$2:$D$49,MATCH(D315,Customer_Master!$A$2:$A$49,0)),"UNMATCHED")</f>
        <v>Modern Trade</v>
      </c>
      <c r="H315" s="42" t="str">
        <f aca="false">IFERROR(INDEX(Product_Master!$C$2:$C$9,MATCH(E315,Product_Master!$A$2:$A$9,0)),"UNMATCHED")</f>
        <v>Foods</v>
      </c>
      <c r="I315" s="42" t="str">
        <f aca="false">IFERROR(INDEX(Product_Master!$B$2:$B$9,MATCH(E315,Product_Master!$A$2:$A$9,0)),"UNMATCHED")</f>
        <v>Breakfast Cereal</v>
      </c>
      <c r="J315" s="42" t="n">
        <f aca="false">IFERROR(INDEX(Calendar!$B$2:$B$25,MATCH(B315,Calendar!$A$2:$A$25,0)),0)</f>
        <v>2025</v>
      </c>
      <c r="K315" s="42" t="n">
        <f aca="false">IFERROR(VALUE(RIGHT(B315,2)),0)</f>
        <v>9</v>
      </c>
      <c r="L315" s="42" t="str">
        <f aca="false">IFERROR(INDEX(Calendar!$E$2:$E$25,MATCH(B315,Calendar!$A$2:$A$25,0)),"UNMATCHED")</f>
        <v>Actual</v>
      </c>
      <c r="M315" s="42" t="n">
        <f aca="false">Sales_Transactions!F315</f>
        <v>92</v>
      </c>
      <c r="N315" s="52" t="n">
        <f aca="false">Sales_Transactions!I315</f>
        <v>23082.8</v>
      </c>
      <c r="O315" s="52" t="n">
        <f aca="false">Sales_Transactions!J315</f>
        <v>14483.56</v>
      </c>
      <c r="P315" s="52" t="n">
        <f aca="false">Sales_Transactions!K315</f>
        <v>8599.24</v>
      </c>
      <c r="Q315" s="42" t="n">
        <f aca="false">IF(ISNUMBER(MATCH(E315,Product_Master!$A$2:$A$9,0)),0,1)</f>
        <v>0</v>
      </c>
      <c r="R315" s="42" t="n">
        <f aca="false">IF(ISNUMBER(MATCH(D315,Customer_Master!$A$2:$A$49,0)),0,1)</f>
        <v>0</v>
      </c>
      <c r="S315" s="42" t="n">
        <f aca="false">IF(ISNUMBER(MATCH(B315,Calendar!$A$2:$A$25,0)),0,1)</f>
        <v>0</v>
      </c>
      <c r="T315" s="42" t="n">
        <f aca="false">IF(COUNTIF(Sales_Transactions!$A$2:$A$865,A315)&gt;1,1,0)</f>
        <v>0</v>
      </c>
      <c r="U315" s="42" t="n">
        <f aca="false">IF(OR(ABS(Sales_Transactions!F315*Sales_Transactions!G315-Sales_Transactions!I315)&gt;0.01,ABS(Sales_Transactions!F315*Sales_Transactions!H315-Sales_Transactions!J315)&gt;0.01,ABS(Sales_Transactions!I315-Sales_Transactions!J315-Sales_Transactions!K315)&gt;0.01),1,0)</f>
        <v>0</v>
      </c>
      <c r="V315" s="42" t="n">
        <f aca="false">IF(C315&lt;&gt;L315,1,0)</f>
        <v>0</v>
      </c>
      <c r="W315" s="42" t="n">
        <f aca="false">IF(SUM(Q315:V315)&gt;0,1,0)</f>
        <v>0</v>
      </c>
    </row>
    <row r="316" customFormat="false" ht="15" hidden="false" customHeight="false" outlineLevel="0" collapsed="false">
      <c r="A316" s="42" t="str">
        <f aca="false">Sales_Transactions!A316</f>
        <v>INV-09-027</v>
      </c>
      <c r="B316" s="42" t="str">
        <f aca="false">Sales_Transactions!B316</f>
        <v>2025-09</v>
      </c>
      <c r="C316" s="42" t="str">
        <f aca="false">Sales_Transactions!C316</f>
        <v>Actual</v>
      </c>
      <c r="D316" s="42" t="str">
        <f aca="false">Sales_Transactions!D316</f>
        <v>C015</v>
      </c>
      <c r="E316" s="42" t="str">
        <f aca="false">Sales_Transactions!E316</f>
        <v>P003</v>
      </c>
      <c r="F316" s="42" t="str">
        <f aca="false">IFERROR(INDEX(Customer_Master!$C$2:$C$49,MATCH(D316,Customer_Master!$A$2:$A$49,0)),"UNMATCHED")</f>
        <v>West</v>
      </c>
      <c r="G316" s="42" t="str">
        <f aca="false">IFERROR(INDEX(Customer_Master!$D$2:$D$49,MATCH(D316,Customer_Master!$A$2:$A$49,0)),"UNMATCHED")</f>
        <v>Retail</v>
      </c>
      <c r="H316" s="42" t="str">
        <f aca="false">IFERROR(INDEX(Product_Master!$C$2:$C$9,MATCH(E316,Product_Master!$A$2:$A$9,0)),"UNMATCHED")</f>
        <v>Personal Care</v>
      </c>
      <c r="I316" s="42" t="str">
        <f aca="false">IFERROR(INDEX(Product_Master!$B$2:$B$9,MATCH(E316,Product_Master!$A$2:$A$9,0)),"UNMATCHED")</f>
        <v>Shampoo 400ml</v>
      </c>
      <c r="J316" s="42" t="n">
        <f aca="false">IFERROR(INDEX(Calendar!$B$2:$B$25,MATCH(B316,Calendar!$A$2:$A$25,0)),0)</f>
        <v>2025</v>
      </c>
      <c r="K316" s="42" t="n">
        <f aca="false">IFERROR(VALUE(RIGHT(B316,2)),0)</f>
        <v>9</v>
      </c>
      <c r="L316" s="42" t="str">
        <f aca="false">IFERROR(INDEX(Calendar!$E$2:$E$25,MATCH(B316,Calendar!$A$2:$A$25,0)),"UNMATCHED")</f>
        <v>Actual</v>
      </c>
      <c r="M316" s="42" t="n">
        <f aca="false">Sales_Transactions!F316</f>
        <v>420</v>
      </c>
      <c r="N316" s="52" t="n">
        <f aca="false">Sales_Transactions!I316</f>
        <v>119494.2</v>
      </c>
      <c r="O316" s="52" t="n">
        <f aca="false">Sales_Transactions!J316</f>
        <v>69594</v>
      </c>
      <c r="P316" s="52" t="n">
        <f aca="false">Sales_Transactions!K316</f>
        <v>49900.2</v>
      </c>
      <c r="Q316" s="42" t="n">
        <f aca="false">IF(ISNUMBER(MATCH(E316,Product_Master!$A$2:$A$9,0)),0,1)</f>
        <v>0</v>
      </c>
      <c r="R316" s="42" t="n">
        <f aca="false">IF(ISNUMBER(MATCH(D316,Customer_Master!$A$2:$A$49,0)),0,1)</f>
        <v>0</v>
      </c>
      <c r="S316" s="42" t="n">
        <f aca="false">IF(ISNUMBER(MATCH(B316,Calendar!$A$2:$A$25,0)),0,1)</f>
        <v>0</v>
      </c>
      <c r="T316" s="42" t="n">
        <f aca="false">IF(COUNTIF(Sales_Transactions!$A$2:$A$865,A316)&gt;1,1,0)</f>
        <v>0</v>
      </c>
      <c r="U316" s="42" t="n">
        <f aca="false">IF(OR(ABS(Sales_Transactions!F316*Sales_Transactions!G316-Sales_Transactions!I316)&gt;0.01,ABS(Sales_Transactions!F316*Sales_Transactions!H316-Sales_Transactions!J316)&gt;0.01,ABS(Sales_Transactions!I316-Sales_Transactions!J316-Sales_Transactions!K316)&gt;0.01),1,0)</f>
        <v>0</v>
      </c>
      <c r="V316" s="42" t="n">
        <f aca="false">IF(C316&lt;&gt;L316,1,0)</f>
        <v>0</v>
      </c>
      <c r="W316" s="42" t="n">
        <f aca="false">IF(SUM(Q316:V316)&gt;0,1,0)</f>
        <v>0</v>
      </c>
    </row>
    <row r="317" customFormat="false" ht="15" hidden="false" customHeight="false" outlineLevel="0" collapsed="false">
      <c r="A317" s="42" t="str">
        <f aca="false">Sales_Transactions!A317</f>
        <v>INV-09-028</v>
      </c>
      <c r="B317" s="42" t="str">
        <f aca="false">Sales_Transactions!B317</f>
        <v>2025-09</v>
      </c>
      <c r="C317" s="42" t="str">
        <f aca="false">Sales_Transactions!C317</f>
        <v>Actual</v>
      </c>
      <c r="D317" s="42" t="str">
        <f aca="false">Sales_Transactions!D317</f>
        <v>C022</v>
      </c>
      <c r="E317" s="42" t="str">
        <f aca="false">Sales_Transactions!E317</f>
        <v>P008</v>
      </c>
      <c r="F317" s="42" t="str">
        <f aca="false">IFERROR(INDEX(Customer_Master!$C$2:$C$49,MATCH(D317,Customer_Master!$A$2:$A$49,0)),"UNMATCHED")</f>
        <v>North</v>
      </c>
      <c r="G317" s="42" t="str">
        <f aca="false">IFERROR(INDEX(Customer_Master!$D$2:$D$49,MATCH(D317,Customer_Master!$A$2:$A$49,0)),"UNMATCHED")</f>
        <v>Distributor</v>
      </c>
      <c r="H317" s="42" t="str">
        <f aca="false">IFERROR(INDEX(Product_Master!$C$2:$C$9,MATCH(E317,Product_Master!$A$2:$A$9,0)),"UNMATCHED")</f>
        <v>Personal Care</v>
      </c>
      <c r="I317" s="42" t="str">
        <f aca="false">IFERROR(INDEX(Product_Master!$B$2:$B$9,MATCH(E317,Product_Master!$A$2:$A$9,0)),"UNMATCHED")</f>
        <v>Body Lotion</v>
      </c>
      <c r="J317" s="42" t="n">
        <f aca="false">IFERROR(INDEX(Calendar!$B$2:$B$25,MATCH(B317,Calendar!$A$2:$A$25,0)),0)</f>
        <v>2025</v>
      </c>
      <c r="K317" s="42" t="n">
        <f aca="false">IFERROR(VALUE(RIGHT(B317,2)),0)</f>
        <v>9</v>
      </c>
      <c r="L317" s="42" t="str">
        <f aca="false">IFERROR(INDEX(Calendar!$E$2:$E$25,MATCH(B317,Calendar!$A$2:$A$25,0)),"UNMATCHED")</f>
        <v>Actual</v>
      </c>
      <c r="M317" s="42" t="n">
        <f aca="false">Sales_Transactions!F317</f>
        <v>220</v>
      </c>
      <c r="N317" s="52" t="n">
        <f aca="false">Sales_Transactions!I317</f>
        <v>66781</v>
      </c>
      <c r="O317" s="52" t="n">
        <f aca="false">Sales_Transactions!J317</f>
        <v>46356.2</v>
      </c>
      <c r="P317" s="52" t="n">
        <f aca="false">Sales_Transactions!K317</f>
        <v>20424.8</v>
      </c>
      <c r="Q317" s="42" t="n">
        <f aca="false">IF(ISNUMBER(MATCH(E317,Product_Master!$A$2:$A$9,0)),0,1)</f>
        <v>0</v>
      </c>
      <c r="R317" s="42" t="n">
        <f aca="false">IF(ISNUMBER(MATCH(D317,Customer_Master!$A$2:$A$49,0)),0,1)</f>
        <v>0</v>
      </c>
      <c r="S317" s="42" t="n">
        <f aca="false">IF(ISNUMBER(MATCH(B317,Calendar!$A$2:$A$25,0)),0,1)</f>
        <v>0</v>
      </c>
      <c r="T317" s="42" t="n">
        <f aca="false">IF(COUNTIF(Sales_Transactions!$A$2:$A$865,A317)&gt;1,1,0)</f>
        <v>0</v>
      </c>
      <c r="U317" s="42" t="n">
        <f aca="false">IF(OR(ABS(Sales_Transactions!F317*Sales_Transactions!G317-Sales_Transactions!I317)&gt;0.01,ABS(Sales_Transactions!F317*Sales_Transactions!H317-Sales_Transactions!J317)&gt;0.01,ABS(Sales_Transactions!I317-Sales_Transactions!J317-Sales_Transactions!K317)&gt;0.01),1,0)</f>
        <v>0</v>
      </c>
      <c r="V317" s="42" t="n">
        <f aca="false">IF(C317&lt;&gt;L317,1,0)</f>
        <v>0</v>
      </c>
      <c r="W317" s="42" t="n">
        <f aca="false">IF(SUM(Q317:V317)&gt;0,1,0)</f>
        <v>0</v>
      </c>
    </row>
    <row r="318" customFormat="false" ht="15" hidden="false" customHeight="false" outlineLevel="0" collapsed="false">
      <c r="A318" s="42" t="str">
        <f aca="false">Sales_Transactions!A318</f>
        <v>INV-09-029</v>
      </c>
      <c r="B318" s="42" t="str">
        <f aca="false">Sales_Transactions!B318</f>
        <v>2025-09</v>
      </c>
      <c r="C318" s="42" t="str">
        <f aca="false">Sales_Transactions!C318</f>
        <v>Actual</v>
      </c>
      <c r="D318" s="42" t="str">
        <f aca="false">Sales_Transactions!D318</f>
        <v>C029</v>
      </c>
      <c r="E318" s="42" t="str">
        <f aca="false">Sales_Transactions!E318</f>
        <v>P005</v>
      </c>
      <c r="F318" s="42" t="str">
        <f aca="false">IFERROR(INDEX(Customer_Master!$C$2:$C$49,MATCH(D318,Customer_Master!$A$2:$A$49,0)),"UNMATCHED")</f>
        <v>South</v>
      </c>
      <c r="G318" s="42" t="str">
        <f aca="false">IFERROR(INDEX(Customer_Master!$D$2:$D$49,MATCH(D318,Customer_Master!$A$2:$A$49,0)),"UNMATCHED")</f>
        <v>Modern Trade</v>
      </c>
      <c r="H318" s="42" t="str">
        <f aca="false">IFERROR(INDEX(Product_Master!$C$2:$C$9,MATCH(E318,Product_Master!$A$2:$A$9,0)),"UNMATCHED")</f>
        <v>Foods</v>
      </c>
      <c r="I318" s="42" t="str">
        <f aca="false">IFERROR(INDEX(Product_Master!$B$2:$B$9,MATCH(E318,Product_Master!$A$2:$A$9,0)),"UNMATCHED")</f>
        <v>Biscuits 500g</v>
      </c>
      <c r="J318" s="42" t="n">
        <f aca="false">IFERROR(INDEX(Calendar!$B$2:$B$25,MATCH(B318,Calendar!$A$2:$A$25,0)),0)</f>
        <v>2025</v>
      </c>
      <c r="K318" s="42" t="n">
        <f aca="false">IFERROR(VALUE(RIGHT(B318,2)),0)</f>
        <v>9</v>
      </c>
      <c r="L318" s="42" t="str">
        <f aca="false">IFERROR(INDEX(Calendar!$E$2:$E$25,MATCH(B318,Calendar!$A$2:$A$25,0)),"UNMATCHED")</f>
        <v>Actual</v>
      </c>
      <c r="M318" s="42" t="n">
        <f aca="false">Sales_Transactions!F318</f>
        <v>417</v>
      </c>
      <c r="N318" s="52" t="n">
        <f aca="false">Sales_Transactions!I318</f>
        <v>41303.85</v>
      </c>
      <c r="O318" s="52" t="n">
        <f aca="false">Sales_Transactions!J318</f>
        <v>27922.32</v>
      </c>
      <c r="P318" s="52" t="n">
        <f aca="false">Sales_Transactions!K318</f>
        <v>13381.53</v>
      </c>
      <c r="Q318" s="42" t="n">
        <f aca="false">IF(ISNUMBER(MATCH(E318,Product_Master!$A$2:$A$9,0)),0,1)</f>
        <v>0</v>
      </c>
      <c r="R318" s="42" t="n">
        <f aca="false">IF(ISNUMBER(MATCH(D318,Customer_Master!$A$2:$A$49,0)),0,1)</f>
        <v>0</v>
      </c>
      <c r="S318" s="42" t="n">
        <f aca="false">IF(ISNUMBER(MATCH(B318,Calendar!$A$2:$A$25,0)),0,1)</f>
        <v>0</v>
      </c>
      <c r="T318" s="42" t="n">
        <f aca="false">IF(COUNTIF(Sales_Transactions!$A$2:$A$865,A318)&gt;1,1,0)</f>
        <v>0</v>
      </c>
      <c r="U318" s="42" t="n">
        <f aca="false">IF(OR(ABS(Sales_Transactions!F318*Sales_Transactions!G318-Sales_Transactions!I318)&gt;0.01,ABS(Sales_Transactions!F318*Sales_Transactions!H318-Sales_Transactions!J318)&gt;0.01,ABS(Sales_Transactions!I318-Sales_Transactions!J318-Sales_Transactions!K318)&gt;0.01),1,0)</f>
        <v>0</v>
      </c>
      <c r="V318" s="42" t="n">
        <f aca="false">IF(C318&lt;&gt;L318,1,0)</f>
        <v>0</v>
      </c>
      <c r="W318" s="42" t="n">
        <f aca="false">IF(SUM(Q318:V318)&gt;0,1,0)</f>
        <v>0</v>
      </c>
    </row>
    <row r="319" customFormat="false" ht="15" hidden="false" customHeight="false" outlineLevel="0" collapsed="false">
      <c r="A319" s="42" t="str">
        <f aca="false">Sales_Transactions!A319</f>
        <v>INV-09-030</v>
      </c>
      <c r="B319" s="42" t="str">
        <f aca="false">Sales_Transactions!B319</f>
        <v>2025-09</v>
      </c>
      <c r="C319" s="42" t="str">
        <f aca="false">Sales_Transactions!C319</f>
        <v>Actual</v>
      </c>
      <c r="D319" s="42" t="str">
        <f aca="false">Sales_Transactions!D319</f>
        <v>C036</v>
      </c>
      <c r="E319" s="42" t="str">
        <f aca="false">Sales_Transactions!E319</f>
        <v>P002</v>
      </c>
      <c r="F319" s="42" t="str">
        <f aca="false">IFERROR(INDEX(Customer_Master!$C$2:$C$49,MATCH(D319,Customer_Master!$A$2:$A$49,0)),"UNMATCHED")</f>
        <v>East</v>
      </c>
      <c r="G319" s="42" t="str">
        <f aca="false">IFERROR(INDEX(Customer_Master!$D$2:$D$49,MATCH(D319,Customer_Master!$A$2:$A$49,0)),"UNMATCHED")</f>
        <v>Retail</v>
      </c>
      <c r="H319" s="42" t="str">
        <f aca="false">IFERROR(INDEX(Product_Master!$C$2:$C$9,MATCH(E319,Product_Master!$A$2:$A$9,0)),"UNMATCHED")</f>
        <v>Home Care</v>
      </c>
      <c r="I319" s="42" t="str">
        <f aca="false">IFERROR(INDEX(Product_Master!$B$2:$B$9,MATCH(E319,Product_Master!$A$2:$A$9,0)),"UNMATCHED")</f>
        <v>Dishwash Gel</v>
      </c>
      <c r="J319" s="42" t="n">
        <f aca="false">IFERROR(INDEX(Calendar!$B$2:$B$25,MATCH(B319,Calendar!$A$2:$A$25,0)),0)</f>
        <v>2025</v>
      </c>
      <c r="K319" s="42" t="n">
        <f aca="false">IFERROR(VALUE(RIGHT(B319,2)),0)</f>
        <v>9</v>
      </c>
      <c r="L319" s="42" t="str">
        <f aca="false">IFERROR(INDEX(Calendar!$E$2:$E$25,MATCH(B319,Calendar!$A$2:$A$25,0)),"UNMATCHED")</f>
        <v>Actual</v>
      </c>
      <c r="M319" s="42" t="n">
        <f aca="false">Sales_Transactions!F319</f>
        <v>430</v>
      </c>
      <c r="N319" s="52" t="n">
        <f aca="false">Sales_Transactions!I319</f>
        <v>62457.5</v>
      </c>
      <c r="O319" s="52" t="n">
        <f aca="false">Sales_Transactions!J319</f>
        <v>35457.8</v>
      </c>
      <c r="P319" s="52" t="n">
        <f aca="false">Sales_Transactions!K319</f>
        <v>26999.7</v>
      </c>
      <c r="Q319" s="42" t="n">
        <f aca="false">IF(ISNUMBER(MATCH(E319,Product_Master!$A$2:$A$9,0)),0,1)</f>
        <v>0</v>
      </c>
      <c r="R319" s="42" t="n">
        <f aca="false">IF(ISNUMBER(MATCH(D319,Customer_Master!$A$2:$A$49,0)),0,1)</f>
        <v>0</v>
      </c>
      <c r="S319" s="42" t="n">
        <f aca="false">IF(ISNUMBER(MATCH(B319,Calendar!$A$2:$A$25,0)),0,1)</f>
        <v>0</v>
      </c>
      <c r="T319" s="42" t="n">
        <f aca="false">IF(COUNTIF(Sales_Transactions!$A$2:$A$865,A319)&gt;1,1,0)</f>
        <v>0</v>
      </c>
      <c r="U319" s="42" t="n">
        <f aca="false">IF(OR(ABS(Sales_Transactions!F319*Sales_Transactions!G319-Sales_Transactions!I319)&gt;0.01,ABS(Sales_Transactions!F319*Sales_Transactions!H319-Sales_Transactions!J319)&gt;0.01,ABS(Sales_Transactions!I319-Sales_Transactions!J319-Sales_Transactions!K319)&gt;0.01),1,0)</f>
        <v>0</v>
      </c>
      <c r="V319" s="42" t="n">
        <f aca="false">IF(C319&lt;&gt;L319,1,0)</f>
        <v>0</v>
      </c>
      <c r="W319" s="42" t="n">
        <f aca="false">IF(SUM(Q319:V319)&gt;0,1,0)</f>
        <v>0</v>
      </c>
    </row>
    <row r="320" customFormat="false" ht="15" hidden="false" customHeight="false" outlineLevel="0" collapsed="false">
      <c r="A320" s="42" t="str">
        <f aca="false">Sales_Transactions!A320</f>
        <v>INV-09-031</v>
      </c>
      <c r="B320" s="42" t="str">
        <f aca="false">Sales_Transactions!B320</f>
        <v>2025-09</v>
      </c>
      <c r="C320" s="42" t="str">
        <f aca="false">Sales_Transactions!C320</f>
        <v>Actual</v>
      </c>
      <c r="D320" s="42" t="str">
        <f aca="false">Sales_Transactions!D320</f>
        <v>C043</v>
      </c>
      <c r="E320" s="42" t="str">
        <f aca="false">Sales_Transactions!E320</f>
        <v>P007</v>
      </c>
      <c r="F320" s="42" t="str">
        <f aca="false">IFERROR(INDEX(Customer_Master!$C$2:$C$49,MATCH(D320,Customer_Master!$A$2:$A$49,0)),"UNMATCHED")</f>
        <v>West</v>
      </c>
      <c r="G320" s="42" t="str">
        <f aca="false">IFERROR(INDEX(Customer_Master!$D$2:$D$49,MATCH(D320,Customer_Master!$A$2:$A$49,0)),"UNMATCHED")</f>
        <v>Distributor</v>
      </c>
      <c r="H320" s="42" t="str">
        <f aca="false">IFERROR(INDEX(Product_Master!$C$2:$C$9,MATCH(E320,Product_Master!$A$2:$A$9,0)),"UNMATCHED")</f>
        <v>Home Care</v>
      </c>
      <c r="I320" s="42" t="str">
        <f aca="false">IFERROR(INDEX(Product_Master!$B$2:$B$9,MATCH(E320,Product_Master!$A$2:$A$9,0)),"UNMATCHED")</f>
        <v>Floor Cleaner</v>
      </c>
      <c r="J320" s="42" t="n">
        <f aca="false">IFERROR(INDEX(Calendar!$B$2:$B$25,MATCH(B320,Calendar!$A$2:$A$25,0)),0)</f>
        <v>2025</v>
      </c>
      <c r="K320" s="42" t="n">
        <f aca="false">IFERROR(VALUE(RIGHT(B320,2)),0)</f>
        <v>9</v>
      </c>
      <c r="L320" s="42" t="str">
        <f aca="false">IFERROR(INDEX(Calendar!$E$2:$E$25,MATCH(B320,Calendar!$A$2:$A$25,0)),"UNMATCHED")</f>
        <v>Actual</v>
      </c>
      <c r="M320" s="42" t="n">
        <f aca="false">Sales_Transactions!F320</f>
        <v>247</v>
      </c>
      <c r="N320" s="52" t="n">
        <f aca="false">Sales_Transactions!I320</f>
        <v>45591.26</v>
      </c>
      <c r="O320" s="52" t="n">
        <f aca="false">Sales_Transactions!J320</f>
        <v>29504.15</v>
      </c>
      <c r="P320" s="52" t="n">
        <f aca="false">Sales_Transactions!K320</f>
        <v>16087.11</v>
      </c>
      <c r="Q320" s="42" t="n">
        <f aca="false">IF(ISNUMBER(MATCH(E320,Product_Master!$A$2:$A$9,0)),0,1)</f>
        <v>0</v>
      </c>
      <c r="R320" s="42" t="n">
        <f aca="false">IF(ISNUMBER(MATCH(D320,Customer_Master!$A$2:$A$49,0)),0,1)</f>
        <v>0</v>
      </c>
      <c r="S320" s="42" t="n">
        <f aca="false">IF(ISNUMBER(MATCH(B320,Calendar!$A$2:$A$25,0)),0,1)</f>
        <v>0</v>
      </c>
      <c r="T320" s="42" t="n">
        <f aca="false">IF(COUNTIF(Sales_Transactions!$A$2:$A$865,A320)&gt;1,1,0)</f>
        <v>0</v>
      </c>
      <c r="U320" s="42" t="n">
        <f aca="false">IF(OR(ABS(Sales_Transactions!F320*Sales_Transactions!G320-Sales_Transactions!I320)&gt;0.01,ABS(Sales_Transactions!F320*Sales_Transactions!H320-Sales_Transactions!J320)&gt;0.01,ABS(Sales_Transactions!I320-Sales_Transactions!J320-Sales_Transactions!K320)&gt;0.01),1,0)</f>
        <v>0</v>
      </c>
      <c r="V320" s="42" t="n">
        <f aca="false">IF(C320&lt;&gt;L320,1,0)</f>
        <v>0</v>
      </c>
      <c r="W320" s="42" t="n">
        <f aca="false">IF(SUM(Q320:V320)&gt;0,1,0)</f>
        <v>0</v>
      </c>
    </row>
    <row r="321" customFormat="false" ht="15" hidden="false" customHeight="false" outlineLevel="0" collapsed="false">
      <c r="A321" s="42" t="str">
        <f aca="false">Sales_Transactions!A321</f>
        <v>INV-09-032</v>
      </c>
      <c r="B321" s="42" t="str">
        <f aca="false">Sales_Transactions!B321</f>
        <v>2025-09</v>
      </c>
      <c r="C321" s="42" t="str">
        <f aca="false">Sales_Transactions!C321</f>
        <v>Actual</v>
      </c>
      <c r="D321" s="42" t="str">
        <f aca="false">Sales_Transactions!D321</f>
        <v>C002</v>
      </c>
      <c r="E321" s="42" t="str">
        <f aca="false">Sales_Transactions!E321</f>
        <v>P004</v>
      </c>
      <c r="F321" s="42" t="str">
        <f aca="false">IFERROR(INDEX(Customer_Master!$C$2:$C$49,MATCH(D321,Customer_Master!$A$2:$A$49,0)),"UNMATCHED")</f>
        <v>North</v>
      </c>
      <c r="G321" s="42" t="str">
        <f aca="false">IFERROR(INDEX(Customer_Master!$D$2:$D$49,MATCH(D321,Customer_Master!$A$2:$A$49,0)),"UNMATCHED")</f>
        <v>Modern Trade</v>
      </c>
      <c r="H321" s="42" t="str">
        <f aca="false">IFERROR(INDEX(Product_Master!$C$2:$C$9,MATCH(E321,Product_Master!$A$2:$A$9,0)),"UNMATCHED")</f>
        <v>Personal Care</v>
      </c>
      <c r="I321" s="42" t="str">
        <f aca="false">IFERROR(INDEX(Product_Master!$B$2:$B$9,MATCH(E321,Product_Master!$A$2:$A$9,0)),"UNMATCHED")</f>
        <v>Soap 4-pack</v>
      </c>
      <c r="J321" s="42" t="n">
        <f aca="false">IFERROR(INDEX(Calendar!$B$2:$B$25,MATCH(B321,Calendar!$A$2:$A$25,0)),0)</f>
        <v>2025</v>
      </c>
      <c r="K321" s="42" t="n">
        <f aca="false">IFERROR(VALUE(RIGHT(B321,2)),0)</f>
        <v>9</v>
      </c>
      <c r="L321" s="42" t="str">
        <f aca="false">IFERROR(INDEX(Calendar!$E$2:$E$25,MATCH(B321,Calendar!$A$2:$A$25,0)),"UNMATCHED")</f>
        <v>Actual</v>
      </c>
      <c r="M321" s="42" t="n">
        <f aca="false">Sales_Transactions!F321</f>
        <v>334</v>
      </c>
      <c r="N321" s="52" t="n">
        <f aca="false">Sales_Transactions!I321</f>
        <v>58650.4</v>
      </c>
      <c r="O321" s="52" t="n">
        <f aca="false">Sales_Transactions!J321</f>
        <v>30918.38</v>
      </c>
      <c r="P321" s="52" t="n">
        <f aca="false">Sales_Transactions!K321</f>
        <v>27732.02</v>
      </c>
      <c r="Q321" s="42" t="n">
        <f aca="false">IF(ISNUMBER(MATCH(E321,Product_Master!$A$2:$A$9,0)),0,1)</f>
        <v>0</v>
      </c>
      <c r="R321" s="42" t="n">
        <f aca="false">IF(ISNUMBER(MATCH(D321,Customer_Master!$A$2:$A$49,0)),0,1)</f>
        <v>0</v>
      </c>
      <c r="S321" s="42" t="n">
        <f aca="false">IF(ISNUMBER(MATCH(B321,Calendar!$A$2:$A$25,0)),0,1)</f>
        <v>0</v>
      </c>
      <c r="T321" s="42" t="n">
        <f aca="false">IF(COUNTIF(Sales_Transactions!$A$2:$A$865,A321)&gt;1,1,0)</f>
        <v>0</v>
      </c>
      <c r="U321" s="42" t="n">
        <f aca="false">IF(OR(ABS(Sales_Transactions!F321*Sales_Transactions!G321-Sales_Transactions!I321)&gt;0.01,ABS(Sales_Transactions!F321*Sales_Transactions!H321-Sales_Transactions!J321)&gt;0.01,ABS(Sales_Transactions!I321-Sales_Transactions!J321-Sales_Transactions!K321)&gt;0.01),1,0)</f>
        <v>0</v>
      </c>
      <c r="V321" s="42" t="n">
        <f aca="false">IF(C321&lt;&gt;L321,1,0)</f>
        <v>0</v>
      </c>
      <c r="W321" s="42" t="n">
        <f aca="false">IF(SUM(Q321:V321)&gt;0,1,0)</f>
        <v>0</v>
      </c>
    </row>
    <row r="322" customFormat="false" ht="15" hidden="false" customHeight="false" outlineLevel="0" collapsed="false">
      <c r="A322" s="42" t="str">
        <f aca="false">Sales_Transactions!A322</f>
        <v>INV-09-033</v>
      </c>
      <c r="B322" s="42" t="str">
        <f aca="false">Sales_Transactions!B322</f>
        <v>2025-09</v>
      </c>
      <c r="C322" s="42" t="str">
        <f aca="false">Sales_Transactions!C322</f>
        <v>Actual</v>
      </c>
      <c r="D322" s="42" t="str">
        <f aca="false">Sales_Transactions!D322</f>
        <v>C009</v>
      </c>
      <c r="E322" s="42" t="str">
        <f aca="false">Sales_Transactions!E322</f>
        <v>P001</v>
      </c>
      <c r="F322" s="42" t="str">
        <f aca="false">IFERROR(INDEX(Customer_Master!$C$2:$C$49,MATCH(D322,Customer_Master!$A$2:$A$49,0)),"UNMATCHED")</f>
        <v>South</v>
      </c>
      <c r="G322" s="42" t="str">
        <f aca="false">IFERROR(INDEX(Customer_Master!$D$2:$D$49,MATCH(D322,Customer_Master!$A$2:$A$49,0)),"UNMATCHED")</f>
        <v>Retail</v>
      </c>
      <c r="H322" s="42" t="str">
        <f aca="false">IFERROR(INDEX(Product_Master!$C$2:$C$9,MATCH(E322,Product_Master!$A$2:$A$9,0)),"UNMATCHED")</f>
        <v>Home Care</v>
      </c>
      <c r="I322" s="42" t="str">
        <f aca="false">IFERROR(INDEX(Product_Master!$B$2:$B$9,MATCH(E322,Product_Master!$A$2:$A$9,0)),"UNMATCHED")</f>
        <v>Detergent 1kg</v>
      </c>
      <c r="J322" s="42" t="n">
        <f aca="false">IFERROR(INDEX(Calendar!$B$2:$B$25,MATCH(B322,Calendar!$A$2:$A$25,0)),0)</f>
        <v>2025</v>
      </c>
      <c r="K322" s="42" t="n">
        <f aca="false">IFERROR(VALUE(RIGHT(B322,2)),0)</f>
        <v>9</v>
      </c>
      <c r="L322" s="42" t="str">
        <f aca="false">IFERROR(INDEX(Calendar!$E$2:$E$25,MATCH(B322,Calendar!$A$2:$A$25,0)),"UNMATCHED")</f>
        <v>Actual</v>
      </c>
      <c r="M322" s="42" t="n">
        <f aca="false">Sales_Transactions!F322</f>
        <v>120</v>
      </c>
      <c r="N322" s="52" t="n">
        <f aca="false">Sales_Transactions!I322</f>
        <v>23197.2</v>
      </c>
      <c r="O322" s="52" t="n">
        <f aca="false">Sales_Transactions!J322</f>
        <v>16507.2</v>
      </c>
      <c r="P322" s="52" t="n">
        <f aca="false">Sales_Transactions!K322</f>
        <v>6690</v>
      </c>
      <c r="Q322" s="42" t="n">
        <f aca="false">IF(ISNUMBER(MATCH(E322,Product_Master!$A$2:$A$9,0)),0,1)</f>
        <v>0</v>
      </c>
      <c r="R322" s="42" t="n">
        <f aca="false">IF(ISNUMBER(MATCH(D322,Customer_Master!$A$2:$A$49,0)),0,1)</f>
        <v>0</v>
      </c>
      <c r="S322" s="42" t="n">
        <f aca="false">IF(ISNUMBER(MATCH(B322,Calendar!$A$2:$A$25,0)),0,1)</f>
        <v>0</v>
      </c>
      <c r="T322" s="42" t="n">
        <f aca="false">IF(COUNTIF(Sales_Transactions!$A$2:$A$865,A322)&gt;1,1,0)</f>
        <v>0</v>
      </c>
      <c r="U322" s="42" t="n">
        <f aca="false">IF(OR(ABS(Sales_Transactions!F322*Sales_Transactions!G322-Sales_Transactions!I322)&gt;0.01,ABS(Sales_Transactions!F322*Sales_Transactions!H322-Sales_Transactions!J322)&gt;0.01,ABS(Sales_Transactions!I322-Sales_Transactions!J322-Sales_Transactions!K322)&gt;0.01),1,0)</f>
        <v>0</v>
      </c>
      <c r="V322" s="42" t="n">
        <f aca="false">IF(C322&lt;&gt;L322,1,0)</f>
        <v>0</v>
      </c>
      <c r="W322" s="42" t="n">
        <f aca="false">IF(SUM(Q322:V322)&gt;0,1,0)</f>
        <v>0</v>
      </c>
    </row>
    <row r="323" customFormat="false" ht="15" hidden="false" customHeight="false" outlineLevel="0" collapsed="false">
      <c r="A323" s="42" t="str">
        <f aca="false">Sales_Transactions!A323</f>
        <v>INV-09-034</v>
      </c>
      <c r="B323" s="42" t="str">
        <f aca="false">Sales_Transactions!B323</f>
        <v>2025-09</v>
      </c>
      <c r="C323" s="42" t="str">
        <f aca="false">Sales_Transactions!C323</f>
        <v>Actual</v>
      </c>
      <c r="D323" s="42" t="str">
        <f aca="false">Sales_Transactions!D323</f>
        <v>C016</v>
      </c>
      <c r="E323" s="42" t="str">
        <f aca="false">Sales_Transactions!E323</f>
        <v>P006</v>
      </c>
      <c r="F323" s="42" t="str">
        <f aca="false">IFERROR(INDEX(Customer_Master!$C$2:$C$49,MATCH(D323,Customer_Master!$A$2:$A$49,0)),"UNMATCHED")</f>
        <v>East</v>
      </c>
      <c r="G323" s="42" t="str">
        <f aca="false">IFERROR(INDEX(Customer_Master!$D$2:$D$49,MATCH(D323,Customer_Master!$A$2:$A$49,0)),"UNMATCHED")</f>
        <v>Distributor</v>
      </c>
      <c r="H323" s="42" t="str">
        <f aca="false">IFERROR(INDEX(Product_Master!$C$2:$C$9,MATCH(E323,Product_Master!$A$2:$A$9,0)),"UNMATCHED")</f>
        <v>Foods</v>
      </c>
      <c r="I323" s="42" t="str">
        <f aca="false">IFERROR(INDEX(Product_Master!$B$2:$B$9,MATCH(E323,Product_Master!$A$2:$A$9,0)),"UNMATCHED")</f>
        <v>Breakfast Cereal</v>
      </c>
      <c r="J323" s="42" t="n">
        <f aca="false">IFERROR(INDEX(Calendar!$B$2:$B$25,MATCH(B323,Calendar!$A$2:$A$25,0)),0)</f>
        <v>2025</v>
      </c>
      <c r="K323" s="42" t="n">
        <f aca="false">IFERROR(VALUE(RIGHT(B323,2)),0)</f>
        <v>9</v>
      </c>
      <c r="L323" s="42" t="str">
        <f aca="false">IFERROR(INDEX(Calendar!$E$2:$E$25,MATCH(B323,Calendar!$A$2:$A$25,0)),"UNMATCHED")</f>
        <v>Actual</v>
      </c>
      <c r="M323" s="42" t="n">
        <f aca="false">Sales_Transactions!F323</f>
        <v>232</v>
      </c>
      <c r="N323" s="52" t="n">
        <f aca="false">Sales_Transactions!I323</f>
        <v>60322.32</v>
      </c>
      <c r="O323" s="52" t="n">
        <f aca="false">Sales_Transactions!J323</f>
        <v>37987.68</v>
      </c>
      <c r="P323" s="52" t="n">
        <f aca="false">Sales_Transactions!K323</f>
        <v>22334.64</v>
      </c>
      <c r="Q323" s="42" t="n">
        <f aca="false">IF(ISNUMBER(MATCH(E323,Product_Master!$A$2:$A$9,0)),0,1)</f>
        <v>0</v>
      </c>
      <c r="R323" s="42" t="n">
        <f aca="false">IF(ISNUMBER(MATCH(D323,Customer_Master!$A$2:$A$49,0)),0,1)</f>
        <v>0</v>
      </c>
      <c r="S323" s="42" t="n">
        <f aca="false">IF(ISNUMBER(MATCH(B323,Calendar!$A$2:$A$25,0)),0,1)</f>
        <v>0</v>
      </c>
      <c r="T323" s="42" t="n">
        <f aca="false">IF(COUNTIF(Sales_Transactions!$A$2:$A$865,A323)&gt;1,1,0)</f>
        <v>0</v>
      </c>
      <c r="U323" s="42" t="n">
        <f aca="false">IF(OR(ABS(Sales_Transactions!F323*Sales_Transactions!G323-Sales_Transactions!I323)&gt;0.01,ABS(Sales_Transactions!F323*Sales_Transactions!H323-Sales_Transactions!J323)&gt;0.01,ABS(Sales_Transactions!I323-Sales_Transactions!J323-Sales_Transactions!K323)&gt;0.01),1,0)</f>
        <v>0</v>
      </c>
      <c r="V323" s="42" t="n">
        <f aca="false">IF(C323&lt;&gt;L323,1,0)</f>
        <v>0</v>
      </c>
      <c r="W323" s="42" t="n">
        <f aca="false">IF(SUM(Q323:V323)&gt;0,1,0)</f>
        <v>0</v>
      </c>
    </row>
    <row r="324" customFormat="false" ht="15" hidden="false" customHeight="false" outlineLevel="0" collapsed="false">
      <c r="A324" s="42" t="str">
        <f aca="false">Sales_Transactions!A324</f>
        <v>INV-09-035</v>
      </c>
      <c r="B324" s="42" t="str">
        <f aca="false">Sales_Transactions!B324</f>
        <v>2025-09</v>
      </c>
      <c r="C324" s="42" t="str">
        <f aca="false">Sales_Transactions!C324</f>
        <v>Actual</v>
      </c>
      <c r="D324" s="42" t="str">
        <f aca="false">Sales_Transactions!D324</f>
        <v>C023</v>
      </c>
      <c r="E324" s="42" t="str">
        <f aca="false">Sales_Transactions!E324</f>
        <v>P003</v>
      </c>
      <c r="F324" s="42" t="str">
        <f aca="false">IFERROR(INDEX(Customer_Master!$C$2:$C$49,MATCH(D324,Customer_Master!$A$2:$A$49,0)),"UNMATCHED")</f>
        <v>West</v>
      </c>
      <c r="G324" s="42" t="str">
        <f aca="false">IFERROR(INDEX(Customer_Master!$D$2:$D$49,MATCH(D324,Customer_Master!$A$2:$A$49,0)),"UNMATCHED")</f>
        <v>Modern Trade</v>
      </c>
      <c r="H324" s="42" t="str">
        <f aca="false">IFERROR(INDEX(Product_Master!$C$2:$C$9,MATCH(E324,Product_Master!$A$2:$A$9,0)),"UNMATCHED")</f>
        <v>Personal Care</v>
      </c>
      <c r="I324" s="42" t="str">
        <f aca="false">IFERROR(INDEX(Product_Master!$B$2:$B$9,MATCH(E324,Product_Master!$A$2:$A$9,0)),"UNMATCHED")</f>
        <v>Shampoo 400ml</v>
      </c>
      <c r="J324" s="42" t="n">
        <f aca="false">IFERROR(INDEX(Calendar!$B$2:$B$25,MATCH(B324,Calendar!$A$2:$A$25,0)),0)</f>
        <v>2025</v>
      </c>
      <c r="K324" s="42" t="n">
        <f aca="false">IFERROR(VALUE(RIGHT(B324,2)),0)</f>
        <v>9</v>
      </c>
      <c r="L324" s="42" t="str">
        <f aca="false">IFERROR(INDEX(Calendar!$E$2:$E$25,MATCH(B324,Calendar!$A$2:$A$25,0)),"UNMATCHED")</f>
        <v>Actual</v>
      </c>
      <c r="M324" s="42" t="n">
        <f aca="false">Sales_Transactions!F324</f>
        <v>307</v>
      </c>
      <c r="N324" s="52" t="n">
        <f aca="false">Sales_Transactions!I324</f>
        <v>87436.67</v>
      </c>
      <c r="O324" s="52" t="n">
        <f aca="false">Sales_Transactions!J324</f>
        <v>55186.32</v>
      </c>
      <c r="P324" s="52" t="n">
        <f aca="false">Sales_Transactions!K324</f>
        <v>32250.35</v>
      </c>
      <c r="Q324" s="42" t="n">
        <f aca="false">IF(ISNUMBER(MATCH(E324,Product_Master!$A$2:$A$9,0)),0,1)</f>
        <v>0</v>
      </c>
      <c r="R324" s="42" t="n">
        <f aca="false">IF(ISNUMBER(MATCH(D324,Customer_Master!$A$2:$A$49,0)),0,1)</f>
        <v>0</v>
      </c>
      <c r="S324" s="42" t="n">
        <f aca="false">IF(ISNUMBER(MATCH(B324,Calendar!$A$2:$A$25,0)),0,1)</f>
        <v>0</v>
      </c>
      <c r="T324" s="42" t="n">
        <f aca="false">IF(COUNTIF(Sales_Transactions!$A$2:$A$865,A324)&gt;1,1,0)</f>
        <v>0</v>
      </c>
      <c r="U324" s="42" t="n">
        <f aca="false">IF(OR(ABS(Sales_Transactions!F324*Sales_Transactions!G324-Sales_Transactions!I324)&gt;0.01,ABS(Sales_Transactions!F324*Sales_Transactions!H324-Sales_Transactions!J324)&gt;0.01,ABS(Sales_Transactions!I324-Sales_Transactions!J324-Sales_Transactions!K324)&gt;0.01),1,0)</f>
        <v>0</v>
      </c>
      <c r="V324" s="42" t="n">
        <f aca="false">IF(C324&lt;&gt;L324,1,0)</f>
        <v>0</v>
      </c>
      <c r="W324" s="42" t="n">
        <f aca="false">IF(SUM(Q324:V324)&gt;0,1,0)</f>
        <v>0</v>
      </c>
    </row>
    <row r="325" customFormat="false" ht="15" hidden="false" customHeight="false" outlineLevel="0" collapsed="false">
      <c r="A325" s="42" t="str">
        <f aca="false">Sales_Transactions!A325</f>
        <v>INV-09-036</v>
      </c>
      <c r="B325" s="42" t="str">
        <f aca="false">Sales_Transactions!B325</f>
        <v>2025-09</v>
      </c>
      <c r="C325" s="42" t="str">
        <f aca="false">Sales_Transactions!C325</f>
        <v>Actual</v>
      </c>
      <c r="D325" s="42" t="str">
        <f aca="false">Sales_Transactions!D325</f>
        <v>C030</v>
      </c>
      <c r="E325" s="42" t="str">
        <f aca="false">Sales_Transactions!E325</f>
        <v>P008</v>
      </c>
      <c r="F325" s="42" t="str">
        <f aca="false">IFERROR(INDEX(Customer_Master!$C$2:$C$49,MATCH(D325,Customer_Master!$A$2:$A$49,0)),"UNMATCHED")</f>
        <v>North</v>
      </c>
      <c r="G325" s="42" t="str">
        <f aca="false">IFERROR(INDEX(Customer_Master!$D$2:$D$49,MATCH(D325,Customer_Master!$A$2:$A$49,0)),"UNMATCHED")</f>
        <v>Retail</v>
      </c>
      <c r="H325" s="42" t="str">
        <f aca="false">IFERROR(INDEX(Product_Master!$C$2:$C$9,MATCH(E325,Product_Master!$A$2:$A$9,0)),"UNMATCHED")</f>
        <v>Personal Care</v>
      </c>
      <c r="I325" s="42" t="str">
        <f aca="false">IFERROR(INDEX(Product_Master!$B$2:$B$9,MATCH(E325,Product_Master!$A$2:$A$9,0)),"UNMATCHED")</f>
        <v>Body Lotion</v>
      </c>
      <c r="J325" s="42" t="n">
        <f aca="false">IFERROR(INDEX(Calendar!$B$2:$B$25,MATCH(B325,Calendar!$A$2:$A$25,0)),0)</f>
        <v>2025</v>
      </c>
      <c r="K325" s="42" t="n">
        <f aca="false">IFERROR(VALUE(RIGHT(B325,2)),0)</f>
        <v>9</v>
      </c>
      <c r="L325" s="42" t="str">
        <f aca="false">IFERROR(INDEX(Calendar!$E$2:$E$25,MATCH(B325,Calendar!$A$2:$A$25,0)),"UNMATCHED")</f>
        <v>Actual</v>
      </c>
      <c r="M325" s="42" t="n">
        <f aca="false">Sales_Transactions!F325</f>
        <v>445</v>
      </c>
      <c r="N325" s="52" t="n">
        <f aca="false">Sales_Transactions!I325</f>
        <v>145123.4</v>
      </c>
      <c r="O325" s="52" t="n">
        <f aca="false">Sales_Transactions!J325</f>
        <v>91078.15</v>
      </c>
      <c r="P325" s="52" t="n">
        <f aca="false">Sales_Transactions!K325</f>
        <v>54045.25</v>
      </c>
      <c r="Q325" s="42" t="n">
        <f aca="false">IF(ISNUMBER(MATCH(E325,Product_Master!$A$2:$A$9,0)),0,1)</f>
        <v>0</v>
      </c>
      <c r="R325" s="42" t="n">
        <f aca="false">IF(ISNUMBER(MATCH(D325,Customer_Master!$A$2:$A$49,0)),0,1)</f>
        <v>0</v>
      </c>
      <c r="S325" s="42" t="n">
        <f aca="false">IF(ISNUMBER(MATCH(B325,Calendar!$A$2:$A$25,0)),0,1)</f>
        <v>0</v>
      </c>
      <c r="T325" s="42" t="n">
        <f aca="false">IF(COUNTIF(Sales_Transactions!$A$2:$A$865,A325)&gt;1,1,0)</f>
        <v>0</v>
      </c>
      <c r="U325" s="42" t="n">
        <f aca="false">IF(OR(ABS(Sales_Transactions!F325*Sales_Transactions!G325-Sales_Transactions!I325)&gt;0.01,ABS(Sales_Transactions!F325*Sales_Transactions!H325-Sales_Transactions!J325)&gt;0.01,ABS(Sales_Transactions!I325-Sales_Transactions!J325-Sales_Transactions!K325)&gt;0.01),1,0)</f>
        <v>0</v>
      </c>
      <c r="V325" s="42" t="n">
        <f aca="false">IF(C325&lt;&gt;L325,1,0)</f>
        <v>0</v>
      </c>
      <c r="W325" s="42" t="n">
        <f aca="false">IF(SUM(Q325:V325)&gt;0,1,0)</f>
        <v>0</v>
      </c>
    </row>
    <row r="326" customFormat="false" ht="15" hidden="false" customHeight="false" outlineLevel="0" collapsed="false">
      <c r="A326" s="42" t="str">
        <f aca="false">Sales_Transactions!A326</f>
        <v>INV-10-001</v>
      </c>
      <c r="B326" s="42" t="str">
        <f aca="false">Sales_Transactions!B326</f>
        <v>2025-10</v>
      </c>
      <c r="C326" s="42" t="str">
        <f aca="false">Sales_Transactions!C326</f>
        <v>Actual</v>
      </c>
      <c r="D326" s="42" t="str">
        <f aca="false">Sales_Transactions!D326</f>
        <v>C028</v>
      </c>
      <c r="E326" s="42" t="str">
        <f aca="false">Sales_Transactions!E326</f>
        <v>P002</v>
      </c>
      <c r="F326" s="42" t="str">
        <f aca="false">IFERROR(INDEX(Customer_Master!$C$2:$C$49,MATCH(D326,Customer_Master!$A$2:$A$49,0)),"UNMATCHED")</f>
        <v>East</v>
      </c>
      <c r="G326" s="42" t="str">
        <f aca="false">IFERROR(INDEX(Customer_Master!$D$2:$D$49,MATCH(D326,Customer_Master!$A$2:$A$49,0)),"UNMATCHED")</f>
        <v>Distributor</v>
      </c>
      <c r="H326" s="42" t="str">
        <f aca="false">IFERROR(INDEX(Product_Master!$C$2:$C$9,MATCH(E326,Product_Master!$A$2:$A$9,0)),"UNMATCHED")</f>
        <v>Home Care</v>
      </c>
      <c r="I326" s="42" t="str">
        <f aca="false">IFERROR(INDEX(Product_Master!$B$2:$B$9,MATCH(E326,Product_Master!$A$2:$A$9,0)),"UNMATCHED")</f>
        <v>Dishwash Gel</v>
      </c>
      <c r="J326" s="42" t="n">
        <f aca="false">IFERROR(INDEX(Calendar!$B$2:$B$25,MATCH(B326,Calendar!$A$2:$A$25,0)),0)</f>
        <v>2025</v>
      </c>
      <c r="K326" s="42" t="n">
        <f aca="false">IFERROR(VALUE(RIGHT(B326,2)),0)</f>
        <v>10</v>
      </c>
      <c r="L326" s="42" t="str">
        <f aca="false">IFERROR(INDEX(Calendar!$E$2:$E$25,MATCH(B326,Calendar!$A$2:$A$25,0)),"UNMATCHED")</f>
        <v>Actual</v>
      </c>
      <c r="M326" s="42" t="n">
        <f aca="false">Sales_Transactions!F326</f>
        <v>440</v>
      </c>
      <c r="N326" s="52" t="n">
        <f aca="false">Sales_Transactions!I326</f>
        <v>59263.6</v>
      </c>
      <c r="O326" s="52" t="n">
        <f aca="false">Sales_Transactions!J326</f>
        <v>34760</v>
      </c>
      <c r="P326" s="52" t="n">
        <f aca="false">Sales_Transactions!K326</f>
        <v>24503.6</v>
      </c>
      <c r="Q326" s="42" t="n">
        <f aca="false">IF(ISNUMBER(MATCH(E326,Product_Master!$A$2:$A$9,0)),0,1)</f>
        <v>0</v>
      </c>
      <c r="R326" s="42" t="n">
        <f aca="false">IF(ISNUMBER(MATCH(D326,Customer_Master!$A$2:$A$49,0)),0,1)</f>
        <v>0</v>
      </c>
      <c r="S326" s="42" t="n">
        <f aca="false">IF(ISNUMBER(MATCH(B326,Calendar!$A$2:$A$25,0)),0,1)</f>
        <v>0</v>
      </c>
      <c r="T326" s="42" t="n">
        <f aca="false">IF(COUNTIF(Sales_Transactions!$A$2:$A$865,A326)&gt;1,1,0)</f>
        <v>0</v>
      </c>
      <c r="U326" s="42" t="n">
        <f aca="false">IF(OR(ABS(Sales_Transactions!F326*Sales_Transactions!G326-Sales_Transactions!I326)&gt;0.01,ABS(Sales_Transactions!F326*Sales_Transactions!H326-Sales_Transactions!J326)&gt;0.01,ABS(Sales_Transactions!I326-Sales_Transactions!J326-Sales_Transactions!K326)&gt;0.01),1,0)</f>
        <v>0</v>
      </c>
      <c r="V326" s="42" t="n">
        <f aca="false">IF(C326&lt;&gt;L326,1,0)</f>
        <v>0</v>
      </c>
      <c r="W326" s="42" t="n">
        <f aca="false">IF(SUM(Q326:V326)&gt;0,1,0)</f>
        <v>0</v>
      </c>
    </row>
    <row r="327" customFormat="false" ht="15" hidden="false" customHeight="false" outlineLevel="0" collapsed="false">
      <c r="A327" s="42" t="str">
        <f aca="false">Sales_Transactions!A327</f>
        <v>INV-10-002</v>
      </c>
      <c r="B327" s="42" t="str">
        <f aca="false">Sales_Transactions!B327</f>
        <v>2025-10</v>
      </c>
      <c r="C327" s="42" t="str">
        <f aca="false">Sales_Transactions!C327</f>
        <v>Actual</v>
      </c>
      <c r="D327" s="42" t="str">
        <f aca="false">Sales_Transactions!D327</f>
        <v>C035</v>
      </c>
      <c r="E327" s="42" t="str">
        <f aca="false">Sales_Transactions!E327</f>
        <v>P007</v>
      </c>
      <c r="F327" s="42" t="str">
        <f aca="false">IFERROR(INDEX(Customer_Master!$C$2:$C$49,MATCH(D327,Customer_Master!$A$2:$A$49,0)),"UNMATCHED")</f>
        <v>West</v>
      </c>
      <c r="G327" s="42" t="str">
        <f aca="false">IFERROR(INDEX(Customer_Master!$D$2:$D$49,MATCH(D327,Customer_Master!$A$2:$A$49,0)),"UNMATCHED")</f>
        <v>Modern Trade</v>
      </c>
      <c r="H327" s="42" t="str">
        <f aca="false">IFERROR(INDEX(Product_Master!$C$2:$C$9,MATCH(E327,Product_Master!$A$2:$A$9,0)),"UNMATCHED")</f>
        <v>Home Care</v>
      </c>
      <c r="I327" s="42" t="str">
        <f aca="false">IFERROR(INDEX(Product_Master!$B$2:$B$9,MATCH(E327,Product_Master!$A$2:$A$9,0)),"UNMATCHED")</f>
        <v>Floor Cleaner</v>
      </c>
      <c r="J327" s="42" t="n">
        <f aca="false">IFERROR(INDEX(Calendar!$B$2:$B$25,MATCH(B327,Calendar!$A$2:$A$25,0)),0)</f>
        <v>2025</v>
      </c>
      <c r="K327" s="42" t="n">
        <f aca="false">IFERROR(VALUE(RIGHT(B327,2)),0)</f>
        <v>10</v>
      </c>
      <c r="L327" s="42" t="str">
        <f aca="false">IFERROR(INDEX(Calendar!$E$2:$E$25,MATCH(B327,Calendar!$A$2:$A$25,0)),"UNMATCHED")</f>
        <v>Actual</v>
      </c>
      <c r="M327" s="42" t="n">
        <f aca="false">Sales_Transactions!F327</f>
        <v>251</v>
      </c>
      <c r="N327" s="52" t="n">
        <f aca="false">Sales_Transactions!I327</f>
        <v>47378.76</v>
      </c>
      <c r="O327" s="52" t="n">
        <f aca="false">Sales_Transactions!J327</f>
        <v>27976.46</v>
      </c>
      <c r="P327" s="52" t="n">
        <f aca="false">Sales_Transactions!K327</f>
        <v>19402.3</v>
      </c>
      <c r="Q327" s="42" t="n">
        <f aca="false">IF(ISNUMBER(MATCH(E327,Product_Master!$A$2:$A$9,0)),0,1)</f>
        <v>0</v>
      </c>
      <c r="R327" s="42" t="n">
        <f aca="false">IF(ISNUMBER(MATCH(D327,Customer_Master!$A$2:$A$49,0)),0,1)</f>
        <v>0</v>
      </c>
      <c r="S327" s="42" t="n">
        <f aca="false">IF(ISNUMBER(MATCH(B327,Calendar!$A$2:$A$25,0)),0,1)</f>
        <v>0</v>
      </c>
      <c r="T327" s="42" t="n">
        <f aca="false">IF(COUNTIF(Sales_Transactions!$A$2:$A$865,A327)&gt;1,1,0)</f>
        <v>0</v>
      </c>
      <c r="U327" s="42" t="n">
        <f aca="false">IF(OR(ABS(Sales_Transactions!F327*Sales_Transactions!G327-Sales_Transactions!I327)&gt;0.01,ABS(Sales_Transactions!F327*Sales_Transactions!H327-Sales_Transactions!J327)&gt;0.01,ABS(Sales_Transactions!I327-Sales_Transactions!J327-Sales_Transactions!K327)&gt;0.01),1,0)</f>
        <v>0</v>
      </c>
      <c r="V327" s="42" t="n">
        <f aca="false">IF(C327&lt;&gt;L327,1,0)</f>
        <v>0</v>
      </c>
      <c r="W327" s="42" t="n">
        <f aca="false">IF(SUM(Q327:V327)&gt;0,1,0)</f>
        <v>0</v>
      </c>
    </row>
    <row r="328" customFormat="false" ht="15" hidden="false" customHeight="false" outlineLevel="0" collapsed="false">
      <c r="A328" s="42" t="str">
        <f aca="false">Sales_Transactions!A328</f>
        <v>INV-10-003</v>
      </c>
      <c r="B328" s="42" t="str">
        <f aca="false">Sales_Transactions!B328</f>
        <v>2025-10</v>
      </c>
      <c r="C328" s="42" t="str">
        <f aca="false">Sales_Transactions!C328</f>
        <v>Actual</v>
      </c>
      <c r="D328" s="42" t="str">
        <f aca="false">Sales_Transactions!D328</f>
        <v>C042</v>
      </c>
      <c r="E328" s="42" t="str">
        <f aca="false">Sales_Transactions!E328</f>
        <v>P004</v>
      </c>
      <c r="F328" s="42" t="str">
        <f aca="false">IFERROR(INDEX(Customer_Master!$C$2:$C$49,MATCH(D328,Customer_Master!$A$2:$A$49,0)),"UNMATCHED")</f>
        <v>North</v>
      </c>
      <c r="G328" s="42" t="str">
        <f aca="false">IFERROR(INDEX(Customer_Master!$D$2:$D$49,MATCH(D328,Customer_Master!$A$2:$A$49,0)),"UNMATCHED")</f>
        <v>Retail</v>
      </c>
      <c r="H328" s="42" t="str">
        <f aca="false">IFERROR(INDEX(Product_Master!$C$2:$C$9,MATCH(E328,Product_Master!$A$2:$A$9,0)),"UNMATCHED")</f>
        <v>Personal Care</v>
      </c>
      <c r="I328" s="42" t="str">
        <f aca="false">IFERROR(INDEX(Product_Master!$B$2:$B$9,MATCH(E328,Product_Master!$A$2:$A$9,0)),"UNMATCHED")</f>
        <v>Soap 4-pack</v>
      </c>
      <c r="J328" s="42" t="n">
        <f aca="false">IFERROR(INDEX(Calendar!$B$2:$B$25,MATCH(B328,Calendar!$A$2:$A$25,0)),0)</f>
        <v>2025</v>
      </c>
      <c r="K328" s="42" t="n">
        <f aca="false">IFERROR(VALUE(RIGHT(B328,2)),0)</f>
        <v>10</v>
      </c>
      <c r="L328" s="42" t="str">
        <f aca="false">IFERROR(INDEX(Calendar!$E$2:$E$25,MATCH(B328,Calendar!$A$2:$A$25,0)),"UNMATCHED")</f>
        <v>Actual</v>
      </c>
      <c r="M328" s="42" t="n">
        <f aca="false">Sales_Transactions!F328</f>
        <v>276</v>
      </c>
      <c r="N328" s="52" t="n">
        <f aca="false">Sales_Transactions!I328</f>
        <v>45691.8</v>
      </c>
      <c r="O328" s="52" t="n">
        <f aca="false">Sales_Transactions!J328</f>
        <v>26211.72</v>
      </c>
      <c r="P328" s="52" t="n">
        <f aca="false">Sales_Transactions!K328</f>
        <v>19480.08</v>
      </c>
      <c r="Q328" s="42" t="n">
        <f aca="false">IF(ISNUMBER(MATCH(E328,Product_Master!$A$2:$A$9,0)),0,1)</f>
        <v>0</v>
      </c>
      <c r="R328" s="42" t="n">
        <f aca="false">IF(ISNUMBER(MATCH(D328,Customer_Master!$A$2:$A$49,0)),0,1)</f>
        <v>0</v>
      </c>
      <c r="S328" s="42" t="n">
        <f aca="false">IF(ISNUMBER(MATCH(B328,Calendar!$A$2:$A$25,0)),0,1)</f>
        <v>0</v>
      </c>
      <c r="T328" s="42" t="n">
        <f aca="false">IF(COUNTIF(Sales_Transactions!$A$2:$A$865,A328)&gt;1,1,0)</f>
        <v>0</v>
      </c>
      <c r="U328" s="42" t="n">
        <f aca="false">IF(OR(ABS(Sales_Transactions!F328*Sales_Transactions!G328-Sales_Transactions!I328)&gt;0.01,ABS(Sales_Transactions!F328*Sales_Transactions!H328-Sales_Transactions!J328)&gt;0.01,ABS(Sales_Transactions!I328-Sales_Transactions!J328-Sales_Transactions!K328)&gt;0.01),1,0)</f>
        <v>0</v>
      </c>
      <c r="V328" s="42" t="n">
        <f aca="false">IF(C328&lt;&gt;L328,1,0)</f>
        <v>0</v>
      </c>
      <c r="W328" s="42" t="n">
        <f aca="false">IF(SUM(Q328:V328)&gt;0,1,0)</f>
        <v>0</v>
      </c>
    </row>
    <row r="329" customFormat="false" ht="15" hidden="false" customHeight="false" outlineLevel="0" collapsed="false">
      <c r="A329" s="42" t="str">
        <f aca="false">Sales_Transactions!A329</f>
        <v>INV-10-004</v>
      </c>
      <c r="B329" s="42" t="str">
        <f aca="false">Sales_Transactions!B329</f>
        <v>2025-10</v>
      </c>
      <c r="C329" s="42" t="str">
        <f aca="false">Sales_Transactions!C329</f>
        <v>Actual</v>
      </c>
      <c r="D329" s="42" t="str">
        <f aca="false">Sales_Transactions!D329</f>
        <v>C001</v>
      </c>
      <c r="E329" s="42" t="str">
        <f aca="false">Sales_Transactions!E329</f>
        <v>P001</v>
      </c>
      <c r="F329" s="42" t="str">
        <f aca="false">IFERROR(INDEX(Customer_Master!$C$2:$C$49,MATCH(D329,Customer_Master!$A$2:$A$49,0)),"UNMATCHED")</f>
        <v>South</v>
      </c>
      <c r="G329" s="42" t="str">
        <f aca="false">IFERROR(INDEX(Customer_Master!$D$2:$D$49,MATCH(D329,Customer_Master!$A$2:$A$49,0)),"UNMATCHED")</f>
        <v>Distributor</v>
      </c>
      <c r="H329" s="42" t="str">
        <f aca="false">IFERROR(INDEX(Product_Master!$C$2:$C$9,MATCH(E329,Product_Master!$A$2:$A$9,0)),"UNMATCHED")</f>
        <v>Home Care</v>
      </c>
      <c r="I329" s="42" t="str">
        <f aca="false">IFERROR(INDEX(Product_Master!$B$2:$B$9,MATCH(E329,Product_Master!$A$2:$A$9,0)),"UNMATCHED")</f>
        <v>Detergent 1kg</v>
      </c>
      <c r="J329" s="42" t="n">
        <f aca="false">IFERROR(INDEX(Calendar!$B$2:$B$25,MATCH(B329,Calendar!$A$2:$A$25,0)),0)</f>
        <v>2025</v>
      </c>
      <c r="K329" s="42" t="n">
        <f aca="false">IFERROR(VALUE(RIGHT(B329,2)),0)</f>
        <v>10</v>
      </c>
      <c r="L329" s="42" t="str">
        <f aca="false">IFERROR(INDEX(Calendar!$E$2:$E$25,MATCH(B329,Calendar!$A$2:$A$25,0)),"UNMATCHED")</f>
        <v>Actual</v>
      </c>
      <c r="M329" s="42" t="n">
        <f aca="false">Sales_Transactions!F329</f>
        <v>295</v>
      </c>
      <c r="N329" s="52" t="n">
        <f aca="false">Sales_Transactions!I329</f>
        <v>59693.25</v>
      </c>
      <c r="O329" s="52" t="n">
        <f aca="false">Sales_Transactions!J329</f>
        <v>41084.65</v>
      </c>
      <c r="P329" s="52" t="n">
        <f aca="false">Sales_Transactions!K329</f>
        <v>18608.6</v>
      </c>
      <c r="Q329" s="42" t="n">
        <f aca="false">IF(ISNUMBER(MATCH(E329,Product_Master!$A$2:$A$9,0)),0,1)</f>
        <v>0</v>
      </c>
      <c r="R329" s="42" t="n">
        <f aca="false">IF(ISNUMBER(MATCH(D329,Customer_Master!$A$2:$A$49,0)),0,1)</f>
        <v>0</v>
      </c>
      <c r="S329" s="42" t="n">
        <f aca="false">IF(ISNUMBER(MATCH(B329,Calendar!$A$2:$A$25,0)),0,1)</f>
        <v>0</v>
      </c>
      <c r="T329" s="42" t="n">
        <f aca="false">IF(COUNTIF(Sales_Transactions!$A$2:$A$865,A329)&gt;1,1,0)</f>
        <v>0</v>
      </c>
      <c r="U329" s="42" t="n">
        <f aca="false">IF(OR(ABS(Sales_Transactions!F329*Sales_Transactions!G329-Sales_Transactions!I329)&gt;0.01,ABS(Sales_Transactions!F329*Sales_Transactions!H329-Sales_Transactions!J329)&gt;0.01,ABS(Sales_Transactions!I329-Sales_Transactions!J329-Sales_Transactions!K329)&gt;0.01),1,0)</f>
        <v>0</v>
      </c>
      <c r="V329" s="42" t="n">
        <f aca="false">IF(C329&lt;&gt;L329,1,0)</f>
        <v>0</v>
      </c>
      <c r="W329" s="42" t="n">
        <f aca="false">IF(SUM(Q329:V329)&gt;0,1,0)</f>
        <v>0</v>
      </c>
    </row>
    <row r="330" customFormat="false" ht="15" hidden="false" customHeight="false" outlineLevel="0" collapsed="false">
      <c r="A330" s="42" t="str">
        <f aca="false">Sales_Transactions!A330</f>
        <v>INV-10-005</v>
      </c>
      <c r="B330" s="42" t="str">
        <f aca="false">Sales_Transactions!B330</f>
        <v>2025-10</v>
      </c>
      <c r="C330" s="42" t="str">
        <f aca="false">Sales_Transactions!C330</f>
        <v>Actual</v>
      </c>
      <c r="D330" s="42" t="str">
        <f aca="false">Sales_Transactions!D330</f>
        <v>C008</v>
      </c>
      <c r="E330" s="42" t="str">
        <f aca="false">Sales_Transactions!E330</f>
        <v>P006</v>
      </c>
      <c r="F330" s="42" t="str">
        <f aca="false">IFERROR(INDEX(Customer_Master!$C$2:$C$49,MATCH(D330,Customer_Master!$A$2:$A$49,0)),"UNMATCHED")</f>
        <v>East</v>
      </c>
      <c r="G330" s="42" t="str">
        <f aca="false">IFERROR(INDEX(Customer_Master!$D$2:$D$49,MATCH(D330,Customer_Master!$A$2:$A$49,0)),"UNMATCHED")</f>
        <v>Modern Trade</v>
      </c>
      <c r="H330" s="42" t="str">
        <f aca="false">IFERROR(INDEX(Product_Master!$C$2:$C$9,MATCH(E330,Product_Master!$A$2:$A$9,0)),"UNMATCHED")</f>
        <v>Foods</v>
      </c>
      <c r="I330" s="42" t="str">
        <f aca="false">IFERROR(INDEX(Product_Master!$B$2:$B$9,MATCH(E330,Product_Master!$A$2:$A$9,0)),"UNMATCHED")</f>
        <v>Breakfast Cereal</v>
      </c>
      <c r="J330" s="42" t="n">
        <f aca="false">IFERROR(INDEX(Calendar!$B$2:$B$25,MATCH(B330,Calendar!$A$2:$A$25,0)),0)</f>
        <v>2025</v>
      </c>
      <c r="K330" s="42" t="n">
        <f aca="false">IFERROR(VALUE(RIGHT(B330,2)),0)</f>
        <v>10</v>
      </c>
      <c r="L330" s="42" t="str">
        <f aca="false">IFERROR(INDEX(Calendar!$E$2:$E$25,MATCH(B330,Calendar!$A$2:$A$25,0)),"UNMATCHED")</f>
        <v>Actual</v>
      </c>
      <c r="M330" s="42" t="n">
        <f aca="false">Sales_Transactions!F330</f>
        <v>172</v>
      </c>
      <c r="N330" s="52" t="n">
        <f aca="false">Sales_Transactions!I330</f>
        <v>40033</v>
      </c>
      <c r="O330" s="52" t="n">
        <f aca="false">Sales_Transactions!J330</f>
        <v>27721.24</v>
      </c>
      <c r="P330" s="52" t="n">
        <f aca="false">Sales_Transactions!K330</f>
        <v>12311.76</v>
      </c>
      <c r="Q330" s="42" t="n">
        <f aca="false">IF(ISNUMBER(MATCH(E330,Product_Master!$A$2:$A$9,0)),0,1)</f>
        <v>0</v>
      </c>
      <c r="R330" s="42" t="n">
        <f aca="false">IF(ISNUMBER(MATCH(D330,Customer_Master!$A$2:$A$49,0)),0,1)</f>
        <v>0</v>
      </c>
      <c r="S330" s="42" t="n">
        <f aca="false">IF(ISNUMBER(MATCH(B330,Calendar!$A$2:$A$25,0)),0,1)</f>
        <v>0</v>
      </c>
      <c r="T330" s="42" t="n">
        <f aca="false">IF(COUNTIF(Sales_Transactions!$A$2:$A$865,A330)&gt;1,1,0)</f>
        <v>0</v>
      </c>
      <c r="U330" s="42" t="n">
        <f aca="false">IF(OR(ABS(Sales_Transactions!F330*Sales_Transactions!G330-Sales_Transactions!I330)&gt;0.01,ABS(Sales_Transactions!F330*Sales_Transactions!H330-Sales_Transactions!J330)&gt;0.01,ABS(Sales_Transactions!I330-Sales_Transactions!J330-Sales_Transactions!K330)&gt;0.01),1,0)</f>
        <v>0</v>
      </c>
      <c r="V330" s="42" t="n">
        <f aca="false">IF(C330&lt;&gt;L330,1,0)</f>
        <v>0</v>
      </c>
      <c r="W330" s="42" t="n">
        <f aca="false">IF(SUM(Q330:V330)&gt;0,1,0)</f>
        <v>0</v>
      </c>
    </row>
    <row r="331" customFormat="false" ht="15" hidden="false" customHeight="false" outlineLevel="0" collapsed="false">
      <c r="A331" s="42" t="str">
        <f aca="false">Sales_Transactions!A331</f>
        <v>INV-10-006</v>
      </c>
      <c r="B331" s="42" t="str">
        <f aca="false">Sales_Transactions!B331</f>
        <v>2025-10</v>
      </c>
      <c r="C331" s="42" t="str">
        <f aca="false">Sales_Transactions!C331</f>
        <v>Actual</v>
      </c>
      <c r="D331" s="42" t="str">
        <f aca="false">Sales_Transactions!D331</f>
        <v>C015</v>
      </c>
      <c r="E331" s="42" t="str">
        <f aca="false">Sales_Transactions!E331</f>
        <v>P003</v>
      </c>
      <c r="F331" s="42" t="str">
        <f aca="false">IFERROR(INDEX(Customer_Master!$C$2:$C$49,MATCH(D331,Customer_Master!$A$2:$A$49,0)),"UNMATCHED")</f>
        <v>West</v>
      </c>
      <c r="G331" s="42" t="str">
        <f aca="false">IFERROR(INDEX(Customer_Master!$D$2:$D$49,MATCH(D331,Customer_Master!$A$2:$A$49,0)),"UNMATCHED")</f>
        <v>Retail</v>
      </c>
      <c r="H331" s="42" t="str">
        <f aca="false">IFERROR(INDEX(Product_Master!$C$2:$C$9,MATCH(E331,Product_Master!$A$2:$A$9,0)),"UNMATCHED")</f>
        <v>Personal Care</v>
      </c>
      <c r="I331" s="42" t="str">
        <f aca="false">IFERROR(INDEX(Product_Master!$B$2:$B$9,MATCH(E331,Product_Master!$A$2:$A$9,0)),"UNMATCHED")</f>
        <v>Shampoo 400ml</v>
      </c>
      <c r="J331" s="42" t="n">
        <f aca="false">IFERROR(INDEX(Calendar!$B$2:$B$25,MATCH(B331,Calendar!$A$2:$A$25,0)),0)</f>
        <v>2025</v>
      </c>
      <c r="K331" s="42" t="n">
        <f aca="false">IFERROR(VALUE(RIGHT(B331,2)),0)</f>
        <v>10</v>
      </c>
      <c r="L331" s="42" t="str">
        <f aca="false">IFERROR(INDEX(Calendar!$E$2:$E$25,MATCH(B331,Calendar!$A$2:$A$25,0)),"UNMATCHED")</f>
        <v>Actual</v>
      </c>
      <c r="M331" s="42" t="n">
        <f aca="false">Sales_Transactions!F331</f>
        <v>280</v>
      </c>
      <c r="N331" s="52" t="n">
        <f aca="false">Sales_Transactions!I331</f>
        <v>76092.8</v>
      </c>
      <c r="O331" s="52" t="n">
        <f aca="false">Sales_Transactions!J331</f>
        <v>47348</v>
      </c>
      <c r="P331" s="52" t="n">
        <f aca="false">Sales_Transactions!K331</f>
        <v>28744.8</v>
      </c>
      <c r="Q331" s="42" t="n">
        <f aca="false">IF(ISNUMBER(MATCH(E331,Product_Master!$A$2:$A$9,0)),0,1)</f>
        <v>0</v>
      </c>
      <c r="R331" s="42" t="n">
        <f aca="false">IF(ISNUMBER(MATCH(D331,Customer_Master!$A$2:$A$49,0)),0,1)</f>
        <v>0</v>
      </c>
      <c r="S331" s="42" t="n">
        <f aca="false">IF(ISNUMBER(MATCH(B331,Calendar!$A$2:$A$25,0)),0,1)</f>
        <v>0</v>
      </c>
      <c r="T331" s="42" t="n">
        <f aca="false">IF(COUNTIF(Sales_Transactions!$A$2:$A$865,A331)&gt;1,1,0)</f>
        <v>0</v>
      </c>
      <c r="U331" s="42" t="n">
        <f aca="false">IF(OR(ABS(Sales_Transactions!F331*Sales_Transactions!G331-Sales_Transactions!I331)&gt;0.01,ABS(Sales_Transactions!F331*Sales_Transactions!H331-Sales_Transactions!J331)&gt;0.01,ABS(Sales_Transactions!I331-Sales_Transactions!J331-Sales_Transactions!K331)&gt;0.01),1,0)</f>
        <v>0</v>
      </c>
      <c r="V331" s="42" t="n">
        <f aca="false">IF(C331&lt;&gt;L331,1,0)</f>
        <v>0</v>
      </c>
      <c r="W331" s="42" t="n">
        <f aca="false">IF(SUM(Q331:V331)&gt;0,1,0)</f>
        <v>0</v>
      </c>
    </row>
    <row r="332" customFormat="false" ht="15" hidden="false" customHeight="false" outlineLevel="0" collapsed="false">
      <c r="A332" s="42" t="str">
        <f aca="false">Sales_Transactions!A332</f>
        <v>INV-10-007</v>
      </c>
      <c r="B332" s="42" t="str">
        <f aca="false">Sales_Transactions!B332</f>
        <v>2025-10</v>
      </c>
      <c r="C332" s="42" t="str">
        <f aca="false">Sales_Transactions!C332</f>
        <v>Actual</v>
      </c>
      <c r="D332" s="42" t="str">
        <f aca="false">Sales_Transactions!D332</f>
        <v>C022</v>
      </c>
      <c r="E332" s="42" t="str">
        <f aca="false">Sales_Transactions!E332</f>
        <v>P008</v>
      </c>
      <c r="F332" s="42" t="str">
        <f aca="false">IFERROR(INDEX(Customer_Master!$C$2:$C$49,MATCH(D332,Customer_Master!$A$2:$A$49,0)),"UNMATCHED")</f>
        <v>North</v>
      </c>
      <c r="G332" s="42" t="str">
        <f aca="false">IFERROR(INDEX(Customer_Master!$D$2:$D$49,MATCH(D332,Customer_Master!$A$2:$A$49,0)),"UNMATCHED")</f>
        <v>Distributor</v>
      </c>
      <c r="H332" s="42" t="str">
        <f aca="false">IFERROR(INDEX(Product_Master!$C$2:$C$9,MATCH(E332,Product_Master!$A$2:$A$9,0)),"UNMATCHED")</f>
        <v>Personal Care</v>
      </c>
      <c r="I332" s="42" t="str">
        <f aca="false">IFERROR(INDEX(Product_Master!$B$2:$B$9,MATCH(E332,Product_Master!$A$2:$A$9,0)),"UNMATCHED")</f>
        <v>Body Lotion</v>
      </c>
      <c r="J332" s="42" t="n">
        <f aca="false">IFERROR(INDEX(Calendar!$B$2:$B$25,MATCH(B332,Calendar!$A$2:$A$25,0)),0)</f>
        <v>2025</v>
      </c>
      <c r="K332" s="42" t="n">
        <f aca="false">IFERROR(VALUE(RIGHT(B332,2)),0)</f>
        <v>10</v>
      </c>
      <c r="L332" s="42" t="str">
        <f aca="false">IFERROR(INDEX(Calendar!$E$2:$E$25,MATCH(B332,Calendar!$A$2:$A$25,0)),"UNMATCHED")</f>
        <v>Actual</v>
      </c>
      <c r="M332" s="42" t="n">
        <f aca="false">Sales_Transactions!F332</f>
        <v>383</v>
      </c>
      <c r="N332" s="52" t="n">
        <f aca="false">Sales_Transactions!I332</f>
        <v>113099.9</v>
      </c>
      <c r="O332" s="52" t="n">
        <f aca="false">Sales_Transactions!J332</f>
        <v>78553.3</v>
      </c>
      <c r="P332" s="52" t="n">
        <f aca="false">Sales_Transactions!K332</f>
        <v>34546.6</v>
      </c>
      <c r="Q332" s="42" t="n">
        <f aca="false">IF(ISNUMBER(MATCH(E332,Product_Master!$A$2:$A$9,0)),0,1)</f>
        <v>0</v>
      </c>
      <c r="R332" s="42" t="n">
        <f aca="false">IF(ISNUMBER(MATCH(D332,Customer_Master!$A$2:$A$49,0)),0,1)</f>
        <v>0</v>
      </c>
      <c r="S332" s="42" t="n">
        <f aca="false">IF(ISNUMBER(MATCH(B332,Calendar!$A$2:$A$25,0)),0,1)</f>
        <v>0</v>
      </c>
      <c r="T332" s="42" t="n">
        <f aca="false">IF(COUNTIF(Sales_Transactions!$A$2:$A$865,A332)&gt;1,1,0)</f>
        <v>0</v>
      </c>
      <c r="U332" s="42" t="n">
        <f aca="false">IF(OR(ABS(Sales_Transactions!F332*Sales_Transactions!G332-Sales_Transactions!I332)&gt;0.01,ABS(Sales_Transactions!F332*Sales_Transactions!H332-Sales_Transactions!J332)&gt;0.01,ABS(Sales_Transactions!I332-Sales_Transactions!J332-Sales_Transactions!K332)&gt;0.01),1,0)</f>
        <v>0</v>
      </c>
      <c r="V332" s="42" t="n">
        <f aca="false">IF(C332&lt;&gt;L332,1,0)</f>
        <v>0</v>
      </c>
      <c r="W332" s="42" t="n">
        <f aca="false">IF(SUM(Q332:V332)&gt;0,1,0)</f>
        <v>0</v>
      </c>
    </row>
    <row r="333" customFormat="false" ht="15" hidden="false" customHeight="false" outlineLevel="0" collapsed="false">
      <c r="A333" s="42" t="str">
        <f aca="false">Sales_Transactions!A333</f>
        <v>INV-10-008</v>
      </c>
      <c r="B333" s="42" t="str">
        <f aca="false">Sales_Transactions!B333</f>
        <v>2025-10</v>
      </c>
      <c r="C333" s="42" t="str">
        <f aca="false">Sales_Transactions!C333</f>
        <v>Actual</v>
      </c>
      <c r="D333" s="42" t="str">
        <f aca="false">Sales_Transactions!D333</f>
        <v>C029</v>
      </c>
      <c r="E333" s="42" t="str">
        <f aca="false">Sales_Transactions!E333</f>
        <v>P005</v>
      </c>
      <c r="F333" s="42" t="str">
        <f aca="false">IFERROR(INDEX(Customer_Master!$C$2:$C$49,MATCH(D333,Customer_Master!$A$2:$A$49,0)),"UNMATCHED")</f>
        <v>South</v>
      </c>
      <c r="G333" s="42" t="str">
        <f aca="false">IFERROR(INDEX(Customer_Master!$D$2:$D$49,MATCH(D333,Customer_Master!$A$2:$A$49,0)),"UNMATCHED")</f>
        <v>Modern Trade</v>
      </c>
      <c r="H333" s="42" t="str">
        <f aca="false">IFERROR(INDEX(Product_Master!$C$2:$C$9,MATCH(E333,Product_Master!$A$2:$A$9,0)),"UNMATCHED")</f>
        <v>Foods</v>
      </c>
      <c r="I333" s="42" t="str">
        <f aca="false">IFERROR(INDEX(Product_Master!$B$2:$B$9,MATCH(E333,Product_Master!$A$2:$A$9,0)),"UNMATCHED")</f>
        <v>Biscuits 500g</v>
      </c>
      <c r="J333" s="42" t="n">
        <f aca="false">IFERROR(INDEX(Calendar!$B$2:$B$25,MATCH(B333,Calendar!$A$2:$A$25,0)),0)</f>
        <v>2025</v>
      </c>
      <c r="K333" s="42" t="n">
        <f aca="false">IFERROR(VALUE(RIGHT(B333,2)),0)</f>
        <v>10</v>
      </c>
      <c r="L333" s="42" t="str">
        <f aca="false">IFERROR(INDEX(Calendar!$E$2:$E$25,MATCH(B333,Calendar!$A$2:$A$25,0)),"UNMATCHED")</f>
        <v>Actual</v>
      </c>
      <c r="M333" s="42" t="n">
        <f aca="false">Sales_Transactions!F333</f>
        <v>215</v>
      </c>
      <c r="N333" s="52" t="n">
        <f aca="false">Sales_Transactions!I333</f>
        <v>22461.05</v>
      </c>
      <c r="O333" s="52" t="n">
        <f aca="false">Sales_Transactions!J333</f>
        <v>14981.2</v>
      </c>
      <c r="P333" s="52" t="n">
        <f aca="false">Sales_Transactions!K333</f>
        <v>7479.85</v>
      </c>
      <c r="Q333" s="42" t="n">
        <f aca="false">IF(ISNUMBER(MATCH(E333,Product_Master!$A$2:$A$9,0)),0,1)</f>
        <v>0</v>
      </c>
      <c r="R333" s="42" t="n">
        <f aca="false">IF(ISNUMBER(MATCH(D333,Customer_Master!$A$2:$A$49,0)),0,1)</f>
        <v>0</v>
      </c>
      <c r="S333" s="42" t="n">
        <f aca="false">IF(ISNUMBER(MATCH(B333,Calendar!$A$2:$A$25,0)),0,1)</f>
        <v>0</v>
      </c>
      <c r="T333" s="42" t="n">
        <f aca="false">IF(COUNTIF(Sales_Transactions!$A$2:$A$865,A333)&gt;1,1,0)</f>
        <v>0</v>
      </c>
      <c r="U333" s="42" t="n">
        <f aca="false">IF(OR(ABS(Sales_Transactions!F333*Sales_Transactions!G333-Sales_Transactions!I333)&gt;0.01,ABS(Sales_Transactions!F333*Sales_Transactions!H333-Sales_Transactions!J333)&gt;0.01,ABS(Sales_Transactions!I333-Sales_Transactions!J333-Sales_Transactions!K333)&gt;0.01),1,0)</f>
        <v>0</v>
      </c>
      <c r="V333" s="42" t="n">
        <f aca="false">IF(C333&lt;&gt;L333,1,0)</f>
        <v>0</v>
      </c>
      <c r="W333" s="42" t="n">
        <f aca="false">IF(SUM(Q333:V333)&gt;0,1,0)</f>
        <v>0</v>
      </c>
    </row>
    <row r="334" customFormat="false" ht="15" hidden="false" customHeight="false" outlineLevel="0" collapsed="false">
      <c r="A334" s="42" t="str">
        <f aca="false">Sales_Transactions!A334</f>
        <v>INV-10-009</v>
      </c>
      <c r="B334" s="42" t="str">
        <f aca="false">Sales_Transactions!B334</f>
        <v>2025-10</v>
      </c>
      <c r="C334" s="42" t="str">
        <f aca="false">Sales_Transactions!C334</f>
        <v>Actual</v>
      </c>
      <c r="D334" s="42" t="str">
        <f aca="false">Sales_Transactions!D334</f>
        <v>C036</v>
      </c>
      <c r="E334" s="42" t="str">
        <f aca="false">Sales_Transactions!E334</f>
        <v>P002</v>
      </c>
      <c r="F334" s="42" t="str">
        <f aca="false">IFERROR(INDEX(Customer_Master!$C$2:$C$49,MATCH(D334,Customer_Master!$A$2:$A$49,0)),"UNMATCHED")</f>
        <v>East</v>
      </c>
      <c r="G334" s="42" t="str">
        <f aca="false">IFERROR(INDEX(Customer_Master!$D$2:$D$49,MATCH(D334,Customer_Master!$A$2:$A$49,0)),"UNMATCHED")</f>
        <v>Retail</v>
      </c>
      <c r="H334" s="42" t="str">
        <f aca="false">IFERROR(INDEX(Product_Master!$C$2:$C$9,MATCH(E334,Product_Master!$A$2:$A$9,0)),"UNMATCHED")</f>
        <v>Home Care</v>
      </c>
      <c r="I334" s="42" t="str">
        <f aca="false">IFERROR(INDEX(Product_Master!$B$2:$B$9,MATCH(E334,Product_Master!$A$2:$A$9,0)),"UNMATCHED")</f>
        <v>Dishwash Gel</v>
      </c>
      <c r="J334" s="42" t="n">
        <f aca="false">IFERROR(INDEX(Calendar!$B$2:$B$25,MATCH(B334,Calendar!$A$2:$A$25,0)),0)</f>
        <v>2025</v>
      </c>
      <c r="K334" s="42" t="n">
        <f aca="false">IFERROR(VALUE(RIGHT(B334,2)),0)</f>
        <v>10</v>
      </c>
      <c r="L334" s="42" t="str">
        <f aca="false">IFERROR(INDEX(Calendar!$E$2:$E$25,MATCH(B334,Calendar!$A$2:$A$25,0)),"UNMATCHED")</f>
        <v>Actual</v>
      </c>
      <c r="M334" s="42" t="n">
        <f aca="false">Sales_Transactions!F334</f>
        <v>323</v>
      </c>
      <c r="N334" s="52" t="n">
        <f aca="false">Sales_Transactions!I334</f>
        <v>47170.92</v>
      </c>
      <c r="O334" s="52" t="n">
        <f aca="false">Sales_Transactions!J334</f>
        <v>27580.97</v>
      </c>
      <c r="P334" s="52" t="n">
        <f aca="false">Sales_Transactions!K334</f>
        <v>19589.95</v>
      </c>
      <c r="Q334" s="42" t="n">
        <f aca="false">IF(ISNUMBER(MATCH(E334,Product_Master!$A$2:$A$9,0)),0,1)</f>
        <v>0</v>
      </c>
      <c r="R334" s="42" t="n">
        <f aca="false">IF(ISNUMBER(MATCH(D334,Customer_Master!$A$2:$A$49,0)),0,1)</f>
        <v>0</v>
      </c>
      <c r="S334" s="42" t="n">
        <f aca="false">IF(ISNUMBER(MATCH(B334,Calendar!$A$2:$A$25,0)),0,1)</f>
        <v>0</v>
      </c>
      <c r="T334" s="42" t="n">
        <f aca="false">IF(COUNTIF(Sales_Transactions!$A$2:$A$865,A334)&gt;1,1,0)</f>
        <v>0</v>
      </c>
      <c r="U334" s="42" t="n">
        <f aca="false">IF(OR(ABS(Sales_Transactions!F334*Sales_Transactions!G334-Sales_Transactions!I334)&gt;0.01,ABS(Sales_Transactions!F334*Sales_Transactions!H334-Sales_Transactions!J334)&gt;0.01,ABS(Sales_Transactions!I334-Sales_Transactions!J334-Sales_Transactions!K334)&gt;0.01),1,0)</f>
        <v>0</v>
      </c>
      <c r="V334" s="42" t="n">
        <f aca="false">IF(C334&lt;&gt;L334,1,0)</f>
        <v>0</v>
      </c>
      <c r="W334" s="42" t="n">
        <f aca="false">IF(SUM(Q334:V334)&gt;0,1,0)</f>
        <v>0</v>
      </c>
    </row>
    <row r="335" customFormat="false" ht="15" hidden="false" customHeight="false" outlineLevel="0" collapsed="false">
      <c r="A335" s="42" t="str">
        <f aca="false">Sales_Transactions!A335</f>
        <v>INV-10-010</v>
      </c>
      <c r="B335" s="42" t="str">
        <f aca="false">Sales_Transactions!B335</f>
        <v>2025-10</v>
      </c>
      <c r="C335" s="42" t="str">
        <f aca="false">Sales_Transactions!C335</f>
        <v>Actual</v>
      </c>
      <c r="D335" s="42" t="str">
        <f aca="false">Sales_Transactions!D335</f>
        <v>C043</v>
      </c>
      <c r="E335" s="42" t="str">
        <f aca="false">Sales_Transactions!E335</f>
        <v>P007</v>
      </c>
      <c r="F335" s="42" t="str">
        <f aca="false">IFERROR(INDEX(Customer_Master!$C$2:$C$49,MATCH(D335,Customer_Master!$A$2:$A$49,0)),"UNMATCHED")</f>
        <v>West</v>
      </c>
      <c r="G335" s="42" t="str">
        <f aca="false">IFERROR(INDEX(Customer_Master!$D$2:$D$49,MATCH(D335,Customer_Master!$A$2:$A$49,0)),"UNMATCHED")</f>
        <v>Distributor</v>
      </c>
      <c r="H335" s="42" t="str">
        <f aca="false">IFERROR(INDEX(Product_Master!$C$2:$C$9,MATCH(E335,Product_Master!$A$2:$A$9,0)),"UNMATCHED")</f>
        <v>Home Care</v>
      </c>
      <c r="I335" s="42" t="str">
        <f aca="false">IFERROR(INDEX(Product_Master!$B$2:$B$9,MATCH(E335,Product_Master!$A$2:$A$9,0)),"UNMATCHED")</f>
        <v>Floor Cleaner</v>
      </c>
      <c r="J335" s="42" t="n">
        <f aca="false">IFERROR(INDEX(Calendar!$B$2:$B$25,MATCH(B335,Calendar!$A$2:$A$25,0)),0)</f>
        <v>2025</v>
      </c>
      <c r="K335" s="42" t="n">
        <f aca="false">IFERROR(VALUE(RIGHT(B335,2)),0)</f>
        <v>10</v>
      </c>
      <c r="L335" s="42" t="str">
        <f aca="false">IFERROR(INDEX(Calendar!$E$2:$E$25,MATCH(B335,Calendar!$A$2:$A$25,0)),"UNMATCHED")</f>
        <v>Actual</v>
      </c>
      <c r="M335" s="42" t="n">
        <f aca="false">Sales_Transactions!F335</f>
        <v>165</v>
      </c>
      <c r="N335" s="52" t="n">
        <f aca="false">Sales_Transactions!I335</f>
        <v>28201.8</v>
      </c>
      <c r="O335" s="52" t="n">
        <f aca="false">Sales_Transactions!J335</f>
        <v>19836.3</v>
      </c>
      <c r="P335" s="52" t="n">
        <f aca="false">Sales_Transactions!K335</f>
        <v>8365.5</v>
      </c>
      <c r="Q335" s="42" t="n">
        <f aca="false">IF(ISNUMBER(MATCH(E335,Product_Master!$A$2:$A$9,0)),0,1)</f>
        <v>0</v>
      </c>
      <c r="R335" s="42" t="n">
        <f aca="false">IF(ISNUMBER(MATCH(D335,Customer_Master!$A$2:$A$49,0)),0,1)</f>
        <v>0</v>
      </c>
      <c r="S335" s="42" t="n">
        <f aca="false">IF(ISNUMBER(MATCH(B335,Calendar!$A$2:$A$25,0)),0,1)</f>
        <v>0</v>
      </c>
      <c r="T335" s="42" t="n">
        <f aca="false">IF(COUNTIF(Sales_Transactions!$A$2:$A$865,A335)&gt;1,1,0)</f>
        <v>0</v>
      </c>
      <c r="U335" s="42" t="n">
        <f aca="false">IF(OR(ABS(Sales_Transactions!F335*Sales_Transactions!G335-Sales_Transactions!I335)&gt;0.01,ABS(Sales_Transactions!F335*Sales_Transactions!H335-Sales_Transactions!J335)&gt;0.01,ABS(Sales_Transactions!I335-Sales_Transactions!J335-Sales_Transactions!K335)&gt;0.01),1,0)</f>
        <v>0</v>
      </c>
      <c r="V335" s="42" t="n">
        <f aca="false">IF(C335&lt;&gt;L335,1,0)</f>
        <v>0</v>
      </c>
      <c r="W335" s="42" t="n">
        <f aca="false">IF(SUM(Q335:V335)&gt;0,1,0)</f>
        <v>0</v>
      </c>
    </row>
    <row r="336" customFormat="false" ht="15" hidden="false" customHeight="false" outlineLevel="0" collapsed="false">
      <c r="A336" s="42" t="str">
        <f aca="false">Sales_Transactions!A336</f>
        <v>INV-10-011</v>
      </c>
      <c r="B336" s="42" t="str">
        <f aca="false">Sales_Transactions!B336</f>
        <v>2025-10</v>
      </c>
      <c r="C336" s="42" t="str">
        <f aca="false">Sales_Transactions!C336</f>
        <v>Actual</v>
      </c>
      <c r="D336" s="42" t="str">
        <f aca="false">Sales_Transactions!D336</f>
        <v>C002</v>
      </c>
      <c r="E336" s="42" t="str">
        <f aca="false">Sales_Transactions!E336</f>
        <v>P004</v>
      </c>
      <c r="F336" s="42" t="str">
        <f aca="false">IFERROR(INDEX(Customer_Master!$C$2:$C$49,MATCH(D336,Customer_Master!$A$2:$A$49,0)),"UNMATCHED")</f>
        <v>North</v>
      </c>
      <c r="G336" s="42" t="str">
        <f aca="false">IFERROR(INDEX(Customer_Master!$D$2:$D$49,MATCH(D336,Customer_Master!$A$2:$A$49,0)),"UNMATCHED")</f>
        <v>Modern Trade</v>
      </c>
      <c r="H336" s="42" t="str">
        <f aca="false">IFERROR(INDEX(Product_Master!$C$2:$C$9,MATCH(E336,Product_Master!$A$2:$A$9,0)),"UNMATCHED")</f>
        <v>Personal Care</v>
      </c>
      <c r="I336" s="42" t="str">
        <f aca="false">IFERROR(INDEX(Product_Master!$B$2:$B$9,MATCH(E336,Product_Master!$A$2:$A$9,0)),"UNMATCHED")</f>
        <v>Soap 4-pack</v>
      </c>
      <c r="J336" s="42" t="n">
        <f aca="false">IFERROR(INDEX(Calendar!$B$2:$B$25,MATCH(B336,Calendar!$A$2:$A$25,0)),0)</f>
        <v>2025</v>
      </c>
      <c r="K336" s="42" t="n">
        <f aca="false">IFERROR(VALUE(RIGHT(B336,2)),0)</f>
        <v>10</v>
      </c>
      <c r="L336" s="42" t="str">
        <f aca="false">IFERROR(INDEX(Calendar!$E$2:$E$25,MATCH(B336,Calendar!$A$2:$A$25,0)),"UNMATCHED")</f>
        <v>Actual</v>
      </c>
      <c r="M336" s="42" t="n">
        <f aca="false">Sales_Transactions!F336</f>
        <v>385</v>
      </c>
      <c r="N336" s="52" t="n">
        <f aca="false">Sales_Transactions!I336</f>
        <v>62585.6</v>
      </c>
      <c r="O336" s="52" t="n">
        <f aca="false">Sales_Transactions!J336</f>
        <v>39747.4</v>
      </c>
      <c r="P336" s="52" t="n">
        <f aca="false">Sales_Transactions!K336</f>
        <v>22838.2</v>
      </c>
      <c r="Q336" s="42" t="n">
        <f aca="false">IF(ISNUMBER(MATCH(E336,Product_Master!$A$2:$A$9,0)),0,1)</f>
        <v>0</v>
      </c>
      <c r="R336" s="42" t="n">
        <f aca="false">IF(ISNUMBER(MATCH(D336,Customer_Master!$A$2:$A$49,0)),0,1)</f>
        <v>0</v>
      </c>
      <c r="S336" s="42" t="n">
        <f aca="false">IF(ISNUMBER(MATCH(B336,Calendar!$A$2:$A$25,0)),0,1)</f>
        <v>0</v>
      </c>
      <c r="T336" s="42" t="n">
        <f aca="false">IF(COUNTIF(Sales_Transactions!$A$2:$A$865,A336)&gt;1,1,0)</f>
        <v>0</v>
      </c>
      <c r="U336" s="42" t="n">
        <f aca="false">IF(OR(ABS(Sales_Transactions!F336*Sales_Transactions!G336-Sales_Transactions!I336)&gt;0.01,ABS(Sales_Transactions!F336*Sales_Transactions!H336-Sales_Transactions!J336)&gt;0.01,ABS(Sales_Transactions!I336-Sales_Transactions!J336-Sales_Transactions!K336)&gt;0.01),1,0)</f>
        <v>0</v>
      </c>
      <c r="V336" s="42" t="n">
        <f aca="false">IF(C336&lt;&gt;L336,1,0)</f>
        <v>0</v>
      </c>
      <c r="W336" s="42" t="n">
        <f aca="false">IF(SUM(Q336:V336)&gt;0,1,0)</f>
        <v>0</v>
      </c>
    </row>
    <row r="337" customFormat="false" ht="15" hidden="false" customHeight="false" outlineLevel="0" collapsed="false">
      <c r="A337" s="42" t="str">
        <f aca="false">Sales_Transactions!A337</f>
        <v>INV-10-012</v>
      </c>
      <c r="B337" s="42" t="str">
        <f aca="false">Sales_Transactions!B337</f>
        <v>2025-10</v>
      </c>
      <c r="C337" s="42" t="str">
        <f aca="false">Sales_Transactions!C337</f>
        <v>Actual</v>
      </c>
      <c r="D337" s="42" t="str">
        <f aca="false">Sales_Transactions!D337</f>
        <v>C009</v>
      </c>
      <c r="E337" s="42" t="str">
        <f aca="false">Sales_Transactions!E337</f>
        <v>P001</v>
      </c>
      <c r="F337" s="42" t="str">
        <f aca="false">IFERROR(INDEX(Customer_Master!$C$2:$C$49,MATCH(D337,Customer_Master!$A$2:$A$49,0)),"UNMATCHED")</f>
        <v>South</v>
      </c>
      <c r="G337" s="42" t="str">
        <f aca="false">IFERROR(INDEX(Customer_Master!$D$2:$D$49,MATCH(D337,Customer_Master!$A$2:$A$49,0)),"UNMATCHED")</f>
        <v>Retail</v>
      </c>
      <c r="H337" s="42" t="str">
        <f aca="false">IFERROR(INDEX(Product_Master!$C$2:$C$9,MATCH(E337,Product_Master!$A$2:$A$9,0)),"UNMATCHED")</f>
        <v>Home Care</v>
      </c>
      <c r="I337" s="42" t="str">
        <f aca="false">IFERROR(INDEX(Product_Master!$B$2:$B$9,MATCH(E337,Product_Master!$A$2:$A$9,0)),"UNMATCHED")</f>
        <v>Detergent 1kg</v>
      </c>
      <c r="J337" s="42" t="n">
        <f aca="false">IFERROR(INDEX(Calendar!$B$2:$B$25,MATCH(B337,Calendar!$A$2:$A$25,0)),0)</f>
        <v>2025</v>
      </c>
      <c r="K337" s="42" t="n">
        <f aca="false">IFERROR(VALUE(RIGHT(B337,2)),0)</f>
        <v>10</v>
      </c>
      <c r="L337" s="42" t="str">
        <f aca="false">IFERROR(INDEX(Calendar!$E$2:$E$25,MATCH(B337,Calendar!$A$2:$A$25,0)),"UNMATCHED")</f>
        <v>Actual</v>
      </c>
      <c r="M337" s="42" t="n">
        <f aca="false">Sales_Transactions!F337</f>
        <v>438</v>
      </c>
      <c r="N337" s="52" t="n">
        <f aca="false">Sales_Transactions!I337</f>
        <v>84853.74</v>
      </c>
      <c r="O337" s="52" t="n">
        <f aca="false">Sales_Transactions!J337</f>
        <v>61368.18</v>
      </c>
      <c r="P337" s="52" t="n">
        <f aca="false">Sales_Transactions!K337</f>
        <v>23485.56</v>
      </c>
      <c r="Q337" s="42" t="n">
        <f aca="false">IF(ISNUMBER(MATCH(E337,Product_Master!$A$2:$A$9,0)),0,1)</f>
        <v>0</v>
      </c>
      <c r="R337" s="42" t="n">
        <f aca="false">IF(ISNUMBER(MATCH(D337,Customer_Master!$A$2:$A$49,0)),0,1)</f>
        <v>0</v>
      </c>
      <c r="S337" s="42" t="n">
        <f aca="false">IF(ISNUMBER(MATCH(B337,Calendar!$A$2:$A$25,0)),0,1)</f>
        <v>0</v>
      </c>
      <c r="T337" s="42" t="n">
        <f aca="false">IF(COUNTIF(Sales_Transactions!$A$2:$A$865,A337)&gt;1,1,0)</f>
        <v>0</v>
      </c>
      <c r="U337" s="42" t="n">
        <f aca="false">IF(OR(ABS(Sales_Transactions!F337*Sales_Transactions!G337-Sales_Transactions!I337)&gt;0.01,ABS(Sales_Transactions!F337*Sales_Transactions!H337-Sales_Transactions!J337)&gt;0.01,ABS(Sales_Transactions!I337-Sales_Transactions!J337-Sales_Transactions!K337)&gt;0.01),1,0)</f>
        <v>0</v>
      </c>
      <c r="V337" s="42" t="n">
        <f aca="false">IF(C337&lt;&gt;L337,1,0)</f>
        <v>0</v>
      </c>
      <c r="W337" s="42" t="n">
        <f aca="false">IF(SUM(Q337:V337)&gt;0,1,0)</f>
        <v>0</v>
      </c>
    </row>
    <row r="338" customFormat="false" ht="15" hidden="false" customHeight="false" outlineLevel="0" collapsed="false">
      <c r="A338" s="42" t="str">
        <f aca="false">Sales_Transactions!A338</f>
        <v>INV-10-013</v>
      </c>
      <c r="B338" s="42" t="str">
        <f aca="false">Sales_Transactions!B338</f>
        <v>2025-10</v>
      </c>
      <c r="C338" s="42" t="str">
        <f aca="false">Sales_Transactions!C338</f>
        <v>Actual</v>
      </c>
      <c r="D338" s="42" t="str">
        <f aca="false">Sales_Transactions!D338</f>
        <v>C016</v>
      </c>
      <c r="E338" s="42" t="str">
        <f aca="false">Sales_Transactions!E338</f>
        <v>P006</v>
      </c>
      <c r="F338" s="42" t="str">
        <f aca="false">IFERROR(INDEX(Customer_Master!$C$2:$C$49,MATCH(D338,Customer_Master!$A$2:$A$49,0)),"UNMATCHED")</f>
        <v>East</v>
      </c>
      <c r="G338" s="42" t="str">
        <f aca="false">IFERROR(INDEX(Customer_Master!$D$2:$D$49,MATCH(D338,Customer_Master!$A$2:$A$49,0)),"UNMATCHED")</f>
        <v>Distributor</v>
      </c>
      <c r="H338" s="42" t="str">
        <f aca="false">IFERROR(INDEX(Product_Master!$C$2:$C$9,MATCH(E338,Product_Master!$A$2:$A$9,0)),"UNMATCHED")</f>
        <v>Foods</v>
      </c>
      <c r="I338" s="42" t="str">
        <f aca="false">IFERROR(INDEX(Product_Master!$B$2:$B$9,MATCH(E338,Product_Master!$A$2:$A$9,0)),"UNMATCHED")</f>
        <v>Breakfast Cereal</v>
      </c>
      <c r="J338" s="42" t="n">
        <f aca="false">IFERROR(INDEX(Calendar!$B$2:$B$25,MATCH(B338,Calendar!$A$2:$A$25,0)),0)</f>
        <v>2025</v>
      </c>
      <c r="K338" s="42" t="n">
        <f aca="false">IFERROR(VALUE(RIGHT(B338,2)),0)</f>
        <v>10</v>
      </c>
      <c r="L338" s="42" t="str">
        <f aca="false">IFERROR(INDEX(Calendar!$E$2:$E$25,MATCH(B338,Calendar!$A$2:$A$25,0)),"UNMATCHED")</f>
        <v>Actual</v>
      </c>
      <c r="M338" s="42" t="n">
        <f aca="false">Sales_Transactions!F338</f>
        <v>186</v>
      </c>
      <c r="N338" s="52" t="n">
        <f aca="false">Sales_Transactions!I338</f>
        <v>48374.88</v>
      </c>
      <c r="O338" s="52" t="n">
        <f aca="false">Sales_Transactions!J338</f>
        <v>30825.78</v>
      </c>
      <c r="P338" s="52" t="n">
        <f aca="false">Sales_Transactions!K338</f>
        <v>17549.1</v>
      </c>
      <c r="Q338" s="42" t="n">
        <f aca="false">IF(ISNUMBER(MATCH(E338,Product_Master!$A$2:$A$9,0)),0,1)</f>
        <v>0</v>
      </c>
      <c r="R338" s="42" t="n">
        <f aca="false">IF(ISNUMBER(MATCH(D338,Customer_Master!$A$2:$A$49,0)),0,1)</f>
        <v>0</v>
      </c>
      <c r="S338" s="42" t="n">
        <f aca="false">IF(ISNUMBER(MATCH(B338,Calendar!$A$2:$A$25,0)),0,1)</f>
        <v>0</v>
      </c>
      <c r="T338" s="42" t="n">
        <f aca="false">IF(COUNTIF(Sales_Transactions!$A$2:$A$865,A338)&gt;1,1,0)</f>
        <v>0</v>
      </c>
      <c r="U338" s="42" t="n">
        <f aca="false">IF(OR(ABS(Sales_Transactions!F338*Sales_Transactions!G338-Sales_Transactions!I338)&gt;0.01,ABS(Sales_Transactions!F338*Sales_Transactions!H338-Sales_Transactions!J338)&gt;0.01,ABS(Sales_Transactions!I338-Sales_Transactions!J338-Sales_Transactions!K338)&gt;0.01),1,0)</f>
        <v>0</v>
      </c>
      <c r="V338" s="42" t="n">
        <f aca="false">IF(C338&lt;&gt;L338,1,0)</f>
        <v>0</v>
      </c>
      <c r="W338" s="42" t="n">
        <f aca="false">IF(SUM(Q338:V338)&gt;0,1,0)</f>
        <v>0</v>
      </c>
    </row>
    <row r="339" customFormat="false" ht="15" hidden="false" customHeight="false" outlineLevel="0" collapsed="false">
      <c r="A339" s="42" t="str">
        <f aca="false">Sales_Transactions!A339</f>
        <v>INV-10-014</v>
      </c>
      <c r="B339" s="42" t="str">
        <f aca="false">Sales_Transactions!B339</f>
        <v>2025-10</v>
      </c>
      <c r="C339" s="42" t="str">
        <f aca="false">Sales_Transactions!C339</f>
        <v>Actual</v>
      </c>
      <c r="D339" s="42" t="str">
        <f aca="false">Sales_Transactions!D339</f>
        <v>C023</v>
      </c>
      <c r="E339" s="42" t="str">
        <f aca="false">Sales_Transactions!E339</f>
        <v>P003</v>
      </c>
      <c r="F339" s="42" t="str">
        <f aca="false">IFERROR(INDEX(Customer_Master!$C$2:$C$49,MATCH(D339,Customer_Master!$A$2:$A$49,0)),"UNMATCHED")</f>
        <v>West</v>
      </c>
      <c r="G339" s="42" t="str">
        <f aca="false">IFERROR(INDEX(Customer_Master!$D$2:$D$49,MATCH(D339,Customer_Master!$A$2:$A$49,0)),"UNMATCHED")</f>
        <v>Modern Trade</v>
      </c>
      <c r="H339" s="42" t="str">
        <f aca="false">IFERROR(INDEX(Product_Master!$C$2:$C$9,MATCH(E339,Product_Master!$A$2:$A$9,0)),"UNMATCHED")</f>
        <v>Personal Care</v>
      </c>
      <c r="I339" s="42" t="str">
        <f aca="false">IFERROR(INDEX(Product_Master!$B$2:$B$9,MATCH(E339,Product_Master!$A$2:$A$9,0)),"UNMATCHED")</f>
        <v>Shampoo 400ml</v>
      </c>
      <c r="J339" s="42" t="n">
        <f aca="false">IFERROR(INDEX(Calendar!$B$2:$B$25,MATCH(B339,Calendar!$A$2:$A$25,0)),0)</f>
        <v>2025</v>
      </c>
      <c r="K339" s="42" t="n">
        <f aca="false">IFERROR(VALUE(RIGHT(B339,2)),0)</f>
        <v>10</v>
      </c>
      <c r="L339" s="42" t="str">
        <f aca="false">IFERROR(INDEX(Calendar!$E$2:$E$25,MATCH(B339,Calendar!$A$2:$A$25,0)),"UNMATCHED")</f>
        <v>Actual</v>
      </c>
      <c r="M339" s="42" t="n">
        <f aca="false">Sales_Transactions!F339</f>
        <v>139</v>
      </c>
      <c r="N339" s="52" t="n">
        <f aca="false">Sales_Transactions!I339</f>
        <v>35838.37</v>
      </c>
      <c r="O339" s="52" t="n">
        <f aca="false">Sales_Transactions!J339</f>
        <v>24450.1</v>
      </c>
      <c r="P339" s="52" t="n">
        <f aca="false">Sales_Transactions!K339</f>
        <v>11388.27</v>
      </c>
      <c r="Q339" s="42" t="n">
        <f aca="false">IF(ISNUMBER(MATCH(E339,Product_Master!$A$2:$A$9,0)),0,1)</f>
        <v>0</v>
      </c>
      <c r="R339" s="42" t="n">
        <f aca="false">IF(ISNUMBER(MATCH(D339,Customer_Master!$A$2:$A$49,0)),0,1)</f>
        <v>0</v>
      </c>
      <c r="S339" s="42" t="n">
        <f aca="false">IF(ISNUMBER(MATCH(B339,Calendar!$A$2:$A$25,0)),0,1)</f>
        <v>0</v>
      </c>
      <c r="T339" s="42" t="n">
        <f aca="false">IF(COUNTIF(Sales_Transactions!$A$2:$A$865,A339)&gt;1,1,0)</f>
        <v>0</v>
      </c>
      <c r="U339" s="42" t="n">
        <f aca="false">IF(OR(ABS(Sales_Transactions!F339*Sales_Transactions!G339-Sales_Transactions!I339)&gt;0.01,ABS(Sales_Transactions!F339*Sales_Transactions!H339-Sales_Transactions!J339)&gt;0.01,ABS(Sales_Transactions!I339-Sales_Transactions!J339-Sales_Transactions!K339)&gt;0.01),1,0)</f>
        <v>0</v>
      </c>
      <c r="V339" s="42" t="n">
        <f aca="false">IF(C339&lt;&gt;L339,1,0)</f>
        <v>0</v>
      </c>
      <c r="W339" s="42" t="n">
        <f aca="false">IF(SUM(Q339:V339)&gt;0,1,0)</f>
        <v>0</v>
      </c>
    </row>
    <row r="340" customFormat="false" ht="15" hidden="false" customHeight="false" outlineLevel="0" collapsed="false">
      <c r="A340" s="42" t="str">
        <f aca="false">Sales_Transactions!A340</f>
        <v>INV-10-015</v>
      </c>
      <c r="B340" s="42" t="str">
        <f aca="false">Sales_Transactions!B340</f>
        <v>2025-10</v>
      </c>
      <c r="C340" s="42" t="str">
        <f aca="false">Sales_Transactions!C340</f>
        <v>Actual</v>
      </c>
      <c r="D340" s="42" t="str">
        <f aca="false">Sales_Transactions!D340</f>
        <v>C030</v>
      </c>
      <c r="E340" s="42" t="str">
        <f aca="false">Sales_Transactions!E340</f>
        <v>P008</v>
      </c>
      <c r="F340" s="42" t="str">
        <f aca="false">IFERROR(INDEX(Customer_Master!$C$2:$C$49,MATCH(D340,Customer_Master!$A$2:$A$49,0)),"UNMATCHED")</f>
        <v>North</v>
      </c>
      <c r="G340" s="42" t="str">
        <f aca="false">IFERROR(INDEX(Customer_Master!$D$2:$D$49,MATCH(D340,Customer_Master!$A$2:$A$49,0)),"UNMATCHED")</f>
        <v>Retail</v>
      </c>
      <c r="H340" s="42" t="str">
        <f aca="false">IFERROR(INDEX(Product_Master!$C$2:$C$9,MATCH(E340,Product_Master!$A$2:$A$9,0)),"UNMATCHED")</f>
        <v>Personal Care</v>
      </c>
      <c r="I340" s="42" t="str">
        <f aca="false">IFERROR(INDEX(Product_Master!$B$2:$B$9,MATCH(E340,Product_Master!$A$2:$A$9,0)),"UNMATCHED")</f>
        <v>Body Lotion</v>
      </c>
      <c r="J340" s="42" t="n">
        <f aca="false">IFERROR(INDEX(Calendar!$B$2:$B$25,MATCH(B340,Calendar!$A$2:$A$25,0)),0)</f>
        <v>2025</v>
      </c>
      <c r="K340" s="42" t="n">
        <f aca="false">IFERROR(VALUE(RIGHT(B340,2)),0)</f>
        <v>10</v>
      </c>
      <c r="L340" s="42" t="str">
        <f aca="false">IFERROR(INDEX(Calendar!$E$2:$E$25,MATCH(B340,Calendar!$A$2:$A$25,0)),"UNMATCHED")</f>
        <v>Actual</v>
      </c>
      <c r="M340" s="42" t="n">
        <f aca="false">Sales_Transactions!F340</f>
        <v>379</v>
      </c>
      <c r="N340" s="52" t="n">
        <f aca="false">Sales_Transactions!I340</f>
        <v>114363.25</v>
      </c>
      <c r="O340" s="52" t="n">
        <f aca="false">Sales_Transactions!J340</f>
        <v>79919.73</v>
      </c>
      <c r="P340" s="52" t="n">
        <f aca="false">Sales_Transactions!K340</f>
        <v>34443.52</v>
      </c>
      <c r="Q340" s="42" t="n">
        <f aca="false">IF(ISNUMBER(MATCH(E340,Product_Master!$A$2:$A$9,0)),0,1)</f>
        <v>0</v>
      </c>
      <c r="R340" s="42" t="n">
        <f aca="false">IF(ISNUMBER(MATCH(D340,Customer_Master!$A$2:$A$49,0)),0,1)</f>
        <v>0</v>
      </c>
      <c r="S340" s="42" t="n">
        <f aca="false">IF(ISNUMBER(MATCH(B340,Calendar!$A$2:$A$25,0)),0,1)</f>
        <v>0</v>
      </c>
      <c r="T340" s="42" t="n">
        <f aca="false">IF(COUNTIF(Sales_Transactions!$A$2:$A$865,A340)&gt;1,1,0)</f>
        <v>0</v>
      </c>
      <c r="U340" s="42" t="n">
        <f aca="false">IF(OR(ABS(Sales_Transactions!F340*Sales_Transactions!G340-Sales_Transactions!I340)&gt;0.01,ABS(Sales_Transactions!F340*Sales_Transactions!H340-Sales_Transactions!J340)&gt;0.01,ABS(Sales_Transactions!I340-Sales_Transactions!J340-Sales_Transactions!K340)&gt;0.01),1,0)</f>
        <v>0</v>
      </c>
      <c r="V340" s="42" t="n">
        <f aca="false">IF(C340&lt;&gt;L340,1,0)</f>
        <v>0</v>
      </c>
      <c r="W340" s="42" t="n">
        <f aca="false">IF(SUM(Q340:V340)&gt;0,1,0)</f>
        <v>0</v>
      </c>
    </row>
    <row r="341" customFormat="false" ht="15" hidden="false" customHeight="false" outlineLevel="0" collapsed="false">
      <c r="A341" s="42" t="str">
        <f aca="false">Sales_Transactions!A341</f>
        <v>INV-10-016</v>
      </c>
      <c r="B341" s="42" t="str">
        <f aca="false">Sales_Transactions!B341</f>
        <v>2025-10</v>
      </c>
      <c r="C341" s="42" t="str">
        <f aca="false">Sales_Transactions!C341</f>
        <v>Actual</v>
      </c>
      <c r="D341" s="42" t="str">
        <f aca="false">Sales_Transactions!D341</f>
        <v>C037</v>
      </c>
      <c r="E341" s="42" t="str">
        <f aca="false">Sales_Transactions!E341</f>
        <v>P005</v>
      </c>
      <c r="F341" s="42" t="str">
        <f aca="false">IFERROR(INDEX(Customer_Master!$C$2:$C$49,MATCH(D341,Customer_Master!$A$2:$A$49,0)),"UNMATCHED")</f>
        <v>South</v>
      </c>
      <c r="G341" s="42" t="str">
        <f aca="false">IFERROR(INDEX(Customer_Master!$D$2:$D$49,MATCH(D341,Customer_Master!$A$2:$A$49,0)),"UNMATCHED")</f>
        <v>Distributor</v>
      </c>
      <c r="H341" s="42" t="str">
        <f aca="false">IFERROR(INDEX(Product_Master!$C$2:$C$9,MATCH(E341,Product_Master!$A$2:$A$9,0)),"UNMATCHED")</f>
        <v>Foods</v>
      </c>
      <c r="I341" s="42" t="str">
        <f aca="false">IFERROR(INDEX(Product_Master!$B$2:$B$9,MATCH(E341,Product_Master!$A$2:$A$9,0)),"UNMATCHED")</f>
        <v>Biscuits 500g</v>
      </c>
      <c r="J341" s="42" t="n">
        <f aca="false">IFERROR(INDEX(Calendar!$B$2:$B$25,MATCH(B341,Calendar!$A$2:$A$25,0)),0)</f>
        <v>2025</v>
      </c>
      <c r="K341" s="42" t="n">
        <f aca="false">IFERROR(VALUE(RIGHT(B341,2)),0)</f>
        <v>10</v>
      </c>
      <c r="L341" s="42" t="str">
        <f aca="false">IFERROR(INDEX(Calendar!$E$2:$E$25,MATCH(B341,Calendar!$A$2:$A$25,0)),"UNMATCHED")</f>
        <v>Actual</v>
      </c>
      <c r="M341" s="42" t="n">
        <f aca="false">Sales_Transactions!F341</f>
        <v>96</v>
      </c>
      <c r="N341" s="52" t="n">
        <f aca="false">Sales_Transactions!I341</f>
        <v>10740.48</v>
      </c>
      <c r="O341" s="52" t="n">
        <f aca="false">Sales_Transactions!J341</f>
        <v>6682.56</v>
      </c>
      <c r="P341" s="52" t="n">
        <f aca="false">Sales_Transactions!K341</f>
        <v>4057.92</v>
      </c>
      <c r="Q341" s="42" t="n">
        <f aca="false">IF(ISNUMBER(MATCH(E341,Product_Master!$A$2:$A$9,0)),0,1)</f>
        <v>0</v>
      </c>
      <c r="R341" s="42" t="n">
        <f aca="false">IF(ISNUMBER(MATCH(D341,Customer_Master!$A$2:$A$49,0)),0,1)</f>
        <v>0</v>
      </c>
      <c r="S341" s="42" t="n">
        <f aca="false">IF(ISNUMBER(MATCH(B341,Calendar!$A$2:$A$25,0)),0,1)</f>
        <v>0</v>
      </c>
      <c r="T341" s="42" t="n">
        <f aca="false">IF(COUNTIF(Sales_Transactions!$A$2:$A$865,A341)&gt;1,1,0)</f>
        <v>0</v>
      </c>
      <c r="U341" s="42" t="n">
        <f aca="false">IF(OR(ABS(Sales_Transactions!F341*Sales_Transactions!G341-Sales_Transactions!I341)&gt;0.01,ABS(Sales_Transactions!F341*Sales_Transactions!H341-Sales_Transactions!J341)&gt;0.01,ABS(Sales_Transactions!I341-Sales_Transactions!J341-Sales_Transactions!K341)&gt;0.01),1,0)</f>
        <v>0</v>
      </c>
      <c r="V341" s="42" t="n">
        <f aca="false">IF(C341&lt;&gt;L341,1,0)</f>
        <v>0</v>
      </c>
      <c r="W341" s="42" t="n">
        <f aca="false">IF(SUM(Q341:V341)&gt;0,1,0)</f>
        <v>0</v>
      </c>
    </row>
    <row r="342" customFormat="false" ht="15" hidden="false" customHeight="false" outlineLevel="0" collapsed="false">
      <c r="A342" s="42" t="str">
        <f aca="false">Sales_Transactions!A342</f>
        <v>INV-10-017</v>
      </c>
      <c r="B342" s="42" t="str">
        <f aca="false">Sales_Transactions!B342</f>
        <v>2025-10</v>
      </c>
      <c r="C342" s="42" t="str">
        <f aca="false">Sales_Transactions!C342</f>
        <v>Actual</v>
      </c>
      <c r="D342" s="42" t="str">
        <f aca="false">Sales_Transactions!D342</f>
        <v>C044</v>
      </c>
      <c r="E342" s="42" t="str">
        <f aca="false">Sales_Transactions!E342</f>
        <v>P002</v>
      </c>
      <c r="F342" s="42" t="str">
        <f aca="false">IFERROR(INDEX(Customer_Master!$C$2:$C$49,MATCH(D342,Customer_Master!$A$2:$A$49,0)),"UNMATCHED")</f>
        <v>East</v>
      </c>
      <c r="G342" s="42" t="str">
        <f aca="false">IFERROR(INDEX(Customer_Master!$D$2:$D$49,MATCH(D342,Customer_Master!$A$2:$A$49,0)),"UNMATCHED")</f>
        <v>Modern Trade</v>
      </c>
      <c r="H342" s="42" t="str">
        <f aca="false">IFERROR(INDEX(Product_Master!$C$2:$C$9,MATCH(E342,Product_Master!$A$2:$A$9,0)),"UNMATCHED")</f>
        <v>Home Care</v>
      </c>
      <c r="I342" s="42" t="str">
        <f aca="false">IFERROR(INDEX(Product_Master!$B$2:$B$9,MATCH(E342,Product_Master!$A$2:$A$9,0)),"UNMATCHED")</f>
        <v>Dishwash Gel</v>
      </c>
      <c r="J342" s="42" t="n">
        <f aca="false">IFERROR(INDEX(Calendar!$B$2:$B$25,MATCH(B342,Calendar!$A$2:$A$25,0)),0)</f>
        <v>2025</v>
      </c>
      <c r="K342" s="42" t="n">
        <f aca="false">IFERROR(VALUE(RIGHT(B342,2)),0)</f>
        <v>10</v>
      </c>
      <c r="L342" s="42" t="str">
        <f aca="false">IFERROR(INDEX(Calendar!$E$2:$E$25,MATCH(B342,Calendar!$A$2:$A$25,0)),"UNMATCHED")</f>
        <v>Actual</v>
      </c>
      <c r="M342" s="42" t="n">
        <f aca="false">Sales_Transactions!F342</f>
        <v>225</v>
      </c>
      <c r="N342" s="52" t="n">
        <f aca="false">Sales_Transactions!I342</f>
        <v>29070</v>
      </c>
      <c r="O342" s="52" t="n">
        <f aca="false">Sales_Transactions!J342</f>
        <v>19626.75</v>
      </c>
      <c r="P342" s="52" t="n">
        <f aca="false">Sales_Transactions!K342</f>
        <v>9443.25</v>
      </c>
      <c r="Q342" s="42" t="n">
        <f aca="false">IF(ISNUMBER(MATCH(E342,Product_Master!$A$2:$A$9,0)),0,1)</f>
        <v>0</v>
      </c>
      <c r="R342" s="42" t="n">
        <f aca="false">IF(ISNUMBER(MATCH(D342,Customer_Master!$A$2:$A$49,0)),0,1)</f>
        <v>0</v>
      </c>
      <c r="S342" s="42" t="n">
        <f aca="false">IF(ISNUMBER(MATCH(B342,Calendar!$A$2:$A$25,0)),0,1)</f>
        <v>0</v>
      </c>
      <c r="T342" s="42" t="n">
        <f aca="false">IF(COUNTIF(Sales_Transactions!$A$2:$A$865,A342)&gt;1,1,0)</f>
        <v>0</v>
      </c>
      <c r="U342" s="42" t="n">
        <f aca="false">IF(OR(ABS(Sales_Transactions!F342*Sales_Transactions!G342-Sales_Transactions!I342)&gt;0.01,ABS(Sales_Transactions!F342*Sales_Transactions!H342-Sales_Transactions!J342)&gt;0.01,ABS(Sales_Transactions!I342-Sales_Transactions!J342-Sales_Transactions!K342)&gt;0.01),1,0)</f>
        <v>0</v>
      </c>
      <c r="V342" s="42" t="n">
        <f aca="false">IF(C342&lt;&gt;L342,1,0)</f>
        <v>0</v>
      </c>
      <c r="W342" s="42" t="n">
        <f aca="false">IF(SUM(Q342:V342)&gt;0,1,0)</f>
        <v>0</v>
      </c>
    </row>
    <row r="343" customFormat="false" ht="15" hidden="false" customHeight="false" outlineLevel="0" collapsed="false">
      <c r="A343" s="42" t="str">
        <f aca="false">Sales_Transactions!A343</f>
        <v>INV-10-018</v>
      </c>
      <c r="B343" s="42" t="str">
        <f aca="false">Sales_Transactions!B343</f>
        <v>2025-10</v>
      </c>
      <c r="C343" s="42" t="str">
        <f aca="false">Sales_Transactions!C343</f>
        <v>Actual</v>
      </c>
      <c r="D343" s="42" t="str">
        <f aca="false">Sales_Transactions!D343</f>
        <v>C003</v>
      </c>
      <c r="E343" s="42" t="str">
        <f aca="false">Sales_Transactions!E343</f>
        <v>P007</v>
      </c>
      <c r="F343" s="42" t="str">
        <f aca="false">IFERROR(INDEX(Customer_Master!$C$2:$C$49,MATCH(D343,Customer_Master!$A$2:$A$49,0)),"UNMATCHED")</f>
        <v>West</v>
      </c>
      <c r="G343" s="42" t="str">
        <f aca="false">IFERROR(INDEX(Customer_Master!$D$2:$D$49,MATCH(D343,Customer_Master!$A$2:$A$49,0)),"UNMATCHED")</f>
        <v>Retail</v>
      </c>
      <c r="H343" s="42" t="str">
        <f aca="false">IFERROR(INDEX(Product_Master!$C$2:$C$9,MATCH(E343,Product_Master!$A$2:$A$9,0)),"UNMATCHED")</f>
        <v>Home Care</v>
      </c>
      <c r="I343" s="42" t="str">
        <f aca="false">IFERROR(INDEX(Product_Master!$B$2:$B$9,MATCH(E343,Product_Master!$A$2:$A$9,0)),"UNMATCHED")</f>
        <v>Floor Cleaner</v>
      </c>
      <c r="J343" s="42" t="n">
        <f aca="false">IFERROR(INDEX(Calendar!$B$2:$B$25,MATCH(B343,Calendar!$A$2:$A$25,0)),0)</f>
        <v>2025</v>
      </c>
      <c r="K343" s="42" t="n">
        <f aca="false">IFERROR(VALUE(RIGHT(B343,2)),0)</f>
        <v>10</v>
      </c>
      <c r="L343" s="42" t="str">
        <f aca="false">IFERROR(INDEX(Calendar!$E$2:$E$25,MATCH(B343,Calendar!$A$2:$A$25,0)),"UNMATCHED")</f>
        <v>Actual</v>
      </c>
      <c r="M343" s="42" t="n">
        <f aca="false">Sales_Transactions!F343</f>
        <v>110</v>
      </c>
      <c r="N343" s="52" t="n">
        <f aca="false">Sales_Transactions!I343</f>
        <v>21074.9</v>
      </c>
      <c r="O343" s="52" t="n">
        <f aca="false">Sales_Transactions!J343</f>
        <v>12929.4</v>
      </c>
      <c r="P343" s="52" t="n">
        <f aca="false">Sales_Transactions!K343</f>
        <v>8145.5</v>
      </c>
      <c r="Q343" s="42" t="n">
        <f aca="false">IF(ISNUMBER(MATCH(E343,Product_Master!$A$2:$A$9,0)),0,1)</f>
        <v>0</v>
      </c>
      <c r="R343" s="42" t="n">
        <f aca="false">IF(ISNUMBER(MATCH(D343,Customer_Master!$A$2:$A$49,0)),0,1)</f>
        <v>0</v>
      </c>
      <c r="S343" s="42" t="n">
        <f aca="false">IF(ISNUMBER(MATCH(B343,Calendar!$A$2:$A$25,0)),0,1)</f>
        <v>0</v>
      </c>
      <c r="T343" s="42" t="n">
        <f aca="false">IF(COUNTIF(Sales_Transactions!$A$2:$A$865,A343)&gt;1,1,0)</f>
        <v>0</v>
      </c>
      <c r="U343" s="42" t="n">
        <f aca="false">IF(OR(ABS(Sales_Transactions!F343*Sales_Transactions!G343-Sales_Transactions!I343)&gt;0.01,ABS(Sales_Transactions!F343*Sales_Transactions!H343-Sales_Transactions!J343)&gt;0.01,ABS(Sales_Transactions!I343-Sales_Transactions!J343-Sales_Transactions!K343)&gt;0.01),1,0)</f>
        <v>0</v>
      </c>
      <c r="V343" s="42" t="n">
        <f aca="false">IF(C343&lt;&gt;L343,1,0)</f>
        <v>0</v>
      </c>
      <c r="W343" s="42" t="n">
        <f aca="false">IF(SUM(Q343:V343)&gt;0,1,0)</f>
        <v>0</v>
      </c>
    </row>
    <row r="344" customFormat="false" ht="15" hidden="false" customHeight="false" outlineLevel="0" collapsed="false">
      <c r="A344" s="42" t="str">
        <f aca="false">Sales_Transactions!A344</f>
        <v>INV-10-019</v>
      </c>
      <c r="B344" s="42" t="str">
        <f aca="false">Sales_Transactions!B344</f>
        <v>2025-10</v>
      </c>
      <c r="C344" s="42" t="str">
        <f aca="false">Sales_Transactions!C344</f>
        <v>Actual</v>
      </c>
      <c r="D344" s="42" t="str">
        <f aca="false">Sales_Transactions!D344</f>
        <v>C010</v>
      </c>
      <c r="E344" s="42" t="str">
        <f aca="false">Sales_Transactions!E344</f>
        <v>P004</v>
      </c>
      <c r="F344" s="42" t="str">
        <f aca="false">IFERROR(INDEX(Customer_Master!$C$2:$C$49,MATCH(D344,Customer_Master!$A$2:$A$49,0)),"UNMATCHED")</f>
        <v>North</v>
      </c>
      <c r="G344" s="42" t="str">
        <f aca="false">IFERROR(INDEX(Customer_Master!$D$2:$D$49,MATCH(D344,Customer_Master!$A$2:$A$49,0)),"UNMATCHED")</f>
        <v>Distributor</v>
      </c>
      <c r="H344" s="42" t="str">
        <f aca="false">IFERROR(INDEX(Product_Master!$C$2:$C$9,MATCH(E344,Product_Master!$A$2:$A$9,0)),"UNMATCHED")</f>
        <v>Personal Care</v>
      </c>
      <c r="I344" s="42" t="str">
        <f aca="false">IFERROR(INDEX(Product_Master!$B$2:$B$9,MATCH(E344,Product_Master!$A$2:$A$9,0)),"UNMATCHED")</f>
        <v>Soap 4-pack</v>
      </c>
      <c r="J344" s="42" t="n">
        <f aca="false">IFERROR(INDEX(Calendar!$B$2:$B$25,MATCH(B344,Calendar!$A$2:$A$25,0)),0)</f>
        <v>2025</v>
      </c>
      <c r="K344" s="42" t="n">
        <f aca="false">IFERROR(VALUE(RIGHT(B344,2)),0)</f>
        <v>10</v>
      </c>
      <c r="L344" s="42" t="str">
        <f aca="false">IFERROR(INDEX(Calendar!$E$2:$E$25,MATCH(B344,Calendar!$A$2:$A$25,0)),"UNMATCHED")</f>
        <v>Actual</v>
      </c>
      <c r="M344" s="42" t="n">
        <f aca="false">Sales_Transactions!F344</f>
        <v>231</v>
      </c>
      <c r="N344" s="52" t="n">
        <f aca="false">Sales_Transactions!I344</f>
        <v>40055.4</v>
      </c>
      <c r="O344" s="52" t="n">
        <f aca="false">Sales_Transactions!J344</f>
        <v>21901.11</v>
      </c>
      <c r="P344" s="52" t="n">
        <f aca="false">Sales_Transactions!K344</f>
        <v>18154.29</v>
      </c>
      <c r="Q344" s="42" t="n">
        <f aca="false">IF(ISNUMBER(MATCH(E344,Product_Master!$A$2:$A$9,0)),0,1)</f>
        <v>0</v>
      </c>
      <c r="R344" s="42" t="n">
        <f aca="false">IF(ISNUMBER(MATCH(D344,Customer_Master!$A$2:$A$49,0)),0,1)</f>
        <v>0</v>
      </c>
      <c r="S344" s="42" t="n">
        <f aca="false">IF(ISNUMBER(MATCH(B344,Calendar!$A$2:$A$25,0)),0,1)</f>
        <v>0</v>
      </c>
      <c r="T344" s="42" t="n">
        <f aca="false">IF(COUNTIF(Sales_Transactions!$A$2:$A$865,A344)&gt;1,1,0)</f>
        <v>0</v>
      </c>
      <c r="U344" s="42" t="n">
        <f aca="false">IF(OR(ABS(Sales_Transactions!F344*Sales_Transactions!G344-Sales_Transactions!I344)&gt;0.01,ABS(Sales_Transactions!F344*Sales_Transactions!H344-Sales_Transactions!J344)&gt;0.01,ABS(Sales_Transactions!I344-Sales_Transactions!J344-Sales_Transactions!K344)&gt;0.01),1,0)</f>
        <v>0</v>
      </c>
      <c r="V344" s="42" t="n">
        <f aca="false">IF(C344&lt;&gt;L344,1,0)</f>
        <v>0</v>
      </c>
      <c r="W344" s="42" t="n">
        <f aca="false">IF(SUM(Q344:V344)&gt;0,1,0)</f>
        <v>0</v>
      </c>
    </row>
    <row r="345" customFormat="false" ht="15" hidden="false" customHeight="false" outlineLevel="0" collapsed="false">
      <c r="A345" s="42" t="str">
        <f aca="false">Sales_Transactions!A345</f>
        <v>INV-10-020</v>
      </c>
      <c r="B345" s="42" t="str">
        <f aca="false">Sales_Transactions!B345</f>
        <v>2025-10</v>
      </c>
      <c r="C345" s="42" t="str">
        <f aca="false">Sales_Transactions!C345</f>
        <v>Actual</v>
      </c>
      <c r="D345" s="42" t="str">
        <f aca="false">Sales_Transactions!D345</f>
        <v>C017</v>
      </c>
      <c r="E345" s="42" t="str">
        <f aca="false">Sales_Transactions!E345</f>
        <v>P001</v>
      </c>
      <c r="F345" s="42" t="str">
        <f aca="false">IFERROR(INDEX(Customer_Master!$C$2:$C$49,MATCH(D345,Customer_Master!$A$2:$A$49,0)),"UNMATCHED")</f>
        <v>South</v>
      </c>
      <c r="G345" s="42" t="str">
        <f aca="false">IFERROR(INDEX(Customer_Master!$D$2:$D$49,MATCH(D345,Customer_Master!$A$2:$A$49,0)),"UNMATCHED")</f>
        <v>Modern Trade</v>
      </c>
      <c r="H345" s="42" t="str">
        <f aca="false">IFERROR(INDEX(Product_Master!$C$2:$C$9,MATCH(E345,Product_Master!$A$2:$A$9,0)),"UNMATCHED")</f>
        <v>Home Care</v>
      </c>
      <c r="I345" s="42" t="str">
        <f aca="false">IFERROR(INDEX(Product_Master!$B$2:$B$9,MATCH(E345,Product_Master!$A$2:$A$9,0)),"UNMATCHED")</f>
        <v>Detergent 1kg</v>
      </c>
      <c r="J345" s="42" t="n">
        <f aca="false">IFERROR(INDEX(Calendar!$B$2:$B$25,MATCH(B345,Calendar!$A$2:$A$25,0)),0)</f>
        <v>2025</v>
      </c>
      <c r="K345" s="42" t="n">
        <f aca="false">IFERROR(VALUE(RIGHT(B345,2)),0)</f>
        <v>10</v>
      </c>
      <c r="L345" s="42" t="str">
        <f aca="false">IFERROR(INDEX(Calendar!$E$2:$E$25,MATCH(B345,Calendar!$A$2:$A$25,0)),"UNMATCHED")</f>
        <v>Actual</v>
      </c>
      <c r="M345" s="42" t="n">
        <f aca="false">Sales_Transactions!F345</f>
        <v>265</v>
      </c>
      <c r="N345" s="52" t="n">
        <f aca="false">Sales_Transactions!I345</f>
        <v>51113.2</v>
      </c>
      <c r="O345" s="52" t="n">
        <f aca="false">Sales_Transactions!J345</f>
        <v>34378.45</v>
      </c>
      <c r="P345" s="52" t="n">
        <f aca="false">Sales_Transactions!K345</f>
        <v>16734.75</v>
      </c>
      <c r="Q345" s="42" t="n">
        <f aca="false">IF(ISNUMBER(MATCH(E345,Product_Master!$A$2:$A$9,0)),0,1)</f>
        <v>0</v>
      </c>
      <c r="R345" s="42" t="n">
        <f aca="false">IF(ISNUMBER(MATCH(D345,Customer_Master!$A$2:$A$49,0)),0,1)</f>
        <v>0</v>
      </c>
      <c r="S345" s="42" t="n">
        <f aca="false">IF(ISNUMBER(MATCH(B345,Calendar!$A$2:$A$25,0)),0,1)</f>
        <v>0</v>
      </c>
      <c r="T345" s="42" t="n">
        <f aca="false">IF(COUNTIF(Sales_Transactions!$A$2:$A$865,A345)&gt;1,1,0)</f>
        <v>0</v>
      </c>
      <c r="U345" s="42" t="n">
        <f aca="false">IF(OR(ABS(Sales_Transactions!F345*Sales_Transactions!G345-Sales_Transactions!I345)&gt;0.01,ABS(Sales_Transactions!F345*Sales_Transactions!H345-Sales_Transactions!J345)&gt;0.01,ABS(Sales_Transactions!I345-Sales_Transactions!J345-Sales_Transactions!K345)&gt;0.01),1,0)</f>
        <v>0</v>
      </c>
      <c r="V345" s="42" t="n">
        <f aca="false">IF(C345&lt;&gt;L345,1,0)</f>
        <v>0</v>
      </c>
      <c r="W345" s="42" t="n">
        <f aca="false">IF(SUM(Q345:V345)&gt;0,1,0)</f>
        <v>0</v>
      </c>
    </row>
    <row r="346" customFormat="false" ht="15" hidden="false" customHeight="false" outlineLevel="0" collapsed="false">
      <c r="A346" s="42" t="str">
        <f aca="false">Sales_Transactions!A346</f>
        <v>INV-10-021</v>
      </c>
      <c r="B346" s="42" t="str">
        <f aca="false">Sales_Transactions!B346</f>
        <v>2025-10</v>
      </c>
      <c r="C346" s="42" t="str">
        <f aca="false">Sales_Transactions!C346</f>
        <v>Actual</v>
      </c>
      <c r="D346" s="42" t="str">
        <f aca="false">Sales_Transactions!D346</f>
        <v>C024</v>
      </c>
      <c r="E346" s="42" t="str">
        <f aca="false">Sales_Transactions!E346</f>
        <v>P006</v>
      </c>
      <c r="F346" s="42" t="str">
        <f aca="false">IFERROR(INDEX(Customer_Master!$C$2:$C$49,MATCH(D346,Customer_Master!$A$2:$A$49,0)),"UNMATCHED")</f>
        <v>East</v>
      </c>
      <c r="G346" s="42" t="str">
        <f aca="false">IFERROR(INDEX(Customer_Master!$D$2:$D$49,MATCH(D346,Customer_Master!$A$2:$A$49,0)),"UNMATCHED")</f>
        <v>Retail</v>
      </c>
      <c r="H346" s="42" t="str">
        <f aca="false">IFERROR(INDEX(Product_Master!$C$2:$C$9,MATCH(E346,Product_Master!$A$2:$A$9,0)),"UNMATCHED")</f>
        <v>Foods</v>
      </c>
      <c r="I346" s="42" t="str">
        <f aca="false">IFERROR(INDEX(Product_Master!$B$2:$B$9,MATCH(E346,Product_Master!$A$2:$A$9,0)),"UNMATCHED")</f>
        <v>Breakfast Cereal</v>
      </c>
      <c r="J346" s="42" t="n">
        <f aca="false">IFERROR(INDEX(Calendar!$B$2:$B$25,MATCH(B346,Calendar!$A$2:$A$25,0)),0)</f>
        <v>2025</v>
      </c>
      <c r="K346" s="42" t="n">
        <f aca="false">IFERROR(VALUE(RIGHT(B346,2)),0)</f>
        <v>10</v>
      </c>
      <c r="L346" s="42" t="str">
        <f aca="false">IFERROR(INDEX(Calendar!$E$2:$E$25,MATCH(B346,Calendar!$A$2:$A$25,0)),"UNMATCHED")</f>
        <v>Actual</v>
      </c>
      <c r="M346" s="42" t="n">
        <f aca="false">Sales_Transactions!F346</f>
        <v>213</v>
      </c>
      <c r="N346" s="52" t="n">
        <f aca="false">Sales_Transactions!I346</f>
        <v>53126.46</v>
      </c>
      <c r="O346" s="52" t="n">
        <f aca="false">Sales_Transactions!J346</f>
        <v>34774.38</v>
      </c>
      <c r="P346" s="52" t="n">
        <f aca="false">Sales_Transactions!K346</f>
        <v>18352.08</v>
      </c>
      <c r="Q346" s="42" t="n">
        <f aca="false">IF(ISNUMBER(MATCH(E346,Product_Master!$A$2:$A$9,0)),0,1)</f>
        <v>0</v>
      </c>
      <c r="R346" s="42" t="n">
        <f aca="false">IF(ISNUMBER(MATCH(D346,Customer_Master!$A$2:$A$49,0)),0,1)</f>
        <v>0</v>
      </c>
      <c r="S346" s="42" t="n">
        <f aca="false">IF(ISNUMBER(MATCH(B346,Calendar!$A$2:$A$25,0)),0,1)</f>
        <v>0</v>
      </c>
      <c r="T346" s="42" t="n">
        <f aca="false">IF(COUNTIF(Sales_Transactions!$A$2:$A$865,A346)&gt;1,1,0)</f>
        <v>0</v>
      </c>
      <c r="U346" s="42" t="n">
        <f aca="false">IF(OR(ABS(Sales_Transactions!F346*Sales_Transactions!G346-Sales_Transactions!I346)&gt;0.01,ABS(Sales_Transactions!F346*Sales_Transactions!H346-Sales_Transactions!J346)&gt;0.01,ABS(Sales_Transactions!I346-Sales_Transactions!J346-Sales_Transactions!K346)&gt;0.01),1,0)</f>
        <v>0</v>
      </c>
      <c r="V346" s="42" t="n">
        <f aca="false">IF(C346&lt;&gt;L346,1,0)</f>
        <v>0</v>
      </c>
      <c r="W346" s="42" t="n">
        <f aca="false">IF(SUM(Q346:V346)&gt;0,1,0)</f>
        <v>0</v>
      </c>
    </row>
    <row r="347" customFormat="false" ht="15" hidden="false" customHeight="false" outlineLevel="0" collapsed="false">
      <c r="A347" s="42" t="str">
        <f aca="false">Sales_Transactions!A347</f>
        <v>INV-10-022</v>
      </c>
      <c r="B347" s="42" t="str">
        <f aca="false">Sales_Transactions!B347</f>
        <v>2025-10</v>
      </c>
      <c r="C347" s="42" t="str">
        <f aca="false">Sales_Transactions!C347</f>
        <v>Actual</v>
      </c>
      <c r="D347" s="42" t="str">
        <f aca="false">Sales_Transactions!D347</f>
        <v>C031</v>
      </c>
      <c r="E347" s="42" t="str">
        <f aca="false">Sales_Transactions!E347</f>
        <v>P003</v>
      </c>
      <c r="F347" s="42" t="str">
        <f aca="false">IFERROR(INDEX(Customer_Master!$C$2:$C$49,MATCH(D347,Customer_Master!$A$2:$A$49,0)),"UNMATCHED")</f>
        <v>West</v>
      </c>
      <c r="G347" s="42" t="str">
        <f aca="false">IFERROR(INDEX(Customer_Master!$D$2:$D$49,MATCH(D347,Customer_Master!$A$2:$A$49,0)),"UNMATCHED")</f>
        <v>Distributor</v>
      </c>
      <c r="H347" s="42" t="str">
        <f aca="false">IFERROR(INDEX(Product_Master!$C$2:$C$9,MATCH(E347,Product_Master!$A$2:$A$9,0)),"UNMATCHED")</f>
        <v>Personal Care</v>
      </c>
      <c r="I347" s="42" t="str">
        <f aca="false">IFERROR(INDEX(Product_Master!$B$2:$B$9,MATCH(E347,Product_Master!$A$2:$A$9,0)),"UNMATCHED")</f>
        <v>Shampoo 400ml</v>
      </c>
      <c r="J347" s="42" t="n">
        <f aca="false">IFERROR(INDEX(Calendar!$B$2:$B$25,MATCH(B347,Calendar!$A$2:$A$25,0)),0)</f>
        <v>2025</v>
      </c>
      <c r="K347" s="42" t="n">
        <f aca="false">IFERROR(VALUE(RIGHT(B347,2)),0)</f>
        <v>10</v>
      </c>
      <c r="L347" s="42" t="str">
        <f aca="false">IFERROR(INDEX(Calendar!$E$2:$E$25,MATCH(B347,Calendar!$A$2:$A$25,0)),"UNMATCHED")</f>
        <v>Actual</v>
      </c>
      <c r="M347" s="42" t="n">
        <f aca="false">Sales_Transactions!F347</f>
        <v>422</v>
      </c>
      <c r="N347" s="52" t="n">
        <f aca="false">Sales_Transactions!I347</f>
        <v>115619.56</v>
      </c>
      <c r="O347" s="52" t="n">
        <f aca="false">Sales_Transactions!J347</f>
        <v>70461.34</v>
      </c>
      <c r="P347" s="52" t="n">
        <f aca="false">Sales_Transactions!K347</f>
        <v>45158.22</v>
      </c>
      <c r="Q347" s="42" t="n">
        <f aca="false">IF(ISNUMBER(MATCH(E347,Product_Master!$A$2:$A$9,0)),0,1)</f>
        <v>0</v>
      </c>
      <c r="R347" s="42" t="n">
        <f aca="false">IF(ISNUMBER(MATCH(D347,Customer_Master!$A$2:$A$49,0)),0,1)</f>
        <v>0</v>
      </c>
      <c r="S347" s="42" t="n">
        <f aca="false">IF(ISNUMBER(MATCH(B347,Calendar!$A$2:$A$25,0)),0,1)</f>
        <v>0</v>
      </c>
      <c r="T347" s="42" t="n">
        <f aca="false">IF(COUNTIF(Sales_Transactions!$A$2:$A$865,A347)&gt;1,1,0)</f>
        <v>0</v>
      </c>
      <c r="U347" s="42" t="n">
        <f aca="false">IF(OR(ABS(Sales_Transactions!F347*Sales_Transactions!G347-Sales_Transactions!I347)&gt;0.01,ABS(Sales_Transactions!F347*Sales_Transactions!H347-Sales_Transactions!J347)&gt;0.01,ABS(Sales_Transactions!I347-Sales_Transactions!J347-Sales_Transactions!K347)&gt;0.01),1,0)</f>
        <v>0</v>
      </c>
      <c r="V347" s="42" t="n">
        <f aca="false">IF(C347&lt;&gt;L347,1,0)</f>
        <v>0</v>
      </c>
      <c r="W347" s="42" t="n">
        <f aca="false">IF(SUM(Q347:V347)&gt;0,1,0)</f>
        <v>0</v>
      </c>
    </row>
    <row r="348" customFormat="false" ht="15" hidden="false" customHeight="false" outlineLevel="0" collapsed="false">
      <c r="A348" s="42" t="str">
        <f aca="false">Sales_Transactions!A348</f>
        <v>INV-10-023</v>
      </c>
      <c r="B348" s="42" t="str">
        <f aca="false">Sales_Transactions!B348</f>
        <v>2025-10</v>
      </c>
      <c r="C348" s="42" t="str">
        <f aca="false">Sales_Transactions!C348</f>
        <v>Actual</v>
      </c>
      <c r="D348" s="42" t="str">
        <f aca="false">Sales_Transactions!D348</f>
        <v>C038</v>
      </c>
      <c r="E348" s="42" t="str">
        <f aca="false">Sales_Transactions!E348</f>
        <v>P008</v>
      </c>
      <c r="F348" s="42" t="str">
        <f aca="false">IFERROR(INDEX(Customer_Master!$C$2:$C$49,MATCH(D348,Customer_Master!$A$2:$A$49,0)),"UNMATCHED")</f>
        <v>North</v>
      </c>
      <c r="G348" s="42" t="str">
        <f aca="false">IFERROR(INDEX(Customer_Master!$D$2:$D$49,MATCH(D348,Customer_Master!$A$2:$A$49,0)),"UNMATCHED")</f>
        <v>Modern Trade</v>
      </c>
      <c r="H348" s="42" t="str">
        <f aca="false">IFERROR(INDEX(Product_Master!$C$2:$C$9,MATCH(E348,Product_Master!$A$2:$A$9,0)),"UNMATCHED")</f>
        <v>Personal Care</v>
      </c>
      <c r="I348" s="42" t="str">
        <f aca="false">IFERROR(INDEX(Product_Master!$B$2:$B$9,MATCH(E348,Product_Master!$A$2:$A$9,0)),"UNMATCHED")</f>
        <v>Body Lotion</v>
      </c>
      <c r="J348" s="42" t="n">
        <f aca="false">IFERROR(INDEX(Calendar!$B$2:$B$25,MATCH(B348,Calendar!$A$2:$A$25,0)),0)</f>
        <v>2025</v>
      </c>
      <c r="K348" s="42" t="n">
        <f aca="false">IFERROR(VALUE(RIGHT(B348,2)),0)</f>
        <v>10</v>
      </c>
      <c r="L348" s="42" t="str">
        <f aca="false">IFERROR(INDEX(Calendar!$E$2:$E$25,MATCH(B348,Calendar!$A$2:$A$25,0)),"UNMATCHED")</f>
        <v>Actual</v>
      </c>
      <c r="M348" s="42" t="n">
        <f aca="false">Sales_Transactions!F348</f>
        <v>134</v>
      </c>
      <c r="N348" s="52" t="n">
        <f aca="false">Sales_Transactions!I348</f>
        <v>43874.28</v>
      </c>
      <c r="O348" s="52" t="n">
        <f aca="false">Sales_Transactions!J348</f>
        <v>28085.06</v>
      </c>
      <c r="P348" s="52" t="n">
        <f aca="false">Sales_Transactions!K348</f>
        <v>15789.22</v>
      </c>
      <c r="Q348" s="42" t="n">
        <f aca="false">IF(ISNUMBER(MATCH(E348,Product_Master!$A$2:$A$9,0)),0,1)</f>
        <v>0</v>
      </c>
      <c r="R348" s="42" t="n">
        <f aca="false">IF(ISNUMBER(MATCH(D348,Customer_Master!$A$2:$A$49,0)),0,1)</f>
        <v>0</v>
      </c>
      <c r="S348" s="42" t="n">
        <f aca="false">IF(ISNUMBER(MATCH(B348,Calendar!$A$2:$A$25,0)),0,1)</f>
        <v>0</v>
      </c>
      <c r="T348" s="42" t="n">
        <f aca="false">IF(COUNTIF(Sales_Transactions!$A$2:$A$865,A348)&gt;1,1,0)</f>
        <v>0</v>
      </c>
      <c r="U348" s="42" t="n">
        <f aca="false">IF(OR(ABS(Sales_Transactions!F348*Sales_Transactions!G348-Sales_Transactions!I348)&gt;0.01,ABS(Sales_Transactions!F348*Sales_Transactions!H348-Sales_Transactions!J348)&gt;0.01,ABS(Sales_Transactions!I348-Sales_Transactions!J348-Sales_Transactions!K348)&gt;0.01),1,0)</f>
        <v>0</v>
      </c>
      <c r="V348" s="42" t="n">
        <f aca="false">IF(C348&lt;&gt;L348,1,0)</f>
        <v>0</v>
      </c>
      <c r="W348" s="42" t="n">
        <f aca="false">IF(SUM(Q348:V348)&gt;0,1,0)</f>
        <v>0</v>
      </c>
    </row>
    <row r="349" customFormat="false" ht="15" hidden="false" customHeight="false" outlineLevel="0" collapsed="false">
      <c r="A349" s="42" t="str">
        <f aca="false">Sales_Transactions!A349</f>
        <v>INV-10-024</v>
      </c>
      <c r="B349" s="42" t="str">
        <f aca="false">Sales_Transactions!B349</f>
        <v>2025-10</v>
      </c>
      <c r="C349" s="42" t="str">
        <f aca="false">Sales_Transactions!C349</f>
        <v>Actual</v>
      </c>
      <c r="D349" s="42" t="str">
        <f aca="false">Sales_Transactions!D349</f>
        <v>C045</v>
      </c>
      <c r="E349" s="42" t="str">
        <f aca="false">Sales_Transactions!E349</f>
        <v>P005</v>
      </c>
      <c r="F349" s="42" t="str">
        <f aca="false">IFERROR(INDEX(Customer_Master!$C$2:$C$49,MATCH(D349,Customer_Master!$A$2:$A$49,0)),"UNMATCHED")</f>
        <v>South</v>
      </c>
      <c r="G349" s="42" t="str">
        <f aca="false">IFERROR(INDEX(Customer_Master!$D$2:$D$49,MATCH(D349,Customer_Master!$A$2:$A$49,0)),"UNMATCHED")</f>
        <v>Retail</v>
      </c>
      <c r="H349" s="42" t="str">
        <f aca="false">IFERROR(INDEX(Product_Master!$C$2:$C$9,MATCH(E349,Product_Master!$A$2:$A$9,0)),"UNMATCHED")</f>
        <v>Foods</v>
      </c>
      <c r="I349" s="42" t="str">
        <f aca="false">IFERROR(INDEX(Product_Master!$B$2:$B$9,MATCH(E349,Product_Master!$A$2:$A$9,0)),"UNMATCHED")</f>
        <v>Biscuits 500g</v>
      </c>
      <c r="J349" s="42" t="n">
        <f aca="false">IFERROR(INDEX(Calendar!$B$2:$B$25,MATCH(B349,Calendar!$A$2:$A$25,0)),0)</f>
        <v>2025</v>
      </c>
      <c r="K349" s="42" t="n">
        <f aca="false">IFERROR(VALUE(RIGHT(B349,2)),0)</f>
        <v>10</v>
      </c>
      <c r="L349" s="42" t="str">
        <f aca="false">IFERROR(INDEX(Calendar!$E$2:$E$25,MATCH(B349,Calendar!$A$2:$A$25,0)),"UNMATCHED")</f>
        <v>Actual</v>
      </c>
      <c r="M349" s="42" t="n">
        <f aca="false">Sales_Transactions!F349</f>
        <v>243</v>
      </c>
      <c r="N349" s="52" t="n">
        <f aca="false">Sales_Transactions!I349</f>
        <v>26530.74</v>
      </c>
      <c r="O349" s="52" t="n">
        <f aca="false">Sales_Transactions!J349</f>
        <v>15695.37</v>
      </c>
      <c r="P349" s="52" t="n">
        <f aca="false">Sales_Transactions!K349</f>
        <v>10835.37</v>
      </c>
      <c r="Q349" s="42" t="n">
        <f aca="false">IF(ISNUMBER(MATCH(E349,Product_Master!$A$2:$A$9,0)),0,1)</f>
        <v>0</v>
      </c>
      <c r="R349" s="42" t="n">
        <f aca="false">IF(ISNUMBER(MATCH(D349,Customer_Master!$A$2:$A$49,0)),0,1)</f>
        <v>0</v>
      </c>
      <c r="S349" s="42" t="n">
        <f aca="false">IF(ISNUMBER(MATCH(B349,Calendar!$A$2:$A$25,0)),0,1)</f>
        <v>0</v>
      </c>
      <c r="T349" s="42" t="n">
        <f aca="false">IF(COUNTIF(Sales_Transactions!$A$2:$A$865,A349)&gt;1,1,0)</f>
        <v>0</v>
      </c>
      <c r="U349" s="42" t="n">
        <f aca="false">IF(OR(ABS(Sales_Transactions!F349*Sales_Transactions!G349-Sales_Transactions!I349)&gt;0.01,ABS(Sales_Transactions!F349*Sales_Transactions!H349-Sales_Transactions!J349)&gt;0.01,ABS(Sales_Transactions!I349-Sales_Transactions!J349-Sales_Transactions!K349)&gt;0.01),1,0)</f>
        <v>0</v>
      </c>
      <c r="V349" s="42" t="n">
        <f aca="false">IF(C349&lt;&gt;L349,1,0)</f>
        <v>0</v>
      </c>
      <c r="W349" s="42" t="n">
        <f aca="false">IF(SUM(Q349:V349)&gt;0,1,0)</f>
        <v>0</v>
      </c>
    </row>
    <row r="350" customFormat="false" ht="15" hidden="false" customHeight="false" outlineLevel="0" collapsed="false">
      <c r="A350" s="42" t="str">
        <f aca="false">Sales_Transactions!A350</f>
        <v>INV-10-025</v>
      </c>
      <c r="B350" s="42" t="str">
        <f aca="false">Sales_Transactions!B350</f>
        <v>2025-10</v>
      </c>
      <c r="C350" s="42" t="str">
        <f aca="false">Sales_Transactions!C350</f>
        <v>Actual</v>
      </c>
      <c r="D350" s="42" t="str">
        <f aca="false">Sales_Transactions!D350</f>
        <v>C004</v>
      </c>
      <c r="E350" s="42" t="str">
        <f aca="false">Sales_Transactions!E350</f>
        <v>P002</v>
      </c>
      <c r="F350" s="42" t="str">
        <f aca="false">IFERROR(INDEX(Customer_Master!$C$2:$C$49,MATCH(D350,Customer_Master!$A$2:$A$49,0)),"UNMATCHED")</f>
        <v>East</v>
      </c>
      <c r="G350" s="42" t="str">
        <f aca="false">IFERROR(INDEX(Customer_Master!$D$2:$D$49,MATCH(D350,Customer_Master!$A$2:$A$49,0)),"UNMATCHED")</f>
        <v>Distributor</v>
      </c>
      <c r="H350" s="42" t="str">
        <f aca="false">IFERROR(INDEX(Product_Master!$C$2:$C$9,MATCH(E350,Product_Master!$A$2:$A$9,0)),"UNMATCHED")</f>
        <v>Home Care</v>
      </c>
      <c r="I350" s="42" t="str">
        <f aca="false">IFERROR(INDEX(Product_Master!$B$2:$B$9,MATCH(E350,Product_Master!$A$2:$A$9,0)),"UNMATCHED")</f>
        <v>Dishwash Gel</v>
      </c>
      <c r="J350" s="42" t="n">
        <f aca="false">IFERROR(INDEX(Calendar!$B$2:$B$25,MATCH(B350,Calendar!$A$2:$A$25,0)),0)</f>
        <v>2025</v>
      </c>
      <c r="K350" s="42" t="n">
        <f aca="false">IFERROR(VALUE(RIGHT(B350,2)),0)</f>
        <v>10</v>
      </c>
      <c r="L350" s="42" t="str">
        <f aca="false">IFERROR(INDEX(Calendar!$E$2:$E$25,MATCH(B350,Calendar!$A$2:$A$25,0)),"UNMATCHED")</f>
        <v>Actual</v>
      </c>
      <c r="M350" s="42" t="n">
        <f aca="false">Sales_Transactions!F350</f>
        <v>271</v>
      </c>
      <c r="N350" s="52" t="n">
        <f aca="false">Sales_Transactions!I350</f>
        <v>38712.35</v>
      </c>
      <c r="O350" s="52" t="n">
        <f aca="false">Sales_Transactions!J350</f>
        <v>21574.31</v>
      </c>
      <c r="P350" s="52" t="n">
        <f aca="false">Sales_Transactions!K350</f>
        <v>17138.04</v>
      </c>
      <c r="Q350" s="42" t="n">
        <f aca="false">IF(ISNUMBER(MATCH(E350,Product_Master!$A$2:$A$9,0)),0,1)</f>
        <v>0</v>
      </c>
      <c r="R350" s="42" t="n">
        <f aca="false">IF(ISNUMBER(MATCH(D350,Customer_Master!$A$2:$A$49,0)),0,1)</f>
        <v>0</v>
      </c>
      <c r="S350" s="42" t="n">
        <f aca="false">IF(ISNUMBER(MATCH(B350,Calendar!$A$2:$A$25,0)),0,1)</f>
        <v>0</v>
      </c>
      <c r="T350" s="42" t="n">
        <f aca="false">IF(COUNTIF(Sales_Transactions!$A$2:$A$865,A350)&gt;1,1,0)</f>
        <v>0</v>
      </c>
      <c r="U350" s="42" t="n">
        <f aca="false">IF(OR(ABS(Sales_Transactions!F350*Sales_Transactions!G350-Sales_Transactions!I350)&gt;0.01,ABS(Sales_Transactions!F350*Sales_Transactions!H350-Sales_Transactions!J350)&gt;0.01,ABS(Sales_Transactions!I350-Sales_Transactions!J350-Sales_Transactions!K350)&gt;0.01),1,0)</f>
        <v>0</v>
      </c>
      <c r="V350" s="42" t="n">
        <f aca="false">IF(C350&lt;&gt;L350,1,0)</f>
        <v>0</v>
      </c>
      <c r="W350" s="42" t="n">
        <f aca="false">IF(SUM(Q350:V350)&gt;0,1,0)</f>
        <v>0</v>
      </c>
    </row>
    <row r="351" customFormat="false" ht="15" hidden="false" customHeight="false" outlineLevel="0" collapsed="false">
      <c r="A351" s="42" t="str">
        <f aca="false">Sales_Transactions!A351</f>
        <v>INV-10-026</v>
      </c>
      <c r="B351" s="42" t="str">
        <f aca="false">Sales_Transactions!B351</f>
        <v>2025-10</v>
      </c>
      <c r="C351" s="42" t="str">
        <f aca="false">Sales_Transactions!C351</f>
        <v>Actual</v>
      </c>
      <c r="D351" s="42" t="str">
        <f aca="false">Sales_Transactions!D351</f>
        <v>C011</v>
      </c>
      <c r="E351" s="42" t="str">
        <f aca="false">Sales_Transactions!E351</f>
        <v>P007</v>
      </c>
      <c r="F351" s="42" t="str">
        <f aca="false">IFERROR(INDEX(Customer_Master!$C$2:$C$49,MATCH(D351,Customer_Master!$A$2:$A$49,0)),"UNMATCHED")</f>
        <v>West</v>
      </c>
      <c r="G351" s="42" t="str">
        <f aca="false">IFERROR(INDEX(Customer_Master!$D$2:$D$49,MATCH(D351,Customer_Master!$A$2:$A$49,0)),"UNMATCHED")</f>
        <v>Modern Trade</v>
      </c>
      <c r="H351" s="42" t="str">
        <f aca="false">IFERROR(INDEX(Product_Master!$C$2:$C$9,MATCH(E351,Product_Master!$A$2:$A$9,0)),"UNMATCHED")</f>
        <v>Home Care</v>
      </c>
      <c r="I351" s="42" t="str">
        <f aca="false">IFERROR(INDEX(Product_Master!$B$2:$B$9,MATCH(E351,Product_Master!$A$2:$A$9,0)),"UNMATCHED")</f>
        <v>Floor Cleaner</v>
      </c>
      <c r="J351" s="42" t="n">
        <f aca="false">IFERROR(INDEX(Calendar!$B$2:$B$25,MATCH(B351,Calendar!$A$2:$A$25,0)),0)</f>
        <v>2025</v>
      </c>
      <c r="K351" s="42" t="n">
        <f aca="false">IFERROR(VALUE(RIGHT(B351,2)),0)</f>
        <v>10</v>
      </c>
      <c r="L351" s="42" t="str">
        <f aca="false">IFERROR(INDEX(Calendar!$E$2:$E$25,MATCH(B351,Calendar!$A$2:$A$25,0)),"UNMATCHED")</f>
        <v>Actual</v>
      </c>
      <c r="M351" s="42" t="n">
        <f aca="false">Sales_Transactions!F351</f>
        <v>236</v>
      </c>
      <c r="N351" s="52" t="n">
        <f aca="false">Sales_Transactions!I351</f>
        <v>41812.12</v>
      </c>
      <c r="O351" s="52" t="n">
        <f aca="false">Sales_Transactions!J351</f>
        <v>26691.6</v>
      </c>
      <c r="P351" s="52" t="n">
        <f aca="false">Sales_Transactions!K351</f>
        <v>15120.52</v>
      </c>
      <c r="Q351" s="42" t="n">
        <f aca="false">IF(ISNUMBER(MATCH(E351,Product_Master!$A$2:$A$9,0)),0,1)</f>
        <v>0</v>
      </c>
      <c r="R351" s="42" t="n">
        <f aca="false">IF(ISNUMBER(MATCH(D351,Customer_Master!$A$2:$A$49,0)),0,1)</f>
        <v>0</v>
      </c>
      <c r="S351" s="42" t="n">
        <f aca="false">IF(ISNUMBER(MATCH(B351,Calendar!$A$2:$A$25,0)),0,1)</f>
        <v>0</v>
      </c>
      <c r="T351" s="42" t="n">
        <f aca="false">IF(COUNTIF(Sales_Transactions!$A$2:$A$865,A351)&gt;1,1,0)</f>
        <v>0</v>
      </c>
      <c r="U351" s="42" t="n">
        <f aca="false">IF(OR(ABS(Sales_Transactions!F351*Sales_Transactions!G351-Sales_Transactions!I351)&gt;0.01,ABS(Sales_Transactions!F351*Sales_Transactions!H351-Sales_Transactions!J351)&gt;0.01,ABS(Sales_Transactions!I351-Sales_Transactions!J351-Sales_Transactions!K351)&gt;0.01),1,0)</f>
        <v>0</v>
      </c>
      <c r="V351" s="42" t="n">
        <f aca="false">IF(C351&lt;&gt;L351,1,0)</f>
        <v>0</v>
      </c>
      <c r="W351" s="42" t="n">
        <f aca="false">IF(SUM(Q351:V351)&gt;0,1,0)</f>
        <v>0</v>
      </c>
    </row>
    <row r="352" customFormat="false" ht="15" hidden="false" customHeight="false" outlineLevel="0" collapsed="false">
      <c r="A352" s="42" t="str">
        <f aca="false">Sales_Transactions!A352</f>
        <v>INV-10-027</v>
      </c>
      <c r="B352" s="42" t="str">
        <f aca="false">Sales_Transactions!B352</f>
        <v>2025-10</v>
      </c>
      <c r="C352" s="42" t="str">
        <f aca="false">Sales_Transactions!C352</f>
        <v>Actual</v>
      </c>
      <c r="D352" s="42" t="str">
        <f aca="false">Sales_Transactions!D352</f>
        <v>C018</v>
      </c>
      <c r="E352" s="42" t="str">
        <f aca="false">Sales_Transactions!E352</f>
        <v>P004</v>
      </c>
      <c r="F352" s="42" t="str">
        <f aca="false">IFERROR(INDEX(Customer_Master!$C$2:$C$49,MATCH(D352,Customer_Master!$A$2:$A$49,0)),"UNMATCHED")</f>
        <v>North</v>
      </c>
      <c r="G352" s="42" t="str">
        <f aca="false">IFERROR(INDEX(Customer_Master!$D$2:$D$49,MATCH(D352,Customer_Master!$A$2:$A$49,0)),"UNMATCHED")</f>
        <v>Retail</v>
      </c>
      <c r="H352" s="42" t="str">
        <f aca="false">IFERROR(INDEX(Product_Master!$C$2:$C$9,MATCH(E352,Product_Master!$A$2:$A$9,0)),"UNMATCHED")</f>
        <v>Personal Care</v>
      </c>
      <c r="I352" s="42" t="str">
        <f aca="false">IFERROR(INDEX(Product_Master!$B$2:$B$9,MATCH(E352,Product_Master!$A$2:$A$9,0)),"UNMATCHED")</f>
        <v>Soap 4-pack</v>
      </c>
      <c r="J352" s="42" t="n">
        <f aca="false">IFERROR(INDEX(Calendar!$B$2:$B$25,MATCH(B352,Calendar!$A$2:$A$25,0)),0)</f>
        <v>2025</v>
      </c>
      <c r="K352" s="42" t="n">
        <f aca="false">IFERROR(VALUE(RIGHT(B352,2)),0)</f>
        <v>10</v>
      </c>
      <c r="L352" s="42" t="str">
        <f aca="false">IFERROR(INDEX(Calendar!$E$2:$E$25,MATCH(B352,Calendar!$A$2:$A$25,0)),"UNMATCHED")</f>
        <v>Actual</v>
      </c>
      <c r="M352" s="42" t="n">
        <f aca="false">Sales_Transactions!F352</f>
        <v>187</v>
      </c>
      <c r="N352" s="52" t="n">
        <f aca="false">Sales_Transactions!I352</f>
        <v>29688.12</v>
      </c>
      <c r="O352" s="52" t="n">
        <f aca="false">Sales_Transactions!J352</f>
        <v>18395.19</v>
      </c>
      <c r="P352" s="52" t="n">
        <f aca="false">Sales_Transactions!K352</f>
        <v>11292.93</v>
      </c>
      <c r="Q352" s="42" t="n">
        <f aca="false">IF(ISNUMBER(MATCH(E352,Product_Master!$A$2:$A$9,0)),0,1)</f>
        <v>0</v>
      </c>
      <c r="R352" s="42" t="n">
        <f aca="false">IF(ISNUMBER(MATCH(D352,Customer_Master!$A$2:$A$49,0)),0,1)</f>
        <v>0</v>
      </c>
      <c r="S352" s="42" t="n">
        <f aca="false">IF(ISNUMBER(MATCH(B352,Calendar!$A$2:$A$25,0)),0,1)</f>
        <v>0</v>
      </c>
      <c r="T352" s="42" t="n">
        <f aca="false">IF(COUNTIF(Sales_Transactions!$A$2:$A$865,A352)&gt;1,1,0)</f>
        <v>0</v>
      </c>
      <c r="U352" s="42" t="n">
        <f aca="false">IF(OR(ABS(Sales_Transactions!F352*Sales_Transactions!G352-Sales_Transactions!I352)&gt;0.01,ABS(Sales_Transactions!F352*Sales_Transactions!H352-Sales_Transactions!J352)&gt;0.01,ABS(Sales_Transactions!I352-Sales_Transactions!J352-Sales_Transactions!K352)&gt;0.01),1,0)</f>
        <v>0</v>
      </c>
      <c r="V352" s="42" t="n">
        <f aca="false">IF(C352&lt;&gt;L352,1,0)</f>
        <v>0</v>
      </c>
      <c r="W352" s="42" t="n">
        <f aca="false">IF(SUM(Q352:V352)&gt;0,1,0)</f>
        <v>0</v>
      </c>
    </row>
    <row r="353" customFormat="false" ht="15" hidden="false" customHeight="false" outlineLevel="0" collapsed="false">
      <c r="A353" s="42" t="str">
        <f aca="false">Sales_Transactions!A353</f>
        <v>INV-10-028</v>
      </c>
      <c r="B353" s="42" t="str">
        <f aca="false">Sales_Transactions!B353</f>
        <v>2025-10</v>
      </c>
      <c r="C353" s="42" t="str">
        <f aca="false">Sales_Transactions!C353</f>
        <v>Actual</v>
      </c>
      <c r="D353" s="42" t="str">
        <f aca="false">Sales_Transactions!D353</f>
        <v>C025</v>
      </c>
      <c r="E353" s="42" t="str">
        <f aca="false">Sales_Transactions!E353</f>
        <v>P001</v>
      </c>
      <c r="F353" s="42" t="str">
        <f aca="false">IFERROR(INDEX(Customer_Master!$C$2:$C$49,MATCH(D353,Customer_Master!$A$2:$A$49,0)),"UNMATCHED")</f>
        <v>South</v>
      </c>
      <c r="G353" s="42" t="str">
        <f aca="false">IFERROR(INDEX(Customer_Master!$D$2:$D$49,MATCH(D353,Customer_Master!$A$2:$A$49,0)),"UNMATCHED")</f>
        <v>Distributor</v>
      </c>
      <c r="H353" s="42" t="str">
        <f aca="false">IFERROR(INDEX(Product_Master!$C$2:$C$9,MATCH(E353,Product_Master!$A$2:$A$9,0)),"UNMATCHED")</f>
        <v>Home Care</v>
      </c>
      <c r="I353" s="42" t="str">
        <f aca="false">IFERROR(INDEX(Product_Master!$B$2:$B$9,MATCH(E353,Product_Master!$A$2:$A$9,0)),"UNMATCHED")</f>
        <v>Detergent 1kg</v>
      </c>
      <c r="J353" s="42" t="n">
        <f aca="false">IFERROR(INDEX(Calendar!$B$2:$B$25,MATCH(B353,Calendar!$A$2:$A$25,0)),0)</f>
        <v>2025</v>
      </c>
      <c r="K353" s="42" t="n">
        <f aca="false">IFERROR(VALUE(RIGHT(B353,2)),0)</f>
        <v>10</v>
      </c>
      <c r="L353" s="42" t="str">
        <f aca="false">IFERROR(INDEX(Calendar!$E$2:$E$25,MATCH(B353,Calendar!$A$2:$A$25,0)),"UNMATCHED")</f>
        <v>Actual</v>
      </c>
      <c r="M353" s="42" t="n">
        <f aca="false">Sales_Transactions!F353</f>
        <v>272</v>
      </c>
      <c r="N353" s="52" t="n">
        <f aca="false">Sales_Transactions!I353</f>
        <v>54778.08</v>
      </c>
      <c r="O353" s="52" t="n">
        <f aca="false">Sales_Transactions!J353</f>
        <v>38403.68</v>
      </c>
      <c r="P353" s="52" t="n">
        <f aca="false">Sales_Transactions!K353</f>
        <v>16374.4</v>
      </c>
      <c r="Q353" s="42" t="n">
        <f aca="false">IF(ISNUMBER(MATCH(E353,Product_Master!$A$2:$A$9,0)),0,1)</f>
        <v>0</v>
      </c>
      <c r="R353" s="42" t="n">
        <f aca="false">IF(ISNUMBER(MATCH(D353,Customer_Master!$A$2:$A$49,0)),0,1)</f>
        <v>0</v>
      </c>
      <c r="S353" s="42" t="n">
        <f aca="false">IF(ISNUMBER(MATCH(B353,Calendar!$A$2:$A$25,0)),0,1)</f>
        <v>0</v>
      </c>
      <c r="T353" s="42" t="n">
        <f aca="false">IF(COUNTIF(Sales_Transactions!$A$2:$A$865,A353)&gt;1,1,0)</f>
        <v>0</v>
      </c>
      <c r="U353" s="42" t="n">
        <f aca="false">IF(OR(ABS(Sales_Transactions!F353*Sales_Transactions!G353-Sales_Transactions!I353)&gt;0.01,ABS(Sales_Transactions!F353*Sales_Transactions!H353-Sales_Transactions!J353)&gt;0.01,ABS(Sales_Transactions!I353-Sales_Transactions!J353-Sales_Transactions!K353)&gt;0.01),1,0)</f>
        <v>0</v>
      </c>
      <c r="V353" s="42" t="n">
        <f aca="false">IF(C353&lt;&gt;L353,1,0)</f>
        <v>0</v>
      </c>
      <c r="W353" s="42" t="n">
        <f aca="false">IF(SUM(Q353:V353)&gt;0,1,0)</f>
        <v>0</v>
      </c>
    </row>
    <row r="354" customFormat="false" ht="15" hidden="false" customHeight="false" outlineLevel="0" collapsed="false">
      <c r="A354" s="42" t="str">
        <f aca="false">Sales_Transactions!A354</f>
        <v>INV-10-029</v>
      </c>
      <c r="B354" s="42" t="str">
        <f aca="false">Sales_Transactions!B354</f>
        <v>2025-10</v>
      </c>
      <c r="C354" s="42" t="str">
        <f aca="false">Sales_Transactions!C354</f>
        <v>Actual</v>
      </c>
      <c r="D354" s="42" t="str">
        <f aca="false">Sales_Transactions!D354</f>
        <v>C032</v>
      </c>
      <c r="E354" s="42" t="str">
        <f aca="false">Sales_Transactions!E354</f>
        <v>P006</v>
      </c>
      <c r="F354" s="42" t="str">
        <f aca="false">IFERROR(INDEX(Customer_Master!$C$2:$C$49,MATCH(D354,Customer_Master!$A$2:$A$49,0)),"UNMATCHED")</f>
        <v>East</v>
      </c>
      <c r="G354" s="42" t="str">
        <f aca="false">IFERROR(INDEX(Customer_Master!$D$2:$D$49,MATCH(D354,Customer_Master!$A$2:$A$49,0)),"UNMATCHED")</f>
        <v>Modern Trade</v>
      </c>
      <c r="H354" s="42" t="str">
        <f aca="false">IFERROR(INDEX(Product_Master!$C$2:$C$9,MATCH(E354,Product_Master!$A$2:$A$9,0)),"UNMATCHED")</f>
        <v>Foods</v>
      </c>
      <c r="I354" s="42" t="str">
        <f aca="false">IFERROR(INDEX(Product_Master!$B$2:$B$9,MATCH(E354,Product_Master!$A$2:$A$9,0)),"UNMATCHED")</f>
        <v>Breakfast Cereal</v>
      </c>
      <c r="J354" s="42" t="n">
        <f aca="false">IFERROR(INDEX(Calendar!$B$2:$B$25,MATCH(B354,Calendar!$A$2:$A$25,0)),0)</f>
        <v>2025</v>
      </c>
      <c r="K354" s="42" t="n">
        <f aca="false">IFERROR(VALUE(RIGHT(B354,2)),0)</f>
        <v>10</v>
      </c>
      <c r="L354" s="42" t="str">
        <f aca="false">IFERROR(INDEX(Calendar!$E$2:$E$25,MATCH(B354,Calendar!$A$2:$A$25,0)),"UNMATCHED")</f>
        <v>Actual</v>
      </c>
      <c r="M354" s="42" t="n">
        <f aca="false">Sales_Transactions!F354</f>
        <v>169</v>
      </c>
      <c r="N354" s="52" t="n">
        <f aca="false">Sales_Transactions!I354</f>
        <v>39794.43</v>
      </c>
      <c r="O354" s="52" t="n">
        <f aca="false">Sales_Transactions!J354</f>
        <v>27918.8</v>
      </c>
      <c r="P354" s="52" t="n">
        <f aca="false">Sales_Transactions!K354</f>
        <v>11875.63</v>
      </c>
      <c r="Q354" s="42" t="n">
        <f aca="false">IF(ISNUMBER(MATCH(E354,Product_Master!$A$2:$A$9,0)),0,1)</f>
        <v>0</v>
      </c>
      <c r="R354" s="42" t="n">
        <f aca="false">IF(ISNUMBER(MATCH(D354,Customer_Master!$A$2:$A$49,0)),0,1)</f>
        <v>0</v>
      </c>
      <c r="S354" s="42" t="n">
        <f aca="false">IF(ISNUMBER(MATCH(B354,Calendar!$A$2:$A$25,0)),0,1)</f>
        <v>0</v>
      </c>
      <c r="T354" s="42" t="n">
        <f aca="false">IF(COUNTIF(Sales_Transactions!$A$2:$A$865,A354)&gt;1,1,0)</f>
        <v>0</v>
      </c>
      <c r="U354" s="42" t="n">
        <f aca="false">IF(OR(ABS(Sales_Transactions!F354*Sales_Transactions!G354-Sales_Transactions!I354)&gt;0.01,ABS(Sales_Transactions!F354*Sales_Transactions!H354-Sales_Transactions!J354)&gt;0.01,ABS(Sales_Transactions!I354-Sales_Transactions!J354-Sales_Transactions!K354)&gt;0.01),1,0)</f>
        <v>0</v>
      </c>
      <c r="V354" s="42" t="n">
        <f aca="false">IF(C354&lt;&gt;L354,1,0)</f>
        <v>0</v>
      </c>
      <c r="W354" s="42" t="n">
        <f aca="false">IF(SUM(Q354:V354)&gt;0,1,0)</f>
        <v>0</v>
      </c>
    </row>
    <row r="355" customFormat="false" ht="15" hidden="false" customHeight="false" outlineLevel="0" collapsed="false">
      <c r="A355" s="42" t="str">
        <f aca="false">Sales_Transactions!A355</f>
        <v>INV-10-030</v>
      </c>
      <c r="B355" s="42" t="str">
        <f aca="false">Sales_Transactions!B355</f>
        <v>2025-10</v>
      </c>
      <c r="C355" s="42" t="str">
        <f aca="false">Sales_Transactions!C355</f>
        <v>Actual</v>
      </c>
      <c r="D355" s="42" t="str">
        <f aca="false">Sales_Transactions!D355</f>
        <v>C039</v>
      </c>
      <c r="E355" s="42" t="str">
        <f aca="false">Sales_Transactions!E355</f>
        <v>P003</v>
      </c>
      <c r="F355" s="42" t="str">
        <f aca="false">IFERROR(INDEX(Customer_Master!$C$2:$C$49,MATCH(D355,Customer_Master!$A$2:$A$49,0)),"UNMATCHED")</f>
        <v>West</v>
      </c>
      <c r="G355" s="42" t="str">
        <f aca="false">IFERROR(INDEX(Customer_Master!$D$2:$D$49,MATCH(D355,Customer_Master!$A$2:$A$49,0)),"UNMATCHED")</f>
        <v>Retail</v>
      </c>
      <c r="H355" s="42" t="str">
        <f aca="false">IFERROR(INDEX(Product_Master!$C$2:$C$9,MATCH(E355,Product_Master!$A$2:$A$9,0)),"UNMATCHED")</f>
        <v>Personal Care</v>
      </c>
      <c r="I355" s="42" t="str">
        <f aca="false">IFERROR(INDEX(Product_Master!$B$2:$B$9,MATCH(E355,Product_Master!$A$2:$A$9,0)),"UNMATCHED")</f>
        <v>Shampoo 400ml</v>
      </c>
      <c r="J355" s="42" t="n">
        <f aca="false">IFERROR(INDEX(Calendar!$B$2:$B$25,MATCH(B355,Calendar!$A$2:$A$25,0)),0)</f>
        <v>2025</v>
      </c>
      <c r="K355" s="42" t="n">
        <f aca="false">IFERROR(VALUE(RIGHT(B355,2)),0)</f>
        <v>10</v>
      </c>
      <c r="L355" s="42" t="str">
        <f aca="false">IFERROR(INDEX(Calendar!$E$2:$E$25,MATCH(B355,Calendar!$A$2:$A$25,0)),"UNMATCHED")</f>
        <v>Actual</v>
      </c>
      <c r="M355" s="42" t="n">
        <f aca="false">Sales_Transactions!F355</f>
        <v>331</v>
      </c>
      <c r="N355" s="52" t="n">
        <f aca="false">Sales_Transactions!I355</f>
        <v>94139.71</v>
      </c>
      <c r="O355" s="52" t="n">
        <f aca="false">Sales_Transactions!J355</f>
        <v>56342.82</v>
      </c>
      <c r="P355" s="52" t="n">
        <f aca="false">Sales_Transactions!K355</f>
        <v>37796.89</v>
      </c>
      <c r="Q355" s="42" t="n">
        <f aca="false">IF(ISNUMBER(MATCH(E355,Product_Master!$A$2:$A$9,0)),0,1)</f>
        <v>0</v>
      </c>
      <c r="R355" s="42" t="n">
        <f aca="false">IF(ISNUMBER(MATCH(D355,Customer_Master!$A$2:$A$49,0)),0,1)</f>
        <v>0</v>
      </c>
      <c r="S355" s="42" t="n">
        <f aca="false">IF(ISNUMBER(MATCH(B355,Calendar!$A$2:$A$25,0)),0,1)</f>
        <v>0</v>
      </c>
      <c r="T355" s="42" t="n">
        <f aca="false">IF(COUNTIF(Sales_Transactions!$A$2:$A$865,A355)&gt;1,1,0)</f>
        <v>0</v>
      </c>
      <c r="U355" s="42" t="n">
        <f aca="false">IF(OR(ABS(Sales_Transactions!F355*Sales_Transactions!G355-Sales_Transactions!I355)&gt;0.01,ABS(Sales_Transactions!F355*Sales_Transactions!H355-Sales_Transactions!J355)&gt;0.01,ABS(Sales_Transactions!I355-Sales_Transactions!J355-Sales_Transactions!K355)&gt;0.01),1,0)</f>
        <v>0</v>
      </c>
      <c r="V355" s="42" t="n">
        <f aca="false">IF(C355&lt;&gt;L355,1,0)</f>
        <v>0</v>
      </c>
      <c r="W355" s="42" t="n">
        <f aca="false">IF(SUM(Q355:V355)&gt;0,1,0)</f>
        <v>0</v>
      </c>
    </row>
    <row r="356" customFormat="false" ht="15" hidden="false" customHeight="false" outlineLevel="0" collapsed="false">
      <c r="A356" s="42" t="str">
        <f aca="false">Sales_Transactions!A356</f>
        <v>INV-10-031</v>
      </c>
      <c r="B356" s="42" t="str">
        <f aca="false">Sales_Transactions!B356</f>
        <v>2025-10</v>
      </c>
      <c r="C356" s="42" t="str">
        <f aca="false">Sales_Transactions!C356</f>
        <v>Actual</v>
      </c>
      <c r="D356" s="42" t="str">
        <f aca="false">Sales_Transactions!D356</f>
        <v>C046</v>
      </c>
      <c r="E356" s="42" t="str">
        <f aca="false">Sales_Transactions!E356</f>
        <v>P008</v>
      </c>
      <c r="F356" s="42" t="str">
        <f aca="false">IFERROR(INDEX(Customer_Master!$C$2:$C$49,MATCH(D356,Customer_Master!$A$2:$A$49,0)),"UNMATCHED")</f>
        <v>North</v>
      </c>
      <c r="G356" s="42" t="str">
        <f aca="false">IFERROR(INDEX(Customer_Master!$D$2:$D$49,MATCH(D356,Customer_Master!$A$2:$A$49,0)),"UNMATCHED")</f>
        <v>Distributor</v>
      </c>
      <c r="H356" s="42" t="str">
        <f aca="false">IFERROR(INDEX(Product_Master!$C$2:$C$9,MATCH(E356,Product_Master!$A$2:$A$9,0)),"UNMATCHED")</f>
        <v>Personal Care</v>
      </c>
      <c r="I356" s="42" t="str">
        <f aca="false">IFERROR(INDEX(Product_Master!$B$2:$B$9,MATCH(E356,Product_Master!$A$2:$A$9,0)),"UNMATCHED")</f>
        <v>Body Lotion</v>
      </c>
      <c r="J356" s="42" t="n">
        <f aca="false">IFERROR(INDEX(Calendar!$B$2:$B$25,MATCH(B356,Calendar!$A$2:$A$25,0)),0)</f>
        <v>2025</v>
      </c>
      <c r="K356" s="42" t="n">
        <f aca="false">IFERROR(VALUE(RIGHT(B356,2)),0)</f>
        <v>10</v>
      </c>
      <c r="L356" s="42" t="str">
        <f aca="false">IFERROR(INDEX(Calendar!$E$2:$E$25,MATCH(B356,Calendar!$A$2:$A$25,0)),"UNMATCHED")</f>
        <v>Actual</v>
      </c>
      <c r="M356" s="42" t="n">
        <f aca="false">Sales_Transactions!F356</f>
        <v>258</v>
      </c>
      <c r="N356" s="52" t="n">
        <f aca="false">Sales_Transactions!I356</f>
        <v>83393.34</v>
      </c>
      <c r="O356" s="52" t="n">
        <f aca="false">Sales_Transactions!J356</f>
        <v>52959.66</v>
      </c>
      <c r="P356" s="52" t="n">
        <f aca="false">Sales_Transactions!K356</f>
        <v>30433.68</v>
      </c>
      <c r="Q356" s="42" t="n">
        <f aca="false">IF(ISNUMBER(MATCH(E356,Product_Master!$A$2:$A$9,0)),0,1)</f>
        <v>0</v>
      </c>
      <c r="R356" s="42" t="n">
        <f aca="false">IF(ISNUMBER(MATCH(D356,Customer_Master!$A$2:$A$49,0)),0,1)</f>
        <v>0</v>
      </c>
      <c r="S356" s="42" t="n">
        <f aca="false">IF(ISNUMBER(MATCH(B356,Calendar!$A$2:$A$25,0)),0,1)</f>
        <v>0</v>
      </c>
      <c r="T356" s="42" t="n">
        <f aca="false">IF(COUNTIF(Sales_Transactions!$A$2:$A$865,A356)&gt;1,1,0)</f>
        <v>0</v>
      </c>
      <c r="U356" s="42" t="n">
        <f aca="false">IF(OR(ABS(Sales_Transactions!F356*Sales_Transactions!G356-Sales_Transactions!I356)&gt;0.01,ABS(Sales_Transactions!F356*Sales_Transactions!H356-Sales_Transactions!J356)&gt;0.01,ABS(Sales_Transactions!I356-Sales_Transactions!J356-Sales_Transactions!K356)&gt;0.01),1,0)</f>
        <v>0</v>
      </c>
      <c r="V356" s="42" t="n">
        <f aca="false">IF(C356&lt;&gt;L356,1,0)</f>
        <v>0</v>
      </c>
      <c r="W356" s="42" t="n">
        <f aca="false">IF(SUM(Q356:V356)&gt;0,1,0)</f>
        <v>0</v>
      </c>
    </row>
    <row r="357" customFormat="false" ht="15" hidden="false" customHeight="false" outlineLevel="0" collapsed="false">
      <c r="A357" s="42" t="str">
        <f aca="false">Sales_Transactions!A357</f>
        <v>INV-10-032</v>
      </c>
      <c r="B357" s="42" t="str">
        <f aca="false">Sales_Transactions!B357</f>
        <v>2025-10</v>
      </c>
      <c r="C357" s="42" t="str">
        <f aca="false">Sales_Transactions!C357</f>
        <v>Actual</v>
      </c>
      <c r="D357" s="42" t="str">
        <f aca="false">Sales_Transactions!D357</f>
        <v>C005</v>
      </c>
      <c r="E357" s="42" t="str">
        <f aca="false">Sales_Transactions!E357</f>
        <v>P005</v>
      </c>
      <c r="F357" s="42" t="str">
        <f aca="false">IFERROR(INDEX(Customer_Master!$C$2:$C$49,MATCH(D357,Customer_Master!$A$2:$A$49,0)),"UNMATCHED")</f>
        <v>South</v>
      </c>
      <c r="G357" s="42" t="str">
        <f aca="false">IFERROR(INDEX(Customer_Master!$D$2:$D$49,MATCH(D357,Customer_Master!$A$2:$A$49,0)),"UNMATCHED")</f>
        <v>Modern Trade</v>
      </c>
      <c r="H357" s="42" t="str">
        <f aca="false">IFERROR(INDEX(Product_Master!$C$2:$C$9,MATCH(E357,Product_Master!$A$2:$A$9,0)),"UNMATCHED")</f>
        <v>Foods</v>
      </c>
      <c r="I357" s="42" t="str">
        <f aca="false">IFERROR(INDEX(Product_Master!$B$2:$B$9,MATCH(E357,Product_Master!$A$2:$A$9,0)),"UNMATCHED")</f>
        <v>Biscuits 500g</v>
      </c>
      <c r="J357" s="42" t="n">
        <f aca="false">IFERROR(INDEX(Calendar!$B$2:$B$25,MATCH(B357,Calendar!$A$2:$A$25,0)),0)</f>
        <v>2025</v>
      </c>
      <c r="K357" s="42" t="n">
        <f aca="false">IFERROR(VALUE(RIGHT(B357,2)),0)</f>
        <v>10</v>
      </c>
      <c r="L357" s="42" t="str">
        <f aca="false">IFERROR(INDEX(Calendar!$E$2:$E$25,MATCH(B357,Calendar!$A$2:$A$25,0)),"UNMATCHED")</f>
        <v>Actual</v>
      </c>
      <c r="M357" s="42" t="n">
        <f aca="false">Sales_Transactions!F357</f>
        <v>123</v>
      </c>
      <c r="N357" s="52" t="n">
        <f aca="false">Sales_Transactions!I357</f>
        <v>12288.93</v>
      </c>
      <c r="O357" s="52" t="n">
        <f aca="false">Sales_Transactions!J357</f>
        <v>8867.07</v>
      </c>
      <c r="P357" s="52" t="n">
        <f aca="false">Sales_Transactions!K357</f>
        <v>3421.86</v>
      </c>
      <c r="Q357" s="42" t="n">
        <f aca="false">IF(ISNUMBER(MATCH(E357,Product_Master!$A$2:$A$9,0)),0,1)</f>
        <v>0</v>
      </c>
      <c r="R357" s="42" t="n">
        <f aca="false">IF(ISNUMBER(MATCH(D357,Customer_Master!$A$2:$A$49,0)),0,1)</f>
        <v>0</v>
      </c>
      <c r="S357" s="42" t="n">
        <f aca="false">IF(ISNUMBER(MATCH(B357,Calendar!$A$2:$A$25,0)),0,1)</f>
        <v>0</v>
      </c>
      <c r="T357" s="42" t="n">
        <f aca="false">IF(COUNTIF(Sales_Transactions!$A$2:$A$865,A357)&gt;1,1,0)</f>
        <v>0</v>
      </c>
      <c r="U357" s="42" t="n">
        <f aca="false">IF(OR(ABS(Sales_Transactions!F357*Sales_Transactions!G357-Sales_Transactions!I357)&gt;0.01,ABS(Sales_Transactions!F357*Sales_Transactions!H357-Sales_Transactions!J357)&gt;0.01,ABS(Sales_Transactions!I357-Sales_Transactions!J357-Sales_Transactions!K357)&gt;0.01),1,0)</f>
        <v>0</v>
      </c>
      <c r="V357" s="42" t="n">
        <f aca="false">IF(C357&lt;&gt;L357,1,0)</f>
        <v>0</v>
      </c>
      <c r="W357" s="42" t="n">
        <f aca="false">IF(SUM(Q357:V357)&gt;0,1,0)</f>
        <v>0</v>
      </c>
    </row>
    <row r="358" customFormat="false" ht="15" hidden="false" customHeight="false" outlineLevel="0" collapsed="false">
      <c r="A358" s="42" t="str">
        <f aca="false">Sales_Transactions!A358</f>
        <v>INV-10-033</v>
      </c>
      <c r="B358" s="42" t="str">
        <f aca="false">Sales_Transactions!B358</f>
        <v>2025-10</v>
      </c>
      <c r="C358" s="42" t="str">
        <f aca="false">Sales_Transactions!C358</f>
        <v>Actual</v>
      </c>
      <c r="D358" s="42" t="str">
        <f aca="false">Sales_Transactions!D358</f>
        <v>C012</v>
      </c>
      <c r="E358" s="42" t="str">
        <f aca="false">Sales_Transactions!E358</f>
        <v>P002</v>
      </c>
      <c r="F358" s="42" t="str">
        <f aca="false">IFERROR(INDEX(Customer_Master!$C$2:$C$49,MATCH(D358,Customer_Master!$A$2:$A$49,0)),"UNMATCHED")</f>
        <v>East</v>
      </c>
      <c r="G358" s="42" t="str">
        <f aca="false">IFERROR(INDEX(Customer_Master!$D$2:$D$49,MATCH(D358,Customer_Master!$A$2:$A$49,0)),"UNMATCHED")</f>
        <v>Retail</v>
      </c>
      <c r="H358" s="42" t="str">
        <f aca="false">IFERROR(INDEX(Product_Master!$C$2:$C$9,MATCH(E358,Product_Master!$A$2:$A$9,0)),"UNMATCHED")</f>
        <v>Home Care</v>
      </c>
      <c r="I358" s="42" t="str">
        <f aca="false">IFERROR(INDEX(Product_Master!$B$2:$B$9,MATCH(E358,Product_Master!$A$2:$A$9,0)),"UNMATCHED")</f>
        <v>Dishwash Gel</v>
      </c>
      <c r="J358" s="42" t="n">
        <f aca="false">IFERROR(INDEX(Calendar!$B$2:$B$25,MATCH(B358,Calendar!$A$2:$A$25,0)),0)</f>
        <v>2025</v>
      </c>
      <c r="K358" s="42" t="n">
        <f aca="false">IFERROR(VALUE(RIGHT(B358,2)),0)</f>
        <v>10</v>
      </c>
      <c r="L358" s="42" t="str">
        <f aca="false">IFERROR(INDEX(Calendar!$E$2:$E$25,MATCH(B358,Calendar!$A$2:$A$25,0)),"UNMATCHED")</f>
        <v>Actual</v>
      </c>
      <c r="M358" s="42" t="n">
        <f aca="false">Sales_Transactions!F358</f>
        <v>431</v>
      </c>
      <c r="N358" s="52" t="n">
        <f aca="false">Sales_Transactions!I358</f>
        <v>61503.7</v>
      </c>
      <c r="O358" s="52" t="n">
        <f aca="false">Sales_Transactions!J358</f>
        <v>38083.16</v>
      </c>
      <c r="P358" s="52" t="n">
        <f aca="false">Sales_Transactions!K358</f>
        <v>23420.54</v>
      </c>
      <c r="Q358" s="42" t="n">
        <f aca="false">IF(ISNUMBER(MATCH(E358,Product_Master!$A$2:$A$9,0)),0,1)</f>
        <v>0</v>
      </c>
      <c r="R358" s="42" t="n">
        <f aca="false">IF(ISNUMBER(MATCH(D358,Customer_Master!$A$2:$A$49,0)),0,1)</f>
        <v>0</v>
      </c>
      <c r="S358" s="42" t="n">
        <f aca="false">IF(ISNUMBER(MATCH(B358,Calendar!$A$2:$A$25,0)),0,1)</f>
        <v>0</v>
      </c>
      <c r="T358" s="42" t="n">
        <f aca="false">IF(COUNTIF(Sales_Transactions!$A$2:$A$865,A358)&gt;1,1,0)</f>
        <v>0</v>
      </c>
      <c r="U358" s="42" t="n">
        <f aca="false">IF(OR(ABS(Sales_Transactions!F358*Sales_Transactions!G358-Sales_Transactions!I358)&gt;0.01,ABS(Sales_Transactions!F358*Sales_Transactions!H358-Sales_Transactions!J358)&gt;0.01,ABS(Sales_Transactions!I358-Sales_Transactions!J358-Sales_Transactions!K358)&gt;0.01),1,0)</f>
        <v>0</v>
      </c>
      <c r="V358" s="42" t="n">
        <f aca="false">IF(C358&lt;&gt;L358,1,0)</f>
        <v>0</v>
      </c>
      <c r="W358" s="42" t="n">
        <f aca="false">IF(SUM(Q358:V358)&gt;0,1,0)</f>
        <v>0</v>
      </c>
    </row>
    <row r="359" customFormat="false" ht="15" hidden="false" customHeight="false" outlineLevel="0" collapsed="false">
      <c r="A359" s="42" t="str">
        <f aca="false">Sales_Transactions!A359</f>
        <v>INV-10-034</v>
      </c>
      <c r="B359" s="42" t="str">
        <f aca="false">Sales_Transactions!B359</f>
        <v>2025-10</v>
      </c>
      <c r="C359" s="42" t="str">
        <f aca="false">Sales_Transactions!C359</f>
        <v>Actual</v>
      </c>
      <c r="D359" s="42" t="str">
        <f aca="false">Sales_Transactions!D359</f>
        <v>C019</v>
      </c>
      <c r="E359" s="42" t="str">
        <f aca="false">Sales_Transactions!E359</f>
        <v>P007</v>
      </c>
      <c r="F359" s="42" t="str">
        <f aca="false">IFERROR(INDEX(Customer_Master!$C$2:$C$49,MATCH(D359,Customer_Master!$A$2:$A$49,0)),"UNMATCHED")</f>
        <v>West</v>
      </c>
      <c r="G359" s="42" t="str">
        <f aca="false">IFERROR(INDEX(Customer_Master!$D$2:$D$49,MATCH(D359,Customer_Master!$A$2:$A$49,0)),"UNMATCHED")</f>
        <v>Distributor</v>
      </c>
      <c r="H359" s="42" t="str">
        <f aca="false">IFERROR(INDEX(Product_Master!$C$2:$C$9,MATCH(E359,Product_Master!$A$2:$A$9,0)),"UNMATCHED")</f>
        <v>Home Care</v>
      </c>
      <c r="I359" s="42" t="str">
        <f aca="false">IFERROR(INDEX(Product_Master!$B$2:$B$9,MATCH(E359,Product_Master!$A$2:$A$9,0)),"UNMATCHED")</f>
        <v>Floor Cleaner</v>
      </c>
      <c r="J359" s="42" t="n">
        <f aca="false">IFERROR(INDEX(Calendar!$B$2:$B$25,MATCH(B359,Calendar!$A$2:$A$25,0)),0)</f>
        <v>2025</v>
      </c>
      <c r="K359" s="42" t="n">
        <f aca="false">IFERROR(VALUE(RIGHT(B359,2)),0)</f>
        <v>10</v>
      </c>
      <c r="L359" s="42" t="str">
        <f aca="false">IFERROR(INDEX(Calendar!$E$2:$E$25,MATCH(B359,Calendar!$A$2:$A$25,0)),"UNMATCHED")</f>
        <v>Actual</v>
      </c>
      <c r="M359" s="42" t="n">
        <f aca="false">Sales_Transactions!F359</f>
        <v>370</v>
      </c>
      <c r="N359" s="52" t="n">
        <f aca="false">Sales_Transactions!I359</f>
        <v>65908.1</v>
      </c>
      <c r="O359" s="52" t="n">
        <f aca="false">Sales_Transactions!J359</f>
        <v>43715.5</v>
      </c>
      <c r="P359" s="52" t="n">
        <f aca="false">Sales_Transactions!K359</f>
        <v>22192.6</v>
      </c>
      <c r="Q359" s="42" t="n">
        <f aca="false">IF(ISNUMBER(MATCH(E359,Product_Master!$A$2:$A$9,0)),0,1)</f>
        <v>0</v>
      </c>
      <c r="R359" s="42" t="n">
        <f aca="false">IF(ISNUMBER(MATCH(D359,Customer_Master!$A$2:$A$49,0)),0,1)</f>
        <v>0</v>
      </c>
      <c r="S359" s="42" t="n">
        <f aca="false">IF(ISNUMBER(MATCH(B359,Calendar!$A$2:$A$25,0)),0,1)</f>
        <v>0</v>
      </c>
      <c r="T359" s="42" t="n">
        <f aca="false">IF(COUNTIF(Sales_Transactions!$A$2:$A$865,A359)&gt;1,1,0)</f>
        <v>0</v>
      </c>
      <c r="U359" s="42" t="n">
        <f aca="false">IF(OR(ABS(Sales_Transactions!F359*Sales_Transactions!G359-Sales_Transactions!I359)&gt;0.01,ABS(Sales_Transactions!F359*Sales_Transactions!H359-Sales_Transactions!J359)&gt;0.01,ABS(Sales_Transactions!I359-Sales_Transactions!J359-Sales_Transactions!K359)&gt;0.01),1,0)</f>
        <v>0</v>
      </c>
      <c r="V359" s="42" t="n">
        <f aca="false">IF(C359&lt;&gt;L359,1,0)</f>
        <v>0</v>
      </c>
      <c r="W359" s="42" t="n">
        <f aca="false">IF(SUM(Q359:V359)&gt;0,1,0)</f>
        <v>0</v>
      </c>
    </row>
    <row r="360" customFormat="false" ht="15" hidden="false" customHeight="false" outlineLevel="0" collapsed="false">
      <c r="A360" s="42" t="str">
        <f aca="false">Sales_Transactions!A360</f>
        <v>INV-10-035</v>
      </c>
      <c r="B360" s="42" t="str">
        <f aca="false">Sales_Transactions!B360</f>
        <v>2025-10</v>
      </c>
      <c r="C360" s="42" t="str">
        <f aca="false">Sales_Transactions!C360</f>
        <v>Actual</v>
      </c>
      <c r="D360" s="42" t="str">
        <f aca="false">Sales_Transactions!D360</f>
        <v>C026</v>
      </c>
      <c r="E360" s="42" t="str">
        <f aca="false">Sales_Transactions!E360</f>
        <v>P004</v>
      </c>
      <c r="F360" s="42" t="str">
        <f aca="false">IFERROR(INDEX(Customer_Master!$C$2:$C$49,MATCH(D360,Customer_Master!$A$2:$A$49,0)),"UNMATCHED")</f>
        <v>North</v>
      </c>
      <c r="G360" s="42" t="str">
        <f aca="false">IFERROR(INDEX(Customer_Master!$D$2:$D$49,MATCH(D360,Customer_Master!$A$2:$A$49,0)),"UNMATCHED")</f>
        <v>Modern Trade</v>
      </c>
      <c r="H360" s="42" t="str">
        <f aca="false">IFERROR(INDEX(Product_Master!$C$2:$C$9,MATCH(E360,Product_Master!$A$2:$A$9,0)),"UNMATCHED")</f>
        <v>Personal Care</v>
      </c>
      <c r="I360" s="42" t="str">
        <f aca="false">IFERROR(INDEX(Product_Master!$B$2:$B$9,MATCH(E360,Product_Master!$A$2:$A$9,0)),"UNMATCHED")</f>
        <v>Soap 4-pack</v>
      </c>
      <c r="J360" s="42" t="n">
        <f aca="false">IFERROR(INDEX(Calendar!$B$2:$B$25,MATCH(B360,Calendar!$A$2:$A$25,0)),0)</f>
        <v>2025</v>
      </c>
      <c r="K360" s="42" t="n">
        <f aca="false">IFERROR(VALUE(RIGHT(B360,2)),0)</f>
        <v>10</v>
      </c>
      <c r="L360" s="42" t="str">
        <f aca="false">IFERROR(INDEX(Calendar!$E$2:$E$25,MATCH(B360,Calendar!$A$2:$A$25,0)),"UNMATCHED")</f>
        <v>Actual</v>
      </c>
      <c r="M360" s="42" t="n">
        <f aca="false">Sales_Transactions!F360</f>
        <v>92</v>
      </c>
      <c r="N360" s="52" t="n">
        <f aca="false">Sales_Transactions!I360</f>
        <v>14882.84</v>
      </c>
      <c r="O360" s="52" t="n">
        <f aca="false">Sales_Transactions!J360</f>
        <v>8609.36</v>
      </c>
      <c r="P360" s="52" t="n">
        <f aca="false">Sales_Transactions!K360</f>
        <v>6273.48</v>
      </c>
      <c r="Q360" s="42" t="n">
        <f aca="false">IF(ISNUMBER(MATCH(E360,Product_Master!$A$2:$A$9,0)),0,1)</f>
        <v>0</v>
      </c>
      <c r="R360" s="42" t="n">
        <f aca="false">IF(ISNUMBER(MATCH(D360,Customer_Master!$A$2:$A$49,0)),0,1)</f>
        <v>0</v>
      </c>
      <c r="S360" s="42" t="n">
        <f aca="false">IF(ISNUMBER(MATCH(B360,Calendar!$A$2:$A$25,0)),0,1)</f>
        <v>0</v>
      </c>
      <c r="T360" s="42" t="n">
        <f aca="false">IF(COUNTIF(Sales_Transactions!$A$2:$A$865,A360)&gt;1,1,0)</f>
        <v>0</v>
      </c>
      <c r="U360" s="42" t="n">
        <f aca="false">IF(OR(ABS(Sales_Transactions!F360*Sales_Transactions!G360-Sales_Transactions!I360)&gt;0.01,ABS(Sales_Transactions!F360*Sales_Transactions!H360-Sales_Transactions!J360)&gt;0.01,ABS(Sales_Transactions!I360-Sales_Transactions!J360-Sales_Transactions!K360)&gt;0.01),1,0)</f>
        <v>0</v>
      </c>
      <c r="V360" s="42" t="n">
        <f aca="false">IF(C360&lt;&gt;L360,1,0)</f>
        <v>0</v>
      </c>
      <c r="W360" s="42" t="n">
        <f aca="false">IF(SUM(Q360:V360)&gt;0,1,0)</f>
        <v>0</v>
      </c>
    </row>
    <row r="361" customFormat="false" ht="15" hidden="false" customHeight="false" outlineLevel="0" collapsed="false">
      <c r="A361" s="42" t="str">
        <f aca="false">Sales_Transactions!A361</f>
        <v>INV-10-036</v>
      </c>
      <c r="B361" s="42" t="str">
        <f aca="false">Sales_Transactions!B361</f>
        <v>2025-10</v>
      </c>
      <c r="C361" s="42" t="str">
        <f aca="false">Sales_Transactions!C361</f>
        <v>Actual</v>
      </c>
      <c r="D361" s="42" t="str">
        <f aca="false">Sales_Transactions!D361</f>
        <v>C033</v>
      </c>
      <c r="E361" s="42" t="str">
        <f aca="false">Sales_Transactions!E361</f>
        <v>P001</v>
      </c>
      <c r="F361" s="42" t="str">
        <f aca="false">IFERROR(INDEX(Customer_Master!$C$2:$C$49,MATCH(D361,Customer_Master!$A$2:$A$49,0)),"UNMATCHED")</f>
        <v>South</v>
      </c>
      <c r="G361" s="42" t="str">
        <f aca="false">IFERROR(INDEX(Customer_Master!$D$2:$D$49,MATCH(D361,Customer_Master!$A$2:$A$49,0)),"UNMATCHED")</f>
        <v>Retail</v>
      </c>
      <c r="H361" s="42" t="str">
        <f aca="false">IFERROR(INDEX(Product_Master!$C$2:$C$9,MATCH(E361,Product_Master!$A$2:$A$9,0)),"UNMATCHED")</f>
        <v>Home Care</v>
      </c>
      <c r="I361" s="42" t="str">
        <f aca="false">IFERROR(INDEX(Product_Master!$B$2:$B$9,MATCH(E361,Product_Master!$A$2:$A$9,0)),"UNMATCHED")</f>
        <v>Detergent 1kg</v>
      </c>
      <c r="J361" s="42" t="n">
        <f aca="false">IFERROR(INDEX(Calendar!$B$2:$B$25,MATCH(B361,Calendar!$A$2:$A$25,0)),0)</f>
        <v>2025</v>
      </c>
      <c r="K361" s="42" t="n">
        <f aca="false">IFERROR(VALUE(RIGHT(B361,2)),0)</f>
        <v>10</v>
      </c>
      <c r="L361" s="42" t="str">
        <f aca="false">IFERROR(INDEX(Calendar!$E$2:$E$25,MATCH(B361,Calendar!$A$2:$A$25,0)),"UNMATCHED")</f>
        <v>Actual</v>
      </c>
      <c r="M361" s="42" t="n">
        <f aca="false">Sales_Transactions!F361</f>
        <v>273</v>
      </c>
      <c r="N361" s="52" t="n">
        <f aca="false">Sales_Transactions!I361</f>
        <v>56038.71</v>
      </c>
      <c r="O361" s="52" t="n">
        <f aca="false">Sales_Transactions!J361</f>
        <v>37502.01</v>
      </c>
      <c r="P361" s="52" t="n">
        <f aca="false">Sales_Transactions!K361</f>
        <v>18536.7</v>
      </c>
      <c r="Q361" s="42" t="n">
        <f aca="false">IF(ISNUMBER(MATCH(E361,Product_Master!$A$2:$A$9,0)),0,1)</f>
        <v>0</v>
      </c>
      <c r="R361" s="42" t="n">
        <f aca="false">IF(ISNUMBER(MATCH(D361,Customer_Master!$A$2:$A$49,0)),0,1)</f>
        <v>0</v>
      </c>
      <c r="S361" s="42" t="n">
        <f aca="false">IF(ISNUMBER(MATCH(B361,Calendar!$A$2:$A$25,0)),0,1)</f>
        <v>0</v>
      </c>
      <c r="T361" s="42" t="n">
        <f aca="false">IF(COUNTIF(Sales_Transactions!$A$2:$A$865,A361)&gt;1,1,0)</f>
        <v>0</v>
      </c>
      <c r="U361" s="42" t="n">
        <f aca="false">IF(OR(ABS(Sales_Transactions!F361*Sales_Transactions!G361-Sales_Transactions!I361)&gt;0.01,ABS(Sales_Transactions!F361*Sales_Transactions!H361-Sales_Transactions!J361)&gt;0.01,ABS(Sales_Transactions!I361-Sales_Transactions!J361-Sales_Transactions!K361)&gt;0.01),1,0)</f>
        <v>0</v>
      </c>
      <c r="V361" s="42" t="n">
        <f aca="false">IF(C361&lt;&gt;L361,1,0)</f>
        <v>0</v>
      </c>
      <c r="W361" s="42" t="n">
        <f aca="false">IF(SUM(Q361:V361)&gt;0,1,0)</f>
        <v>0</v>
      </c>
    </row>
    <row r="362" customFormat="false" ht="15" hidden="false" customHeight="false" outlineLevel="0" collapsed="false">
      <c r="A362" s="42" t="str">
        <f aca="false">Sales_Transactions!A362</f>
        <v>INV-11-001</v>
      </c>
      <c r="B362" s="42" t="str">
        <f aca="false">Sales_Transactions!B362</f>
        <v>2025-11</v>
      </c>
      <c r="C362" s="42" t="str">
        <f aca="false">Sales_Transactions!C362</f>
        <v>Actual</v>
      </c>
      <c r="D362" s="42" t="str">
        <f aca="false">Sales_Transactions!D362</f>
        <v>C031</v>
      </c>
      <c r="E362" s="42" t="str">
        <f aca="false">Sales_Transactions!E362</f>
        <v>P003</v>
      </c>
      <c r="F362" s="42" t="str">
        <f aca="false">IFERROR(INDEX(Customer_Master!$C$2:$C$49,MATCH(D362,Customer_Master!$A$2:$A$49,0)),"UNMATCHED")</f>
        <v>West</v>
      </c>
      <c r="G362" s="42" t="str">
        <f aca="false">IFERROR(INDEX(Customer_Master!$D$2:$D$49,MATCH(D362,Customer_Master!$A$2:$A$49,0)),"UNMATCHED")</f>
        <v>Distributor</v>
      </c>
      <c r="H362" s="42" t="str">
        <f aca="false">IFERROR(INDEX(Product_Master!$C$2:$C$9,MATCH(E362,Product_Master!$A$2:$A$9,0)),"UNMATCHED")</f>
        <v>Personal Care</v>
      </c>
      <c r="I362" s="42" t="str">
        <f aca="false">IFERROR(INDEX(Product_Master!$B$2:$B$9,MATCH(E362,Product_Master!$A$2:$A$9,0)),"UNMATCHED")</f>
        <v>Shampoo 400ml</v>
      </c>
      <c r="J362" s="42" t="n">
        <f aca="false">IFERROR(INDEX(Calendar!$B$2:$B$25,MATCH(B362,Calendar!$A$2:$A$25,0)),0)</f>
        <v>2025</v>
      </c>
      <c r="K362" s="42" t="n">
        <f aca="false">IFERROR(VALUE(RIGHT(B362,2)),0)</f>
        <v>11</v>
      </c>
      <c r="L362" s="42" t="str">
        <f aca="false">IFERROR(INDEX(Calendar!$E$2:$E$25,MATCH(B362,Calendar!$A$2:$A$25,0)),"UNMATCHED")</f>
        <v>Actual</v>
      </c>
      <c r="M362" s="42" t="n">
        <f aca="false">Sales_Transactions!F362</f>
        <v>384</v>
      </c>
      <c r="N362" s="52" t="n">
        <f aca="false">Sales_Transactions!I362</f>
        <v>101018.88</v>
      </c>
      <c r="O362" s="52" t="n">
        <f aca="false">Sales_Transactions!J362</f>
        <v>68067.84</v>
      </c>
      <c r="P362" s="52" t="n">
        <f aca="false">Sales_Transactions!K362</f>
        <v>32951.04</v>
      </c>
      <c r="Q362" s="42" t="n">
        <f aca="false">IF(ISNUMBER(MATCH(E362,Product_Master!$A$2:$A$9,0)),0,1)</f>
        <v>0</v>
      </c>
      <c r="R362" s="42" t="n">
        <f aca="false">IF(ISNUMBER(MATCH(D362,Customer_Master!$A$2:$A$49,0)),0,1)</f>
        <v>0</v>
      </c>
      <c r="S362" s="42" t="n">
        <f aca="false">IF(ISNUMBER(MATCH(B362,Calendar!$A$2:$A$25,0)),0,1)</f>
        <v>0</v>
      </c>
      <c r="T362" s="42" t="n">
        <f aca="false">IF(COUNTIF(Sales_Transactions!$A$2:$A$865,A362)&gt;1,1,0)</f>
        <v>0</v>
      </c>
      <c r="U362" s="42" t="n">
        <f aca="false">IF(OR(ABS(Sales_Transactions!F362*Sales_Transactions!G362-Sales_Transactions!I362)&gt;0.01,ABS(Sales_Transactions!F362*Sales_Transactions!H362-Sales_Transactions!J362)&gt;0.01,ABS(Sales_Transactions!I362-Sales_Transactions!J362-Sales_Transactions!K362)&gt;0.01),1,0)</f>
        <v>0</v>
      </c>
      <c r="V362" s="42" t="n">
        <f aca="false">IF(C362&lt;&gt;L362,1,0)</f>
        <v>0</v>
      </c>
      <c r="W362" s="42" t="n">
        <f aca="false">IF(SUM(Q362:V362)&gt;0,1,0)</f>
        <v>0</v>
      </c>
    </row>
    <row r="363" customFormat="false" ht="15" hidden="false" customHeight="false" outlineLevel="0" collapsed="false">
      <c r="A363" s="42" t="str">
        <f aca="false">Sales_Transactions!A363</f>
        <v>INV-11-002</v>
      </c>
      <c r="B363" s="42" t="str">
        <f aca="false">Sales_Transactions!B363</f>
        <v>2025-11</v>
      </c>
      <c r="C363" s="42" t="str">
        <f aca="false">Sales_Transactions!C363</f>
        <v>Actual</v>
      </c>
      <c r="D363" s="42" t="str">
        <f aca="false">Sales_Transactions!D363</f>
        <v>C038</v>
      </c>
      <c r="E363" s="42" t="str">
        <f aca="false">Sales_Transactions!E363</f>
        <v>P008</v>
      </c>
      <c r="F363" s="42" t="str">
        <f aca="false">IFERROR(INDEX(Customer_Master!$C$2:$C$49,MATCH(D363,Customer_Master!$A$2:$A$49,0)),"UNMATCHED")</f>
        <v>North</v>
      </c>
      <c r="G363" s="42" t="str">
        <f aca="false">IFERROR(INDEX(Customer_Master!$D$2:$D$49,MATCH(D363,Customer_Master!$A$2:$A$49,0)),"UNMATCHED")</f>
        <v>Modern Trade</v>
      </c>
      <c r="H363" s="42" t="str">
        <f aca="false">IFERROR(INDEX(Product_Master!$C$2:$C$9,MATCH(E363,Product_Master!$A$2:$A$9,0)),"UNMATCHED")</f>
        <v>Personal Care</v>
      </c>
      <c r="I363" s="42" t="str">
        <f aca="false">IFERROR(INDEX(Product_Master!$B$2:$B$9,MATCH(E363,Product_Master!$A$2:$A$9,0)),"UNMATCHED")</f>
        <v>Body Lotion</v>
      </c>
      <c r="J363" s="42" t="n">
        <f aca="false">IFERROR(INDEX(Calendar!$B$2:$B$25,MATCH(B363,Calendar!$A$2:$A$25,0)),0)</f>
        <v>2025</v>
      </c>
      <c r="K363" s="42" t="n">
        <f aca="false">IFERROR(VALUE(RIGHT(B363,2)),0)</f>
        <v>11</v>
      </c>
      <c r="L363" s="42" t="str">
        <f aca="false">IFERROR(INDEX(Calendar!$E$2:$E$25,MATCH(B363,Calendar!$A$2:$A$25,0)),"UNMATCHED")</f>
        <v>Actual</v>
      </c>
      <c r="M363" s="42" t="n">
        <f aca="false">Sales_Transactions!F363</f>
        <v>275</v>
      </c>
      <c r="N363" s="52" t="n">
        <f aca="false">Sales_Transactions!I363</f>
        <v>80803.25</v>
      </c>
      <c r="O363" s="52" t="n">
        <f aca="false">Sales_Transactions!J363</f>
        <v>54887.25</v>
      </c>
      <c r="P363" s="52" t="n">
        <f aca="false">Sales_Transactions!K363</f>
        <v>25916</v>
      </c>
      <c r="Q363" s="42" t="n">
        <f aca="false">IF(ISNUMBER(MATCH(E363,Product_Master!$A$2:$A$9,0)),0,1)</f>
        <v>0</v>
      </c>
      <c r="R363" s="42" t="n">
        <f aca="false">IF(ISNUMBER(MATCH(D363,Customer_Master!$A$2:$A$49,0)),0,1)</f>
        <v>0</v>
      </c>
      <c r="S363" s="42" t="n">
        <f aca="false">IF(ISNUMBER(MATCH(B363,Calendar!$A$2:$A$25,0)),0,1)</f>
        <v>0</v>
      </c>
      <c r="T363" s="42" t="n">
        <f aca="false">IF(COUNTIF(Sales_Transactions!$A$2:$A$865,A363)&gt;1,1,0)</f>
        <v>0</v>
      </c>
      <c r="U363" s="42" t="n">
        <f aca="false">IF(OR(ABS(Sales_Transactions!F363*Sales_Transactions!G363-Sales_Transactions!I363)&gt;0.01,ABS(Sales_Transactions!F363*Sales_Transactions!H363-Sales_Transactions!J363)&gt;0.01,ABS(Sales_Transactions!I363-Sales_Transactions!J363-Sales_Transactions!K363)&gt;0.01),1,0)</f>
        <v>0</v>
      </c>
      <c r="V363" s="42" t="n">
        <f aca="false">IF(C363&lt;&gt;L363,1,0)</f>
        <v>0</v>
      </c>
      <c r="W363" s="42" t="n">
        <f aca="false">IF(SUM(Q363:V363)&gt;0,1,0)</f>
        <v>0</v>
      </c>
    </row>
    <row r="364" customFormat="false" ht="15" hidden="false" customHeight="false" outlineLevel="0" collapsed="false">
      <c r="A364" s="42" t="str">
        <f aca="false">Sales_Transactions!A364</f>
        <v>INV-11-003</v>
      </c>
      <c r="B364" s="42" t="str">
        <f aca="false">Sales_Transactions!B364</f>
        <v>2025-11</v>
      </c>
      <c r="C364" s="42" t="str">
        <f aca="false">Sales_Transactions!C364</f>
        <v>Actual</v>
      </c>
      <c r="D364" s="42" t="str">
        <f aca="false">Sales_Transactions!D364</f>
        <v>C045</v>
      </c>
      <c r="E364" s="42" t="str">
        <f aca="false">Sales_Transactions!E364</f>
        <v>P005</v>
      </c>
      <c r="F364" s="42" t="str">
        <f aca="false">IFERROR(INDEX(Customer_Master!$C$2:$C$49,MATCH(D364,Customer_Master!$A$2:$A$49,0)),"UNMATCHED")</f>
        <v>South</v>
      </c>
      <c r="G364" s="42" t="str">
        <f aca="false">IFERROR(INDEX(Customer_Master!$D$2:$D$49,MATCH(D364,Customer_Master!$A$2:$A$49,0)),"UNMATCHED")</f>
        <v>Retail</v>
      </c>
      <c r="H364" s="42" t="str">
        <f aca="false">IFERROR(INDEX(Product_Master!$C$2:$C$9,MATCH(E364,Product_Master!$A$2:$A$9,0)),"UNMATCHED")</f>
        <v>Foods</v>
      </c>
      <c r="I364" s="42" t="str">
        <f aca="false">IFERROR(INDEX(Product_Master!$B$2:$B$9,MATCH(E364,Product_Master!$A$2:$A$9,0)),"UNMATCHED")</f>
        <v>Biscuits 500g</v>
      </c>
      <c r="J364" s="42" t="n">
        <f aca="false">IFERROR(INDEX(Calendar!$B$2:$B$25,MATCH(B364,Calendar!$A$2:$A$25,0)),0)</f>
        <v>2025</v>
      </c>
      <c r="K364" s="42" t="n">
        <f aca="false">IFERROR(VALUE(RIGHT(B364,2)),0)</f>
        <v>11</v>
      </c>
      <c r="L364" s="42" t="str">
        <f aca="false">IFERROR(INDEX(Calendar!$E$2:$E$25,MATCH(B364,Calendar!$A$2:$A$25,0)),"UNMATCHED")</f>
        <v>Actual</v>
      </c>
      <c r="M364" s="42" t="n">
        <f aca="false">Sales_Transactions!F364</f>
        <v>97</v>
      </c>
      <c r="N364" s="52" t="n">
        <f aca="false">Sales_Transactions!I364</f>
        <v>10355.72</v>
      </c>
      <c r="O364" s="52" t="n">
        <f aca="false">Sales_Transactions!J364</f>
        <v>6974.3</v>
      </c>
      <c r="P364" s="52" t="n">
        <f aca="false">Sales_Transactions!K364</f>
        <v>3381.42</v>
      </c>
      <c r="Q364" s="42" t="n">
        <f aca="false">IF(ISNUMBER(MATCH(E364,Product_Master!$A$2:$A$9,0)),0,1)</f>
        <v>0</v>
      </c>
      <c r="R364" s="42" t="n">
        <f aca="false">IF(ISNUMBER(MATCH(D364,Customer_Master!$A$2:$A$49,0)),0,1)</f>
        <v>0</v>
      </c>
      <c r="S364" s="42" t="n">
        <f aca="false">IF(ISNUMBER(MATCH(B364,Calendar!$A$2:$A$25,0)),0,1)</f>
        <v>0</v>
      </c>
      <c r="T364" s="42" t="n">
        <f aca="false">IF(COUNTIF(Sales_Transactions!$A$2:$A$865,A364)&gt;1,1,0)</f>
        <v>0</v>
      </c>
      <c r="U364" s="42" t="n">
        <f aca="false">IF(OR(ABS(Sales_Transactions!F364*Sales_Transactions!G364-Sales_Transactions!I364)&gt;0.01,ABS(Sales_Transactions!F364*Sales_Transactions!H364-Sales_Transactions!J364)&gt;0.01,ABS(Sales_Transactions!I364-Sales_Transactions!J364-Sales_Transactions!K364)&gt;0.01),1,0)</f>
        <v>0</v>
      </c>
      <c r="V364" s="42" t="n">
        <f aca="false">IF(C364&lt;&gt;L364,1,0)</f>
        <v>0</v>
      </c>
      <c r="W364" s="42" t="n">
        <f aca="false">IF(SUM(Q364:V364)&gt;0,1,0)</f>
        <v>0</v>
      </c>
    </row>
    <row r="365" customFormat="false" ht="15" hidden="false" customHeight="false" outlineLevel="0" collapsed="false">
      <c r="A365" s="42" t="str">
        <f aca="false">Sales_Transactions!A365</f>
        <v>INV-11-004</v>
      </c>
      <c r="B365" s="42" t="str">
        <f aca="false">Sales_Transactions!B365</f>
        <v>2025-11</v>
      </c>
      <c r="C365" s="42" t="str">
        <f aca="false">Sales_Transactions!C365</f>
        <v>Actual</v>
      </c>
      <c r="D365" s="42" t="str">
        <f aca="false">Sales_Transactions!D365</f>
        <v>C004</v>
      </c>
      <c r="E365" s="42" t="str">
        <f aca="false">Sales_Transactions!E365</f>
        <v>P002</v>
      </c>
      <c r="F365" s="42" t="str">
        <f aca="false">IFERROR(INDEX(Customer_Master!$C$2:$C$49,MATCH(D365,Customer_Master!$A$2:$A$49,0)),"UNMATCHED")</f>
        <v>East</v>
      </c>
      <c r="G365" s="42" t="str">
        <f aca="false">IFERROR(INDEX(Customer_Master!$D$2:$D$49,MATCH(D365,Customer_Master!$A$2:$A$49,0)),"UNMATCHED")</f>
        <v>Distributor</v>
      </c>
      <c r="H365" s="42" t="str">
        <f aca="false">IFERROR(INDEX(Product_Master!$C$2:$C$9,MATCH(E365,Product_Master!$A$2:$A$9,0)),"UNMATCHED")</f>
        <v>Home Care</v>
      </c>
      <c r="I365" s="42" t="str">
        <f aca="false">IFERROR(INDEX(Product_Master!$B$2:$B$9,MATCH(E365,Product_Master!$A$2:$A$9,0)),"UNMATCHED")</f>
        <v>Dishwash Gel</v>
      </c>
      <c r="J365" s="42" t="n">
        <f aca="false">IFERROR(INDEX(Calendar!$B$2:$B$25,MATCH(B365,Calendar!$A$2:$A$25,0)),0)</f>
        <v>2025</v>
      </c>
      <c r="K365" s="42" t="n">
        <f aca="false">IFERROR(VALUE(RIGHT(B365,2)),0)</f>
        <v>11</v>
      </c>
      <c r="L365" s="42" t="str">
        <f aca="false">IFERROR(INDEX(Calendar!$E$2:$E$25,MATCH(B365,Calendar!$A$2:$A$25,0)),"UNMATCHED")</f>
        <v>Actual</v>
      </c>
      <c r="M365" s="42" t="n">
        <f aca="false">Sales_Transactions!F365</f>
        <v>252</v>
      </c>
      <c r="N365" s="52" t="n">
        <f aca="false">Sales_Transactions!I365</f>
        <v>36867.6</v>
      </c>
      <c r="O365" s="52" t="n">
        <f aca="false">Sales_Transactions!J365</f>
        <v>20386.8</v>
      </c>
      <c r="P365" s="52" t="n">
        <f aca="false">Sales_Transactions!K365</f>
        <v>16480.8</v>
      </c>
      <c r="Q365" s="42" t="n">
        <f aca="false">IF(ISNUMBER(MATCH(E365,Product_Master!$A$2:$A$9,0)),0,1)</f>
        <v>0</v>
      </c>
      <c r="R365" s="42" t="n">
        <f aca="false">IF(ISNUMBER(MATCH(D365,Customer_Master!$A$2:$A$49,0)),0,1)</f>
        <v>0</v>
      </c>
      <c r="S365" s="42" t="n">
        <f aca="false">IF(ISNUMBER(MATCH(B365,Calendar!$A$2:$A$25,0)),0,1)</f>
        <v>0</v>
      </c>
      <c r="T365" s="42" t="n">
        <f aca="false">IF(COUNTIF(Sales_Transactions!$A$2:$A$865,A365)&gt;1,1,0)</f>
        <v>0</v>
      </c>
      <c r="U365" s="42" t="n">
        <f aca="false">IF(OR(ABS(Sales_Transactions!F365*Sales_Transactions!G365-Sales_Transactions!I365)&gt;0.01,ABS(Sales_Transactions!F365*Sales_Transactions!H365-Sales_Transactions!J365)&gt;0.01,ABS(Sales_Transactions!I365-Sales_Transactions!J365-Sales_Transactions!K365)&gt;0.01),1,0)</f>
        <v>0</v>
      </c>
      <c r="V365" s="42" t="n">
        <f aca="false">IF(C365&lt;&gt;L365,1,0)</f>
        <v>0</v>
      </c>
      <c r="W365" s="42" t="n">
        <f aca="false">IF(SUM(Q365:V365)&gt;0,1,0)</f>
        <v>0</v>
      </c>
    </row>
    <row r="366" customFormat="false" ht="15" hidden="false" customHeight="false" outlineLevel="0" collapsed="false">
      <c r="A366" s="42" t="str">
        <f aca="false">Sales_Transactions!A366</f>
        <v>INV-11-005</v>
      </c>
      <c r="B366" s="42" t="str">
        <f aca="false">Sales_Transactions!B366</f>
        <v>2025-11</v>
      </c>
      <c r="C366" s="42" t="str">
        <f aca="false">Sales_Transactions!C366</f>
        <v>Actual</v>
      </c>
      <c r="D366" s="42" t="str">
        <f aca="false">Sales_Transactions!D366</f>
        <v>C011</v>
      </c>
      <c r="E366" s="42" t="str">
        <f aca="false">Sales_Transactions!E366</f>
        <v>P007</v>
      </c>
      <c r="F366" s="42" t="str">
        <f aca="false">IFERROR(INDEX(Customer_Master!$C$2:$C$49,MATCH(D366,Customer_Master!$A$2:$A$49,0)),"UNMATCHED")</f>
        <v>West</v>
      </c>
      <c r="G366" s="42" t="str">
        <f aca="false">IFERROR(INDEX(Customer_Master!$D$2:$D$49,MATCH(D366,Customer_Master!$A$2:$A$49,0)),"UNMATCHED")</f>
        <v>Modern Trade</v>
      </c>
      <c r="H366" s="42" t="str">
        <f aca="false">IFERROR(INDEX(Product_Master!$C$2:$C$9,MATCH(E366,Product_Master!$A$2:$A$9,0)),"UNMATCHED")</f>
        <v>Home Care</v>
      </c>
      <c r="I366" s="42" t="str">
        <f aca="false">IFERROR(INDEX(Product_Master!$B$2:$B$9,MATCH(E366,Product_Master!$A$2:$A$9,0)),"UNMATCHED")</f>
        <v>Floor Cleaner</v>
      </c>
      <c r="J366" s="42" t="n">
        <f aca="false">IFERROR(INDEX(Calendar!$B$2:$B$25,MATCH(B366,Calendar!$A$2:$A$25,0)),0)</f>
        <v>2025</v>
      </c>
      <c r="K366" s="42" t="n">
        <f aca="false">IFERROR(VALUE(RIGHT(B366,2)),0)</f>
        <v>11</v>
      </c>
      <c r="L366" s="42" t="str">
        <f aca="false">IFERROR(INDEX(Calendar!$E$2:$E$25,MATCH(B366,Calendar!$A$2:$A$25,0)),"UNMATCHED")</f>
        <v>Actual</v>
      </c>
      <c r="M366" s="42" t="n">
        <f aca="false">Sales_Transactions!F366</f>
        <v>117</v>
      </c>
      <c r="N366" s="52" t="n">
        <f aca="false">Sales_Transactions!I366</f>
        <v>21620.43</v>
      </c>
      <c r="O366" s="52" t="n">
        <f aca="false">Sales_Transactions!J366</f>
        <v>13309.92</v>
      </c>
      <c r="P366" s="52" t="n">
        <f aca="false">Sales_Transactions!K366</f>
        <v>8310.51</v>
      </c>
      <c r="Q366" s="42" t="n">
        <f aca="false">IF(ISNUMBER(MATCH(E366,Product_Master!$A$2:$A$9,0)),0,1)</f>
        <v>0</v>
      </c>
      <c r="R366" s="42" t="n">
        <f aca="false">IF(ISNUMBER(MATCH(D366,Customer_Master!$A$2:$A$49,0)),0,1)</f>
        <v>0</v>
      </c>
      <c r="S366" s="42" t="n">
        <f aca="false">IF(ISNUMBER(MATCH(B366,Calendar!$A$2:$A$25,0)),0,1)</f>
        <v>0</v>
      </c>
      <c r="T366" s="42" t="n">
        <f aca="false">IF(COUNTIF(Sales_Transactions!$A$2:$A$865,A366)&gt;1,1,0)</f>
        <v>0</v>
      </c>
      <c r="U366" s="42" t="n">
        <f aca="false">IF(OR(ABS(Sales_Transactions!F366*Sales_Transactions!G366-Sales_Transactions!I366)&gt;0.01,ABS(Sales_Transactions!F366*Sales_Transactions!H366-Sales_Transactions!J366)&gt;0.01,ABS(Sales_Transactions!I366-Sales_Transactions!J366-Sales_Transactions!K366)&gt;0.01),1,0)</f>
        <v>0</v>
      </c>
      <c r="V366" s="42" t="n">
        <f aca="false">IF(C366&lt;&gt;L366,1,0)</f>
        <v>0</v>
      </c>
      <c r="W366" s="42" t="n">
        <f aca="false">IF(SUM(Q366:V366)&gt;0,1,0)</f>
        <v>0</v>
      </c>
    </row>
    <row r="367" customFormat="false" ht="15" hidden="false" customHeight="false" outlineLevel="0" collapsed="false">
      <c r="A367" s="42" t="str">
        <f aca="false">Sales_Transactions!A367</f>
        <v>INV-11-006</v>
      </c>
      <c r="B367" s="42" t="str">
        <f aca="false">Sales_Transactions!B367</f>
        <v>2025-11</v>
      </c>
      <c r="C367" s="42" t="str">
        <f aca="false">Sales_Transactions!C367</f>
        <v>Actual</v>
      </c>
      <c r="D367" s="42" t="str">
        <f aca="false">Sales_Transactions!D367</f>
        <v>C018</v>
      </c>
      <c r="E367" s="42" t="str">
        <f aca="false">Sales_Transactions!E367</f>
        <v>P004</v>
      </c>
      <c r="F367" s="42" t="str">
        <f aca="false">IFERROR(INDEX(Customer_Master!$C$2:$C$49,MATCH(D367,Customer_Master!$A$2:$A$49,0)),"UNMATCHED")</f>
        <v>North</v>
      </c>
      <c r="G367" s="42" t="str">
        <f aca="false">IFERROR(INDEX(Customer_Master!$D$2:$D$49,MATCH(D367,Customer_Master!$A$2:$A$49,0)),"UNMATCHED")</f>
        <v>Retail</v>
      </c>
      <c r="H367" s="42" t="str">
        <f aca="false">IFERROR(INDEX(Product_Master!$C$2:$C$9,MATCH(E367,Product_Master!$A$2:$A$9,0)),"UNMATCHED")</f>
        <v>Personal Care</v>
      </c>
      <c r="I367" s="42" t="str">
        <f aca="false">IFERROR(INDEX(Product_Master!$B$2:$B$9,MATCH(E367,Product_Master!$A$2:$A$9,0)),"UNMATCHED")</f>
        <v>Soap 4-pack</v>
      </c>
      <c r="J367" s="42" t="n">
        <f aca="false">IFERROR(INDEX(Calendar!$B$2:$B$25,MATCH(B367,Calendar!$A$2:$A$25,0)),0)</f>
        <v>2025</v>
      </c>
      <c r="K367" s="42" t="n">
        <f aca="false">IFERROR(VALUE(RIGHT(B367,2)),0)</f>
        <v>11</v>
      </c>
      <c r="L367" s="42" t="str">
        <f aca="false">IFERROR(INDEX(Calendar!$E$2:$E$25,MATCH(B367,Calendar!$A$2:$A$25,0)),"UNMATCHED")</f>
        <v>Actual</v>
      </c>
      <c r="M367" s="42" t="n">
        <f aca="false">Sales_Transactions!F367</f>
        <v>443</v>
      </c>
      <c r="N367" s="52" t="n">
        <f aca="false">Sales_Transactions!I367</f>
        <v>72040.66</v>
      </c>
      <c r="O367" s="52" t="n">
        <f aca="false">Sales_Transactions!J367</f>
        <v>42908.98</v>
      </c>
      <c r="P367" s="52" t="n">
        <f aca="false">Sales_Transactions!K367</f>
        <v>29131.68</v>
      </c>
      <c r="Q367" s="42" t="n">
        <f aca="false">IF(ISNUMBER(MATCH(E367,Product_Master!$A$2:$A$9,0)),0,1)</f>
        <v>0</v>
      </c>
      <c r="R367" s="42" t="n">
        <f aca="false">IF(ISNUMBER(MATCH(D367,Customer_Master!$A$2:$A$49,0)),0,1)</f>
        <v>0</v>
      </c>
      <c r="S367" s="42" t="n">
        <f aca="false">IF(ISNUMBER(MATCH(B367,Calendar!$A$2:$A$25,0)),0,1)</f>
        <v>0</v>
      </c>
      <c r="T367" s="42" t="n">
        <f aca="false">IF(COUNTIF(Sales_Transactions!$A$2:$A$865,A367)&gt;1,1,0)</f>
        <v>0</v>
      </c>
      <c r="U367" s="42" t="n">
        <f aca="false">IF(OR(ABS(Sales_Transactions!F367*Sales_Transactions!G367-Sales_Transactions!I367)&gt;0.01,ABS(Sales_Transactions!F367*Sales_Transactions!H367-Sales_Transactions!J367)&gt;0.01,ABS(Sales_Transactions!I367-Sales_Transactions!J367-Sales_Transactions!K367)&gt;0.01),1,0)</f>
        <v>0</v>
      </c>
      <c r="V367" s="42" t="n">
        <f aca="false">IF(C367&lt;&gt;L367,1,0)</f>
        <v>0</v>
      </c>
      <c r="W367" s="42" t="n">
        <f aca="false">IF(SUM(Q367:V367)&gt;0,1,0)</f>
        <v>0</v>
      </c>
    </row>
    <row r="368" customFormat="false" ht="15" hidden="false" customHeight="false" outlineLevel="0" collapsed="false">
      <c r="A368" s="42" t="str">
        <f aca="false">Sales_Transactions!A368</f>
        <v>INV-11-007</v>
      </c>
      <c r="B368" s="42" t="str">
        <f aca="false">Sales_Transactions!B368</f>
        <v>2025-11</v>
      </c>
      <c r="C368" s="42" t="str">
        <f aca="false">Sales_Transactions!C368</f>
        <v>Actual</v>
      </c>
      <c r="D368" s="42" t="str">
        <f aca="false">Sales_Transactions!D368</f>
        <v>C025</v>
      </c>
      <c r="E368" s="42" t="str">
        <f aca="false">Sales_Transactions!E368</f>
        <v>P001</v>
      </c>
      <c r="F368" s="42" t="str">
        <f aca="false">IFERROR(INDEX(Customer_Master!$C$2:$C$49,MATCH(D368,Customer_Master!$A$2:$A$49,0)),"UNMATCHED")</f>
        <v>South</v>
      </c>
      <c r="G368" s="42" t="str">
        <f aca="false">IFERROR(INDEX(Customer_Master!$D$2:$D$49,MATCH(D368,Customer_Master!$A$2:$A$49,0)),"UNMATCHED")</f>
        <v>Distributor</v>
      </c>
      <c r="H368" s="42" t="str">
        <f aca="false">IFERROR(INDEX(Product_Master!$C$2:$C$9,MATCH(E368,Product_Master!$A$2:$A$9,0)),"UNMATCHED")</f>
        <v>Home Care</v>
      </c>
      <c r="I368" s="42" t="str">
        <f aca="false">IFERROR(INDEX(Product_Master!$B$2:$B$9,MATCH(E368,Product_Master!$A$2:$A$9,0)),"UNMATCHED")</f>
        <v>Detergent 1kg</v>
      </c>
      <c r="J368" s="42" t="n">
        <f aca="false">IFERROR(INDEX(Calendar!$B$2:$B$25,MATCH(B368,Calendar!$A$2:$A$25,0)),0)</f>
        <v>2025</v>
      </c>
      <c r="K368" s="42" t="n">
        <f aca="false">IFERROR(VALUE(RIGHT(B368,2)),0)</f>
        <v>11</v>
      </c>
      <c r="L368" s="42" t="str">
        <f aca="false">IFERROR(INDEX(Calendar!$E$2:$E$25,MATCH(B368,Calendar!$A$2:$A$25,0)),"UNMATCHED")</f>
        <v>Actual</v>
      </c>
      <c r="M368" s="42" t="n">
        <f aca="false">Sales_Transactions!F368</f>
        <v>156</v>
      </c>
      <c r="N368" s="52" t="n">
        <f aca="false">Sales_Transactions!I368</f>
        <v>29349.84</v>
      </c>
      <c r="O368" s="52" t="n">
        <f aca="false">Sales_Transactions!J368</f>
        <v>19860.36</v>
      </c>
      <c r="P368" s="52" t="n">
        <f aca="false">Sales_Transactions!K368</f>
        <v>9489.48</v>
      </c>
      <c r="Q368" s="42" t="n">
        <f aca="false">IF(ISNUMBER(MATCH(E368,Product_Master!$A$2:$A$9,0)),0,1)</f>
        <v>0</v>
      </c>
      <c r="R368" s="42" t="n">
        <f aca="false">IF(ISNUMBER(MATCH(D368,Customer_Master!$A$2:$A$49,0)),0,1)</f>
        <v>0</v>
      </c>
      <c r="S368" s="42" t="n">
        <f aca="false">IF(ISNUMBER(MATCH(B368,Calendar!$A$2:$A$25,0)),0,1)</f>
        <v>0</v>
      </c>
      <c r="T368" s="42" t="n">
        <f aca="false">IF(COUNTIF(Sales_Transactions!$A$2:$A$865,A368)&gt;1,1,0)</f>
        <v>0</v>
      </c>
      <c r="U368" s="42" t="n">
        <f aca="false">IF(OR(ABS(Sales_Transactions!F368*Sales_Transactions!G368-Sales_Transactions!I368)&gt;0.01,ABS(Sales_Transactions!F368*Sales_Transactions!H368-Sales_Transactions!J368)&gt;0.01,ABS(Sales_Transactions!I368-Sales_Transactions!J368-Sales_Transactions!K368)&gt;0.01),1,0)</f>
        <v>0</v>
      </c>
      <c r="V368" s="42" t="n">
        <f aca="false">IF(C368&lt;&gt;L368,1,0)</f>
        <v>0</v>
      </c>
      <c r="W368" s="42" t="n">
        <f aca="false">IF(SUM(Q368:V368)&gt;0,1,0)</f>
        <v>0</v>
      </c>
    </row>
    <row r="369" customFormat="false" ht="15" hidden="false" customHeight="false" outlineLevel="0" collapsed="false">
      <c r="A369" s="42" t="str">
        <f aca="false">Sales_Transactions!A369</f>
        <v>INV-11-008</v>
      </c>
      <c r="B369" s="42" t="str">
        <f aca="false">Sales_Transactions!B369</f>
        <v>2025-11</v>
      </c>
      <c r="C369" s="42" t="str">
        <f aca="false">Sales_Transactions!C369</f>
        <v>Actual</v>
      </c>
      <c r="D369" s="42" t="str">
        <f aca="false">Sales_Transactions!D369</f>
        <v>C032</v>
      </c>
      <c r="E369" s="42" t="str">
        <f aca="false">Sales_Transactions!E369</f>
        <v>P006</v>
      </c>
      <c r="F369" s="42" t="str">
        <f aca="false">IFERROR(INDEX(Customer_Master!$C$2:$C$49,MATCH(D369,Customer_Master!$A$2:$A$49,0)),"UNMATCHED")</f>
        <v>East</v>
      </c>
      <c r="G369" s="42" t="str">
        <f aca="false">IFERROR(INDEX(Customer_Master!$D$2:$D$49,MATCH(D369,Customer_Master!$A$2:$A$49,0)),"UNMATCHED")</f>
        <v>Modern Trade</v>
      </c>
      <c r="H369" s="42" t="str">
        <f aca="false">IFERROR(INDEX(Product_Master!$C$2:$C$9,MATCH(E369,Product_Master!$A$2:$A$9,0)),"UNMATCHED")</f>
        <v>Foods</v>
      </c>
      <c r="I369" s="42" t="str">
        <f aca="false">IFERROR(INDEX(Product_Master!$B$2:$B$9,MATCH(E369,Product_Master!$A$2:$A$9,0)),"UNMATCHED")</f>
        <v>Breakfast Cereal</v>
      </c>
      <c r="J369" s="42" t="n">
        <f aca="false">IFERROR(INDEX(Calendar!$B$2:$B$25,MATCH(B369,Calendar!$A$2:$A$25,0)),0)</f>
        <v>2025</v>
      </c>
      <c r="K369" s="42" t="n">
        <f aca="false">IFERROR(VALUE(RIGHT(B369,2)),0)</f>
        <v>11</v>
      </c>
      <c r="L369" s="42" t="str">
        <f aca="false">IFERROR(INDEX(Calendar!$E$2:$E$25,MATCH(B369,Calendar!$A$2:$A$25,0)),"UNMATCHED")</f>
        <v>Actual</v>
      </c>
      <c r="M369" s="42" t="n">
        <f aca="false">Sales_Transactions!F369</f>
        <v>337</v>
      </c>
      <c r="N369" s="52" t="n">
        <f aca="false">Sales_Transactions!I369</f>
        <v>77779.6</v>
      </c>
      <c r="O369" s="52" t="n">
        <f aca="false">Sales_Transactions!J369</f>
        <v>51951.92</v>
      </c>
      <c r="P369" s="52" t="n">
        <f aca="false">Sales_Transactions!K369</f>
        <v>25827.68</v>
      </c>
      <c r="Q369" s="42" t="n">
        <f aca="false">IF(ISNUMBER(MATCH(E369,Product_Master!$A$2:$A$9,0)),0,1)</f>
        <v>0</v>
      </c>
      <c r="R369" s="42" t="n">
        <f aca="false">IF(ISNUMBER(MATCH(D369,Customer_Master!$A$2:$A$49,0)),0,1)</f>
        <v>0</v>
      </c>
      <c r="S369" s="42" t="n">
        <f aca="false">IF(ISNUMBER(MATCH(B369,Calendar!$A$2:$A$25,0)),0,1)</f>
        <v>0</v>
      </c>
      <c r="T369" s="42" t="n">
        <f aca="false">IF(COUNTIF(Sales_Transactions!$A$2:$A$865,A369)&gt;1,1,0)</f>
        <v>0</v>
      </c>
      <c r="U369" s="42" t="n">
        <f aca="false">IF(OR(ABS(Sales_Transactions!F369*Sales_Transactions!G369-Sales_Transactions!I369)&gt;0.01,ABS(Sales_Transactions!F369*Sales_Transactions!H369-Sales_Transactions!J369)&gt;0.01,ABS(Sales_Transactions!I369-Sales_Transactions!J369-Sales_Transactions!K369)&gt;0.01),1,0)</f>
        <v>0</v>
      </c>
      <c r="V369" s="42" t="n">
        <f aca="false">IF(C369&lt;&gt;L369,1,0)</f>
        <v>0</v>
      </c>
      <c r="W369" s="42" t="n">
        <f aca="false">IF(SUM(Q369:V369)&gt;0,1,0)</f>
        <v>0</v>
      </c>
    </row>
    <row r="370" customFormat="false" ht="15" hidden="false" customHeight="false" outlineLevel="0" collapsed="false">
      <c r="A370" s="42" t="str">
        <f aca="false">Sales_Transactions!A370</f>
        <v>INV-11-009</v>
      </c>
      <c r="B370" s="42" t="str">
        <f aca="false">Sales_Transactions!B370</f>
        <v>2025-11</v>
      </c>
      <c r="C370" s="42" t="str">
        <f aca="false">Sales_Transactions!C370</f>
        <v>Actual</v>
      </c>
      <c r="D370" s="42" t="str">
        <f aca="false">Sales_Transactions!D370</f>
        <v>C039</v>
      </c>
      <c r="E370" s="42" t="str">
        <f aca="false">Sales_Transactions!E370</f>
        <v>P003</v>
      </c>
      <c r="F370" s="42" t="str">
        <f aca="false">IFERROR(INDEX(Customer_Master!$C$2:$C$49,MATCH(D370,Customer_Master!$A$2:$A$49,0)),"UNMATCHED")</f>
        <v>West</v>
      </c>
      <c r="G370" s="42" t="str">
        <f aca="false">IFERROR(INDEX(Customer_Master!$D$2:$D$49,MATCH(D370,Customer_Master!$A$2:$A$49,0)),"UNMATCHED")</f>
        <v>Retail</v>
      </c>
      <c r="H370" s="42" t="str">
        <f aca="false">IFERROR(INDEX(Product_Master!$C$2:$C$9,MATCH(E370,Product_Master!$A$2:$A$9,0)),"UNMATCHED")</f>
        <v>Personal Care</v>
      </c>
      <c r="I370" s="42" t="str">
        <f aca="false">IFERROR(INDEX(Product_Master!$B$2:$B$9,MATCH(E370,Product_Master!$A$2:$A$9,0)),"UNMATCHED")</f>
        <v>Shampoo 400ml</v>
      </c>
      <c r="J370" s="42" t="n">
        <f aca="false">IFERROR(INDEX(Calendar!$B$2:$B$25,MATCH(B370,Calendar!$A$2:$A$25,0)),0)</f>
        <v>2025</v>
      </c>
      <c r="K370" s="42" t="n">
        <f aca="false">IFERROR(VALUE(RIGHT(B370,2)),0)</f>
        <v>11</v>
      </c>
      <c r="L370" s="42" t="str">
        <f aca="false">IFERROR(INDEX(Calendar!$E$2:$E$25,MATCH(B370,Calendar!$A$2:$A$25,0)),"UNMATCHED")</f>
        <v>Actual</v>
      </c>
      <c r="M370" s="42" t="n">
        <f aca="false">Sales_Transactions!F370</f>
        <v>360</v>
      </c>
      <c r="N370" s="52" t="n">
        <f aca="false">Sales_Transactions!I370</f>
        <v>91490.4</v>
      </c>
      <c r="O370" s="52" t="n">
        <f aca="false">Sales_Transactions!J370</f>
        <v>62449.2</v>
      </c>
      <c r="P370" s="52" t="n">
        <f aca="false">Sales_Transactions!K370</f>
        <v>29041.2</v>
      </c>
      <c r="Q370" s="42" t="n">
        <f aca="false">IF(ISNUMBER(MATCH(E370,Product_Master!$A$2:$A$9,0)),0,1)</f>
        <v>0</v>
      </c>
      <c r="R370" s="42" t="n">
        <f aca="false">IF(ISNUMBER(MATCH(D370,Customer_Master!$A$2:$A$49,0)),0,1)</f>
        <v>0</v>
      </c>
      <c r="S370" s="42" t="n">
        <f aca="false">IF(ISNUMBER(MATCH(B370,Calendar!$A$2:$A$25,0)),0,1)</f>
        <v>0</v>
      </c>
      <c r="T370" s="42" t="n">
        <f aca="false">IF(COUNTIF(Sales_Transactions!$A$2:$A$865,A370)&gt;1,1,0)</f>
        <v>0</v>
      </c>
      <c r="U370" s="42" t="n">
        <f aca="false">IF(OR(ABS(Sales_Transactions!F370*Sales_Transactions!G370-Sales_Transactions!I370)&gt;0.01,ABS(Sales_Transactions!F370*Sales_Transactions!H370-Sales_Transactions!J370)&gt;0.01,ABS(Sales_Transactions!I370-Sales_Transactions!J370-Sales_Transactions!K370)&gt;0.01),1,0)</f>
        <v>0</v>
      </c>
      <c r="V370" s="42" t="n">
        <f aca="false">IF(C370&lt;&gt;L370,1,0)</f>
        <v>0</v>
      </c>
      <c r="W370" s="42" t="n">
        <f aca="false">IF(SUM(Q370:V370)&gt;0,1,0)</f>
        <v>0</v>
      </c>
    </row>
    <row r="371" customFormat="false" ht="15" hidden="false" customHeight="false" outlineLevel="0" collapsed="false">
      <c r="A371" s="42" t="str">
        <f aca="false">Sales_Transactions!A371</f>
        <v>INV-11-010</v>
      </c>
      <c r="B371" s="42" t="str">
        <f aca="false">Sales_Transactions!B371</f>
        <v>2025-11</v>
      </c>
      <c r="C371" s="42" t="str">
        <f aca="false">Sales_Transactions!C371</f>
        <v>Actual</v>
      </c>
      <c r="D371" s="42" t="str">
        <f aca="false">Sales_Transactions!D371</f>
        <v>C046</v>
      </c>
      <c r="E371" s="42" t="str">
        <f aca="false">Sales_Transactions!E371</f>
        <v>P008</v>
      </c>
      <c r="F371" s="42" t="str">
        <f aca="false">IFERROR(INDEX(Customer_Master!$C$2:$C$49,MATCH(D371,Customer_Master!$A$2:$A$49,0)),"UNMATCHED")</f>
        <v>North</v>
      </c>
      <c r="G371" s="42" t="str">
        <f aca="false">IFERROR(INDEX(Customer_Master!$D$2:$D$49,MATCH(D371,Customer_Master!$A$2:$A$49,0)),"UNMATCHED")</f>
        <v>Distributor</v>
      </c>
      <c r="H371" s="42" t="str">
        <f aca="false">IFERROR(INDEX(Product_Master!$C$2:$C$9,MATCH(E371,Product_Master!$A$2:$A$9,0)),"UNMATCHED")</f>
        <v>Personal Care</v>
      </c>
      <c r="I371" s="42" t="str">
        <f aca="false">IFERROR(INDEX(Product_Master!$B$2:$B$9,MATCH(E371,Product_Master!$A$2:$A$9,0)),"UNMATCHED")</f>
        <v>Body Lotion</v>
      </c>
      <c r="J371" s="42" t="n">
        <f aca="false">IFERROR(INDEX(Calendar!$B$2:$B$25,MATCH(B371,Calendar!$A$2:$A$25,0)),0)</f>
        <v>2025</v>
      </c>
      <c r="K371" s="42" t="n">
        <f aca="false">IFERROR(VALUE(RIGHT(B371,2)),0)</f>
        <v>11</v>
      </c>
      <c r="L371" s="42" t="str">
        <f aca="false">IFERROR(INDEX(Calendar!$E$2:$E$25,MATCH(B371,Calendar!$A$2:$A$25,0)),"UNMATCHED")</f>
        <v>Actual</v>
      </c>
      <c r="M371" s="42" t="n">
        <f aca="false">Sales_Transactions!F371</f>
        <v>428</v>
      </c>
      <c r="N371" s="52" t="n">
        <f aca="false">Sales_Transactions!I371</f>
        <v>140966.08</v>
      </c>
      <c r="O371" s="52" t="n">
        <f aca="false">Sales_Transactions!J371</f>
        <v>90222.4</v>
      </c>
      <c r="P371" s="52" t="n">
        <f aca="false">Sales_Transactions!K371</f>
        <v>50743.68</v>
      </c>
      <c r="Q371" s="42" t="n">
        <f aca="false">IF(ISNUMBER(MATCH(E371,Product_Master!$A$2:$A$9,0)),0,1)</f>
        <v>0</v>
      </c>
      <c r="R371" s="42" t="n">
        <f aca="false">IF(ISNUMBER(MATCH(D371,Customer_Master!$A$2:$A$49,0)),0,1)</f>
        <v>0</v>
      </c>
      <c r="S371" s="42" t="n">
        <f aca="false">IF(ISNUMBER(MATCH(B371,Calendar!$A$2:$A$25,0)),0,1)</f>
        <v>0</v>
      </c>
      <c r="T371" s="42" t="n">
        <f aca="false">IF(COUNTIF(Sales_Transactions!$A$2:$A$865,A371)&gt;1,1,0)</f>
        <v>0</v>
      </c>
      <c r="U371" s="42" t="n">
        <f aca="false">IF(OR(ABS(Sales_Transactions!F371*Sales_Transactions!G371-Sales_Transactions!I371)&gt;0.01,ABS(Sales_Transactions!F371*Sales_Transactions!H371-Sales_Transactions!J371)&gt;0.01,ABS(Sales_Transactions!I371-Sales_Transactions!J371-Sales_Transactions!K371)&gt;0.01),1,0)</f>
        <v>0</v>
      </c>
      <c r="V371" s="42" t="n">
        <f aca="false">IF(C371&lt;&gt;L371,1,0)</f>
        <v>0</v>
      </c>
      <c r="W371" s="42" t="n">
        <f aca="false">IF(SUM(Q371:V371)&gt;0,1,0)</f>
        <v>0</v>
      </c>
    </row>
    <row r="372" customFormat="false" ht="15" hidden="false" customHeight="false" outlineLevel="0" collapsed="false">
      <c r="A372" s="42" t="str">
        <f aca="false">Sales_Transactions!A372</f>
        <v>INV-11-011</v>
      </c>
      <c r="B372" s="42" t="str">
        <f aca="false">Sales_Transactions!B372</f>
        <v>2025-11</v>
      </c>
      <c r="C372" s="42" t="str">
        <f aca="false">Sales_Transactions!C372</f>
        <v>Actual</v>
      </c>
      <c r="D372" s="42" t="str">
        <f aca="false">Sales_Transactions!D372</f>
        <v>C005</v>
      </c>
      <c r="E372" s="42" t="str">
        <f aca="false">Sales_Transactions!E372</f>
        <v>P005</v>
      </c>
      <c r="F372" s="42" t="str">
        <f aca="false">IFERROR(INDEX(Customer_Master!$C$2:$C$49,MATCH(D372,Customer_Master!$A$2:$A$49,0)),"UNMATCHED")</f>
        <v>South</v>
      </c>
      <c r="G372" s="42" t="str">
        <f aca="false">IFERROR(INDEX(Customer_Master!$D$2:$D$49,MATCH(D372,Customer_Master!$A$2:$A$49,0)),"UNMATCHED")</f>
        <v>Modern Trade</v>
      </c>
      <c r="H372" s="42" t="str">
        <f aca="false">IFERROR(INDEX(Product_Master!$C$2:$C$9,MATCH(E372,Product_Master!$A$2:$A$9,0)),"UNMATCHED")</f>
        <v>Foods</v>
      </c>
      <c r="I372" s="42" t="str">
        <f aca="false">IFERROR(INDEX(Product_Master!$B$2:$B$9,MATCH(E372,Product_Master!$A$2:$A$9,0)),"UNMATCHED")</f>
        <v>Biscuits 500g</v>
      </c>
      <c r="J372" s="42" t="n">
        <f aca="false">IFERROR(INDEX(Calendar!$B$2:$B$25,MATCH(B372,Calendar!$A$2:$A$25,0)),0)</f>
        <v>2025</v>
      </c>
      <c r="K372" s="42" t="n">
        <f aca="false">IFERROR(VALUE(RIGHT(B372,2)),0)</f>
        <v>11</v>
      </c>
      <c r="L372" s="42" t="str">
        <f aca="false">IFERROR(INDEX(Calendar!$E$2:$E$25,MATCH(B372,Calendar!$A$2:$A$25,0)),"UNMATCHED")</f>
        <v>Actual</v>
      </c>
      <c r="M372" s="42" t="n">
        <f aca="false">Sales_Transactions!F372</f>
        <v>361</v>
      </c>
      <c r="N372" s="52" t="n">
        <f aca="false">Sales_Transactions!I372</f>
        <v>37504.29</v>
      </c>
      <c r="O372" s="52" t="n">
        <f aca="false">Sales_Transactions!J372</f>
        <v>25374.69</v>
      </c>
      <c r="P372" s="52" t="n">
        <f aca="false">Sales_Transactions!K372</f>
        <v>12129.6</v>
      </c>
      <c r="Q372" s="42" t="n">
        <f aca="false">IF(ISNUMBER(MATCH(E372,Product_Master!$A$2:$A$9,0)),0,1)</f>
        <v>0</v>
      </c>
      <c r="R372" s="42" t="n">
        <f aca="false">IF(ISNUMBER(MATCH(D372,Customer_Master!$A$2:$A$49,0)),0,1)</f>
        <v>0</v>
      </c>
      <c r="S372" s="42" t="n">
        <f aca="false">IF(ISNUMBER(MATCH(B372,Calendar!$A$2:$A$25,0)),0,1)</f>
        <v>0</v>
      </c>
      <c r="T372" s="42" t="n">
        <f aca="false">IF(COUNTIF(Sales_Transactions!$A$2:$A$865,A372)&gt;1,1,0)</f>
        <v>0</v>
      </c>
      <c r="U372" s="42" t="n">
        <f aca="false">IF(OR(ABS(Sales_Transactions!F372*Sales_Transactions!G372-Sales_Transactions!I372)&gt;0.01,ABS(Sales_Transactions!F372*Sales_Transactions!H372-Sales_Transactions!J372)&gt;0.01,ABS(Sales_Transactions!I372-Sales_Transactions!J372-Sales_Transactions!K372)&gt;0.01),1,0)</f>
        <v>0</v>
      </c>
      <c r="V372" s="42" t="n">
        <f aca="false">IF(C372&lt;&gt;L372,1,0)</f>
        <v>0</v>
      </c>
      <c r="W372" s="42" t="n">
        <f aca="false">IF(SUM(Q372:V372)&gt;0,1,0)</f>
        <v>0</v>
      </c>
    </row>
    <row r="373" customFormat="false" ht="15" hidden="false" customHeight="false" outlineLevel="0" collapsed="false">
      <c r="A373" s="42" t="str">
        <f aca="false">Sales_Transactions!A373</f>
        <v>INV-11-012</v>
      </c>
      <c r="B373" s="42" t="str">
        <f aca="false">Sales_Transactions!B373</f>
        <v>2025-11</v>
      </c>
      <c r="C373" s="42" t="str">
        <f aca="false">Sales_Transactions!C373</f>
        <v>Actual</v>
      </c>
      <c r="D373" s="42" t="str">
        <f aca="false">Sales_Transactions!D373</f>
        <v>C012</v>
      </c>
      <c r="E373" s="42" t="str">
        <f aca="false">Sales_Transactions!E373</f>
        <v>P002</v>
      </c>
      <c r="F373" s="42" t="str">
        <f aca="false">IFERROR(INDEX(Customer_Master!$C$2:$C$49,MATCH(D373,Customer_Master!$A$2:$A$49,0)),"UNMATCHED")</f>
        <v>East</v>
      </c>
      <c r="G373" s="42" t="str">
        <f aca="false">IFERROR(INDEX(Customer_Master!$D$2:$D$49,MATCH(D373,Customer_Master!$A$2:$A$49,0)),"UNMATCHED")</f>
        <v>Retail</v>
      </c>
      <c r="H373" s="42" t="str">
        <f aca="false">IFERROR(INDEX(Product_Master!$C$2:$C$9,MATCH(E373,Product_Master!$A$2:$A$9,0)),"UNMATCHED")</f>
        <v>Home Care</v>
      </c>
      <c r="I373" s="42" t="str">
        <f aca="false">IFERROR(INDEX(Product_Master!$B$2:$B$9,MATCH(E373,Product_Master!$A$2:$A$9,0)),"UNMATCHED")</f>
        <v>Dishwash Gel</v>
      </c>
      <c r="J373" s="42" t="n">
        <f aca="false">IFERROR(INDEX(Calendar!$B$2:$B$25,MATCH(B373,Calendar!$A$2:$A$25,0)),0)</f>
        <v>2025</v>
      </c>
      <c r="K373" s="42" t="n">
        <f aca="false">IFERROR(VALUE(RIGHT(B373,2)),0)</f>
        <v>11</v>
      </c>
      <c r="L373" s="42" t="str">
        <f aca="false">IFERROR(INDEX(Calendar!$E$2:$E$25,MATCH(B373,Calendar!$A$2:$A$25,0)),"UNMATCHED")</f>
        <v>Actual</v>
      </c>
      <c r="M373" s="42" t="n">
        <f aca="false">Sales_Transactions!F373</f>
        <v>164</v>
      </c>
      <c r="N373" s="52" t="n">
        <f aca="false">Sales_Transactions!I373</f>
        <v>23901.36</v>
      </c>
      <c r="O373" s="52" t="n">
        <f aca="false">Sales_Transactions!J373</f>
        <v>13966.24</v>
      </c>
      <c r="P373" s="52" t="n">
        <f aca="false">Sales_Transactions!K373</f>
        <v>9935.12</v>
      </c>
      <c r="Q373" s="42" t="n">
        <f aca="false">IF(ISNUMBER(MATCH(E373,Product_Master!$A$2:$A$9,0)),0,1)</f>
        <v>0</v>
      </c>
      <c r="R373" s="42" t="n">
        <f aca="false">IF(ISNUMBER(MATCH(D373,Customer_Master!$A$2:$A$49,0)),0,1)</f>
        <v>0</v>
      </c>
      <c r="S373" s="42" t="n">
        <f aca="false">IF(ISNUMBER(MATCH(B373,Calendar!$A$2:$A$25,0)),0,1)</f>
        <v>0</v>
      </c>
      <c r="T373" s="42" t="n">
        <f aca="false">IF(COUNTIF(Sales_Transactions!$A$2:$A$865,A373)&gt;1,1,0)</f>
        <v>0</v>
      </c>
      <c r="U373" s="42" t="n">
        <f aca="false">IF(OR(ABS(Sales_Transactions!F373*Sales_Transactions!G373-Sales_Transactions!I373)&gt;0.01,ABS(Sales_Transactions!F373*Sales_Transactions!H373-Sales_Transactions!J373)&gt;0.01,ABS(Sales_Transactions!I373-Sales_Transactions!J373-Sales_Transactions!K373)&gt;0.01),1,0)</f>
        <v>0</v>
      </c>
      <c r="V373" s="42" t="n">
        <f aca="false">IF(C373&lt;&gt;L373,1,0)</f>
        <v>0</v>
      </c>
      <c r="W373" s="42" t="n">
        <f aca="false">IF(SUM(Q373:V373)&gt;0,1,0)</f>
        <v>0</v>
      </c>
    </row>
    <row r="374" customFormat="false" ht="15" hidden="false" customHeight="false" outlineLevel="0" collapsed="false">
      <c r="A374" s="42" t="str">
        <f aca="false">Sales_Transactions!A374</f>
        <v>INV-11-013</v>
      </c>
      <c r="B374" s="42" t="str">
        <f aca="false">Sales_Transactions!B374</f>
        <v>2025-11</v>
      </c>
      <c r="C374" s="42" t="str">
        <f aca="false">Sales_Transactions!C374</f>
        <v>Actual</v>
      </c>
      <c r="D374" s="42" t="str">
        <f aca="false">Sales_Transactions!D374</f>
        <v>C019</v>
      </c>
      <c r="E374" s="42" t="str">
        <f aca="false">Sales_Transactions!E374</f>
        <v>P007</v>
      </c>
      <c r="F374" s="42" t="str">
        <f aca="false">IFERROR(INDEX(Customer_Master!$C$2:$C$49,MATCH(D374,Customer_Master!$A$2:$A$49,0)),"UNMATCHED")</f>
        <v>West</v>
      </c>
      <c r="G374" s="42" t="str">
        <f aca="false">IFERROR(INDEX(Customer_Master!$D$2:$D$49,MATCH(D374,Customer_Master!$A$2:$A$49,0)),"UNMATCHED")</f>
        <v>Distributor</v>
      </c>
      <c r="H374" s="42" t="str">
        <f aca="false">IFERROR(INDEX(Product_Master!$C$2:$C$9,MATCH(E374,Product_Master!$A$2:$A$9,0)),"UNMATCHED")</f>
        <v>Home Care</v>
      </c>
      <c r="I374" s="42" t="str">
        <f aca="false">IFERROR(INDEX(Product_Master!$B$2:$B$9,MATCH(E374,Product_Master!$A$2:$A$9,0)),"UNMATCHED")</f>
        <v>Floor Cleaner</v>
      </c>
      <c r="J374" s="42" t="n">
        <f aca="false">IFERROR(INDEX(Calendar!$B$2:$B$25,MATCH(B374,Calendar!$A$2:$A$25,0)),0)</f>
        <v>2025</v>
      </c>
      <c r="K374" s="42" t="n">
        <f aca="false">IFERROR(VALUE(RIGHT(B374,2)),0)</f>
        <v>11</v>
      </c>
      <c r="L374" s="42" t="str">
        <f aca="false">IFERROR(INDEX(Calendar!$E$2:$E$25,MATCH(B374,Calendar!$A$2:$A$25,0)),"UNMATCHED")</f>
        <v>Actual</v>
      </c>
      <c r="M374" s="42" t="n">
        <f aca="false">Sales_Transactions!F374</f>
        <v>335</v>
      </c>
      <c r="N374" s="52" t="n">
        <f aca="false">Sales_Transactions!I374</f>
        <v>61743.85</v>
      </c>
      <c r="O374" s="52" t="n">
        <f aca="false">Sales_Transactions!J374</f>
        <v>40246.9</v>
      </c>
      <c r="P374" s="52" t="n">
        <f aca="false">Sales_Transactions!K374</f>
        <v>21496.95</v>
      </c>
      <c r="Q374" s="42" t="n">
        <f aca="false">IF(ISNUMBER(MATCH(E374,Product_Master!$A$2:$A$9,0)),0,1)</f>
        <v>0</v>
      </c>
      <c r="R374" s="42" t="n">
        <f aca="false">IF(ISNUMBER(MATCH(D374,Customer_Master!$A$2:$A$49,0)),0,1)</f>
        <v>0</v>
      </c>
      <c r="S374" s="42" t="n">
        <f aca="false">IF(ISNUMBER(MATCH(B374,Calendar!$A$2:$A$25,0)),0,1)</f>
        <v>0</v>
      </c>
      <c r="T374" s="42" t="n">
        <f aca="false">IF(COUNTIF(Sales_Transactions!$A$2:$A$865,A374)&gt;1,1,0)</f>
        <v>0</v>
      </c>
      <c r="U374" s="42" t="n">
        <f aca="false">IF(OR(ABS(Sales_Transactions!F374*Sales_Transactions!G374-Sales_Transactions!I374)&gt;0.01,ABS(Sales_Transactions!F374*Sales_Transactions!H374-Sales_Transactions!J374)&gt;0.01,ABS(Sales_Transactions!I374-Sales_Transactions!J374-Sales_Transactions!K374)&gt;0.01),1,0)</f>
        <v>0</v>
      </c>
      <c r="V374" s="42" t="n">
        <f aca="false">IF(C374&lt;&gt;L374,1,0)</f>
        <v>0</v>
      </c>
      <c r="W374" s="42" t="n">
        <f aca="false">IF(SUM(Q374:V374)&gt;0,1,0)</f>
        <v>0</v>
      </c>
    </row>
    <row r="375" customFormat="false" ht="15" hidden="false" customHeight="false" outlineLevel="0" collapsed="false">
      <c r="A375" s="42" t="str">
        <f aca="false">Sales_Transactions!A375</f>
        <v>INV-11-014</v>
      </c>
      <c r="B375" s="42" t="str">
        <f aca="false">Sales_Transactions!B375</f>
        <v>2025-11</v>
      </c>
      <c r="C375" s="42" t="str">
        <f aca="false">Sales_Transactions!C375</f>
        <v>Actual</v>
      </c>
      <c r="D375" s="42" t="str">
        <f aca="false">Sales_Transactions!D375</f>
        <v>C026</v>
      </c>
      <c r="E375" s="42" t="str">
        <f aca="false">Sales_Transactions!E375</f>
        <v>P004</v>
      </c>
      <c r="F375" s="42" t="str">
        <f aca="false">IFERROR(INDEX(Customer_Master!$C$2:$C$49,MATCH(D375,Customer_Master!$A$2:$A$49,0)),"UNMATCHED")</f>
        <v>North</v>
      </c>
      <c r="G375" s="42" t="str">
        <f aca="false">IFERROR(INDEX(Customer_Master!$D$2:$D$49,MATCH(D375,Customer_Master!$A$2:$A$49,0)),"UNMATCHED")</f>
        <v>Modern Trade</v>
      </c>
      <c r="H375" s="42" t="str">
        <f aca="false">IFERROR(INDEX(Product_Master!$C$2:$C$9,MATCH(E375,Product_Master!$A$2:$A$9,0)),"UNMATCHED")</f>
        <v>Personal Care</v>
      </c>
      <c r="I375" s="42" t="str">
        <f aca="false">IFERROR(INDEX(Product_Master!$B$2:$B$9,MATCH(E375,Product_Master!$A$2:$A$9,0)),"UNMATCHED")</f>
        <v>Soap 4-pack</v>
      </c>
      <c r="J375" s="42" t="n">
        <f aca="false">IFERROR(INDEX(Calendar!$B$2:$B$25,MATCH(B375,Calendar!$A$2:$A$25,0)),0)</f>
        <v>2025</v>
      </c>
      <c r="K375" s="42" t="n">
        <f aca="false">IFERROR(VALUE(RIGHT(B375,2)),0)</f>
        <v>11</v>
      </c>
      <c r="L375" s="42" t="str">
        <f aca="false">IFERROR(INDEX(Calendar!$E$2:$E$25,MATCH(B375,Calendar!$A$2:$A$25,0)),"UNMATCHED")</f>
        <v>Actual</v>
      </c>
      <c r="M375" s="42" t="n">
        <f aca="false">Sales_Transactions!F375</f>
        <v>228</v>
      </c>
      <c r="N375" s="52" t="n">
        <f aca="false">Sales_Transactions!I375</f>
        <v>35679.72</v>
      </c>
      <c r="O375" s="52" t="n">
        <f aca="false">Sales_Transactions!J375</f>
        <v>21986.04</v>
      </c>
      <c r="P375" s="52" t="n">
        <f aca="false">Sales_Transactions!K375</f>
        <v>13693.68</v>
      </c>
      <c r="Q375" s="42" t="n">
        <f aca="false">IF(ISNUMBER(MATCH(E375,Product_Master!$A$2:$A$9,0)),0,1)</f>
        <v>0</v>
      </c>
      <c r="R375" s="42" t="n">
        <f aca="false">IF(ISNUMBER(MATCH(D375,Customer_Master!$A$2:$A$49,0)),0,1)</f>
        <v>0</v>
      </c>
      <c r="S375" s="42" t="n">
        <f aca="false">IF(ISNUMBER(MATCH(B375,Calendar!$A$2:$A$25,0)),0,1)</f>
        <v>0</v>
      </c>
      <c r="T375" s="42" t="n">
        <f aca="false">IF(COUNTIF(Sales_Transactions!$A$2:$A$865,A375)&gt;1,1,0)</f>
        <v>0</v>
      </c>
      <c r="U375" s="42" t="n">
        <f aca="false">IF(OR(ABS(Sales_Transactions!F375*Sales_Transactions!G375-Sales_Transactions!I375)&gt;0.01,ABS(Sales_Transactions!F375*Sales_Transactions!H375-Sales_Transactions!J375)&gt;0.01,ABS(Sales_Transactions!I375-Sales_Transactions!J375-Sales_Transactions!K375)&gt;0.01),1,0)</f>
        <v>0</v>
      </c>
      <c r="V375" s="42" t="n">
        <f aca="false">IF(C375&lt;&gt;L375,1,0)</f>
        <v>0</v>
      </c>
      <c r="W375" s="42" t="n">
        <f aca="false">IF(SUM(Q375:V375)&gt;0,1,0)</f>
        <v>0</v>
      </c>
    </row>
    <row r="376" customFormat="false" ht="15" hidden="false" customHeight="false" outlineLevel="0" collapsed="false">
      <c r="A376" s="42" t="str">
        <f aca="false">Sales_Transactions!A376</f>
        <v>INV-11-015</v>
      </c>
      <c r="B376" s="42" t="str">
        <f aca="false">Sales_Transactions!B376</f>
        <v>2025-11</v>
      </c>
      <c r="C376" s="42" t="str">
        <f aca="false">Sales_Transactions!C376</f>
        <v>Actual</v>
      </c>
      <c r="D376" s="42" t="str">
        <f aca="false">Sales_Transactions!D376</f>
        <v>C033</v>
      </c>
      <c r="E376" s="42" t="str">
        <f aca="false">Sales_Transactions!E376</f>
        <v>P001</v>
      </c>
      <c r="F376" s="42" t="str">
        <f aca="false">IFERROR(INDEX(Customer_Master!$C$2:$C$49,MATCH(D376,Customer_Master!$A$2:$A$49,0)),"UNMATCHED")</f>
        <v>South</v>
      </c>
      <c r="G376" s="42" t="str">
        <f aca="false">IFERROR(INDEX(Customer_Master!$D$2:$D$49,MATCH(D376,Customer_Master!$A$2:$A$49,0)),"UNMATCHED")</f>
        <v>Retail</v>
      </c>
      <c r="H376" s="42" t="str">
        <f aca="false">IFERROR(INDEX(Product_Master!$C$2:$C$9,MATCH(E376,Product_Master!$A$2:$A$9,0)),"UNMATCHED")</f>
        <v>Home Care</v>
      </c>
      <c r="I376" s="42" t="str">
        <f aca="false">IFERROR(INDEX(Product_Master!$B$2:$B$9,MATCH(E376,Product_Master!$A$2:$A$9,0)),"UNMATCHED")</f>
        <v>Detergent 1kg</v>
      </c>
      <c r="J376" s="42" t="n">
        <f aca="false">IFERROR(INDEX(Calendar!$B$2:$B$25,MATCH(B376,Calendar!$A$2:$A$25,0)),0)</f>
        <v>2025</v>
      </c>
      <c r="K376" s="42" t="n">
        <f aca="false">IFERROR(VALUE(RIGHT(B376,2)),0)</f>
        <v>11</v>
      </c>
      <c r="L376" s="42" t="str">
        <f aca="false">IFERROR(INDEX(Calendar!$E$2:$E$25,MATCH(B376,Calendar!$A$2:$A$25,0)),"UNMATCHED")</f>
        <v>Actual</v>
      </c>
      <c r="M376" s="42" t="n">
        <f aca="false">Sales_Transactions!F376</f>
        <v>312</v>
      </c>
      <c r="N376" s="52" t="n">
        <f aca="false">Sales_Transactions!I376</f>
        <v>62100.48</v>
      </c>
      <c r="O376" s="52" t="n">
        <f aca="false">Sales_Transactions!J376</f>
        <v>40703.52</v>
      </c>
      <c r="P376" s="52" t="n">
        <f aca="false">Sales_Transactions!K376</f>
        <v>21396.96</v>
      </c>
      <c r="Q376" s="42" t="n">
        <f aca="false">IF(ISNUMBER(MATCH(E376,Product_Master!$A$2:$A$9,0)),0,1)</f>
        <v>0</v>
      </c>
      <c r="R376" s="42" t="n">
        <f aca="false">IF(ISNUMBER(MATCH(D376,Customer_Master!$A$2:$A$49,0)),0,1)</f>
        <v>0</v>
      </c>
      <c r="S376" s="42" t="n">
        <f aca="false">IF(ISNUMBER(MATCH(B376,Calendar!$A$2:$A$25,0)),0,1)</f>
        <v>0</v>
      </c>
      <c r="T376" s="42" t="n">
        <f aca="false">IF(COUNTIF(Sales_Transactions!$A$2:$A$865,A376)&gt;1,1,0)</f>
        <v>0</v>
      </c>
      <c r="U376" s="42" t="n">
        <f aca="false">IF(OR(ABS(Sales_Transactions!F376*Sales_Transactions!G376-Sales_Transactions!I376)&gt;0.01,ABS(Sales_Transactions!F376*Sales_Transactions!H376-Sales_Transactions!J376)&gt;0.01,ABS(Sales_Transactions!I376-Sales_Transactions!J376-Sales_Transactions!K376)&gt;0.01),1,0)</f>
        <v>0</v>
      </c>
      <c r="V376" s="42" t="n">
        <f aca="false">IF(C376&lt;&gt;L376,1,0)</f>
        <v>0</v>
      </c>
      <c r="W376" s="42" t="n">
        <f aca="false">IF(SUM(Q376:V376)&gt;0,1,0)</f>
        <v>0</v>
      </c>
    </row>
    <row r="377" customFormat="false" ht="15" hidden="false" customHeight="false" outlineLevel="0" collapsed="false">
      <c r="A377" s="42" t="str">
        <f aca="false">Sales_Transactions!A377</f>
        <v>INV-11-016</v>
      </c>
      <c r="B377" s="42" t="str">
        <f aca="false">Sales_Transactions!B377</f>
        <v>2025-11</v>
      </c>
      <c r="C377" s="42" t="str">
        <f aca="false">Sales_Transactions!C377</f>
        <v>Actual</v>
      </c>
      <c r="D377" s="42" t="str">
        <f aca="false">Sales_Transactions!D377</f>
        <v>C040</v>
      </c>
      <c r="E377" s="42" t="str">
        <f aca="false">Sales_Transactions!E377</f>
        <v>P006</v>
      </c>
      <c r="F377" s="42" t="str">
        <f aca="false">IFERROR(INDEX(Customer_Master!$C$2:$C$49,MATCH(D377,Customer_Master!$A$2:$A$49,0)),"UNMATCHED")</f>
        <v>East</v>
      </c>
      <c r="G377" s="42" t="str">
        <f aca="false">IFERROR(INDEX(Customer_Master!$D$2:$D$49,MATCH(D377,Customer_Master!$A$2:$A$49,0)),"UNMATCHED")</f>
        <v>Distributor</v>
      </c>
      <c r="H377" s="42" t="str">
        <f aca="false">IFERROR(INDEX(Product_Master!$C$2:$C$9,MATCH(E377,Product_Master!$A$2:$A$9,0)),"UNMATCHED")</f>
        <v>Foods</v>
      </c>
      <c r="I377" s="42" t="str">
        <f aca="false">IFERROR(INDEX(Product_Master!$B$2:$B$9,MATCH(E377,Product_Master!$A$2:$A$9,0)),"UNMATCHED")</f>
        <v>Breakfast Cereal</v>
      </c>
      <c r="J377" s="42" t="n">
        <f aca="false">IFERROR(INDEX(Calendar!$B$2:$B$25,MATCH(B377,Calendar!$A$2:$A$25,0)),0)</f>
        <v>2025</v>
      </c>
      <c r="K377" s="42" t="n">
        <f aca="false">IFERROR(VALUE(RIGHT(B377,2)),0)</f>
        <v>11</v>
      </c>
      <c r="L377" s="42" t="str">
        <f aca="false">IFERROR(INDEX(Calendar!$E$2:$E$25,MATCH(B377,Calendar!$A$2:$A$25,0)),"UNMATCHED")</f>
        <v>Actual</v>
      </c>
      <c r="M377" s="42" t="n">
        <f aca="false">Sales_Transactions!F377</f>
        <v>270</v>
      </c>
      <c r="N377" s="52" t="n">
        <f aca="false">Sales_Transactions!I377</f>
        <v>62164.8</v>
      </c>
      <c r="O377" s="52" t="n">
        <f aca="false">Sales_Transactions!J377</f>
        <v>43902</v>
      </c>
      <c r="P377" s="52" t="n">
        <f aca="false">Sales_Transactions!K377</f>
        <v>18262.8</v>
      </c>
      <c r="Q377" s="42" t="n">
        <f aca="false">IF(ISNUMBER(MATCH(E377,Product_Master!$A$2:$A$9,0)),0,1)</f>
        <v>0</v>
      </c>
      <c r="R377" s="42" t="n">
        <f aca="false">IF(ISNUMBER(MATCH(D377,Customer_Master!$A$2:$A$49,0)),0,1)</f>
        <v>0</v>
      </c>
      <c r="S377" s="42" t="n">
        <f aca="false">IF(ISNUMBER(MATCH(B377,Calendar!$A$2:$A$25,0)),0,1)</f>
        <v>0</v>
      </c>
      <c r="T377" s="42" t="n">
        <f aca="false">IF(COUNTIF(Sales_Transactions!$A$2:$A$865,A377)&gt;1,1,0)</f>
        <v>0</v>
      </c>
      <c r="U377" s="42" t="n">
        <f aca="false">IF(OR(ABS(Sales_Transactions!F377*Sales_Transactions!G377-Sales_Transactions!I377)&gt;0.01,ABS(Sales_Transactions!F377*Sales_Transactions!H377-Sales_Transactions!J377)&gt;0.01,ABS(Sales_Transactions!I377-Sales_Transactions!J377-Sales_Transactions!K377)&gt;0.01),1,0)</f>
        <v>0</v>
      </c>
      <c r="V377" s="42" t="n">
        <f aca="false">IF(C377&lt;&gt;L377,1,0)</f>
        <v>0</v>
      </c>
      <c r="W377" s="42" t="n">
        <f aca="false">IF(SUM(Q377:V377)&gt;0,1,0)</f>
        <v>0</v>
      </c>
    </row>
    <row r="378" customFormat="false" ht="15" hidden="false" customHeight="false" outlineLevel="0" collapsed="false">
      <c r="A378" s="42" t="str">
        <f aca="false">Sales_Transactions!A378</f>
        <v>INV-11-017</v>
      </c>
      <c r="B378" s="42" t="str">
        <f aca="false">Sales_Transactions!B378</f>
        <v>2025-11</v>
      </c>
      <c r="C378" s="42" t="str">
        <f aca="false">Sales_Transactions!C378</f>
        <v>Actual</v>
      </c>
      <c r="D378" s="42" t="str">
        <f aca="false">Sales_Transactions!D378</f>
        <v>C047</v>
      </c>
      <c r="E378" s="42" t="str">
        <f aca="false">Sales_Transactions!E378</f>
        <v>P003</v>
      </c>
      <c r="F378" s="42" t="str">
        <f aca="false">IFERROR(INDEX(Customer_Master!$C$2:$C$49,MATCH(D378,Customer_Master!$A$2:$A$49,0)),"UNMATCHED")</f>
        <v>West</v>
      </c>
      <c r="G378" s="42" t="str">
        <f aca="false">IFERROR(INDEX(Customer_Master!$D$2:$D$49,MATCH(D378,Customer_Master!$A$2:$A$49,0)),"UNMATCHED")</f>
        <v>Modern Trade</v>
      </c>
      <c r="H378" s="42" t="str">
        <f aca="false">IFERROR(INDEX(Product_Master!$C$2:$C$9,MATCH(E378,Product_Master!$A$2:$A$9,0)),"UNMATCHED")</f>
        <v>Personal Care</v>
      </c>
      <c r="I378" s="42" t="str">
        <f aca="false">IFERROR(INDEX(Product_Master!$B$2:$B$9,MATCH(E378,Product_Master!$A$2:$A$9,0)),"UNMATCHED")</f>
        <v>Shampoo 400ml</v>
      </c>
      <c r="J378" s="42" t="n">
        <f aca="false">IFERROR(INDEX(Calendar!$B$2:$B$25,MATCH(B378,Calendar!$A$2:$A$25,0)),0)</f>
        <v>2025</v>
      </c>
      <c r="K378" s="42" t="n">
        <f aca="false">IFERROR(VALUE(RIGHT(B378,2)),0)</f>
        <v>11</v>
      </c>
      <c r="L378" s="42" t="str">
        <f aca="false">IFERROR(INDEX(Calendar!$E$2:$E$25,MATCH(B378,Calendar!$A$2:$A$25,0)),"UNMATCHED")</f>
        <v>Actual</v>
      </c>
      <c r="M378" s="42" t="n">
        <f aca="false">Sales_Transactions!F378</f>
        <v>363</v>
      </c>
      <c r="N378" s="52" t="n">
        <f aca="false">Sales_Transactions!I378</f>
        <v>102373.26</v>
      </c>
      <c r="O378" s="52" t="n">
        <f aca="false">Sales_Transactions!J378</f>
        <v>64392.57</v>
      </c>
      <c r="P378" s="52" t="n">
        <f aca="false">Sales_Transactions!K378</f>
        <v>37980.69</v>
      </c>
      <c r="Q378" s="42" t="n">
        <f aca="false">IF(ISNUMBER(MATCH(E378,Product_Master!$A$2:$A$9,0)),0,1)</f>
        <v>0</v>
      </c>
      <c r="R378" s="42" t="n">
        <f aca="false">IF(ISNUMBER(MATCH(D378,Customer_Master!$A$2:$A$49,0)),0,1)</f>
        <v>0</v>
      </c>
      <c r="S378" s="42" t="n">
        <f aca="false">IF(ISNUMBER(MATCH(B378,Calendar!$A$2:$A$25,0)),0,1)</f>
        <v>0</v>
      </c>
      <c r="T378" s="42" t="n">
        <f aca="false">IF(COUNTIF(Sales_Transactions!$A$2:$A$865,A378)&gt;1,1,0)</f>
        <v>0</v>
      </c>
      <c r="U378" s="42" t="n">
        <f aca="false">IF(OR(ABS(Sales_Transactions!F378*Sales_Transactions!G378-Sales_Transactions!I378)&gt;0.01,ABS(Sales_Transactions!F378*Sales_Transactions!H378-Sales_Transactions!J378)&gt;0.01,ABS(Sales_Transactions!I378-Sales_Transactions!J378-Sales_Transactions!K378)&gt;0.01),1,0)</f>
        <v>0</v>
      </c>
      <c r="V378" s="42" t="n">
        <f aca="false">IF(C378&lt;&gt;L378,1,0)</f>
        <v>0</v>
      </c>
      <c r="W378" s="42" t="n">
        <f aca="false">IF(SUM(Q378:V378)&gt;0,1,0)</f>
        <v>0</v>
      </c>
    </row>
    <row r="379" customFormat="false" ht="15" hidden="false" customHeight="false" outlineLevel="0" collapsed="false">
      <c r="A379" s="42" t="str">
        <f aca="false">Sales_Transactions!A379</f>
        <v>INV-11-018</v>
      </c>
      <c r="B379" s="42" t="str">
        <f aca="false">Sales_Transactions!B379</f>
        <v>2025-11</v>
      </c>
      <c r="C379" s="42" t="str">
        <f aca="false">Sales_Transactions!C379</f>
        <v>Actual</v>
      </c>
      <c r="D379" s="42" t="str">
        <f aca="false">Sales_Transactions!D379</f>
        <v>C006</v>
      </c>
      <c r="E379" s="42" t="str">
        <f aca="false">Sales_Transactions!E379</f>
        <v>P008</v>
      </c>
      <c r="F379" s="42" t="str">
        <f aca="false">IFERROR(INDEX(Customer_Master!$C$2:$C$49,MATCH(D379,Customer_Master!$A$2:$A$49,0)),"UNMATCHED")</f>
        <v>North</v>
      </c>
      <c r="G379" s="42" t="str">
        <f aca="false">IFERROR(INDEX(Customer_Master!$D$2:$D$49,MATCH(D379,Customer_Master!$A$2:$A$49,0)),"UNMATCHED")</f>
        <v>Retail</v>
      </c>
      <c r="H379" s="42" t="str">
        <f aca="false">IFERROR(INDEX(Product_Master!$C$2:$C$9,MATCH(E379,Product_Master!$A$2:$A$9,0)),"UNMATCHED")</f>
        <v>Personal Care</v>
      </c>
      <c r="I379" s="42" t="str">
        <f aca="false">IFERROR(INDEX(Product_Master!$B$2:$B$9,MATCH(E379,Product_Master!$A$2:$A$9,0)),"UNMATCHED")</f>
        <v>Body Lotion</v>
      </c>
      <c r="J379" s="42" t="n">
        <f aca="false">IFERROR(INDEX(Calendar!$B$2:$B$25,MATCH(B379,Calendar!$A$2:$A$25,0)),0)</f>
        <v>2025</v>
      </c>
      <c r="K379" s="42" t="n">
        <f aca="false">IFERROR(VALUE(RIGHT(B379,2)),0)</f>
        <v>11</v>
      </c>
      <c r="L379" s="42" t="str">
        <f aca="false">IFERROR(INDEX(Calendar!$E$2:$E$25,MATCH(B379,Calendar!$A$2:$A$25,0)),"UNMATCHED")</f>
        <v>Actual</v>
      </c>
      <c r="M379" s="42" t="n">
        <f aca="false">Sales_Transactions!F379</f>
        <v>116</v>
      </c>
      <c r="N379" s="52" t="n">
        <f aca="false">Sales_Transactions!I379</f>
        <v>35504.12</v>
      </c>
      <c r="O379" s="52" t="n">
        <f aca="false">Sales_Transactions!J379</f>
        <v>23028.32</v>
      </c>
      <c r="P379" s="52" t="n">
        <f aca="false">Sales_Transactions!K379</f>
        <v>12475.8</v>
      </c>
      <c r="Q379" s="42" t="n">
        <f aca="false">IF(ISNUMBER(MATCH(E379,Product_Master!$A$2:$A$9,0)),0,1)</f>
        <v>0</v>
      </c>
      <c r="R379" s="42" t="n">
        <f aca="false">IF(ISNUMBER(MATCH(D379,Customer_Master!$A$2:$A$49,0)),0,1)</f>
        <v>0</v>
      </c>
      <c r="S379" s="42" t="n">
        <f aca="false">IF(ISNUMBER(MATCH(B379,Calendar!$A$2:$A$25,0)),0,1)</f>
        <v>0</v>
      </c>
      <c r="T379" s="42" t="n">
        <f aca="false">IF(COUNTIF(Sales_Transactions!$A$2:$A$865,A379)&gt;1,1,0)</f>
        <v>0</v>
      </c>
      <c r="U379" s="42" t="n">
        <f aca="false">IF(OR(ABS(Sales_Transactions!F379*Sales_Transactions!G379-Sales_Transactions!I379)&gt;0.01,ABS(Sales_Transactions!F379*Sales_Transactions!H379-Sales_Transactions!J379)&gt;0.01,ABS(Sales_Transactions!I379-Sales_Transactions!J379-Sales_Transactions!K379)&gt;0.01),1,0)</f>
        <v>0</v>
      </c>
      <c r="V379" s="42" t="n">
        <f aca="false">IF(C379&lt;&gt;L379,1,0)</f>
        <v>0</v>
      </c>
      <c r="W379" s="42" t="n">
        <f aca="false">IF(SUM(Q379:V379)&gt;0,1,0)</f>
        <v>0</v>
      </c>
    </row>
    <row r="380" customFormat="false" ht="15" hidden="false" customHeight="false" outlineLevel="0" collapsed="false">
      <c r="A380" s="42" t="str">
        <f aca="false">Sales_Transactions!A380</f>
        <v>INV-11-019</v>
      </c>
      <c r="B380" s="42" t="str">
        <f aca="false">Sales_Transactions!B380</f>
        <v>2025-11</v>
      </c>
      <c r="C380" s="42" t="str">
        <f aca="false">Sales_Transactions!C380</f>
        <v>Actual</v>
      </c>
      <c r="D380" s="42" t="str">
        <f aca="false">Sales_Transactions!D380</f>
        <v>C013</v>
      </c>
      <c r="E380" s="42" t="str">
        <f aca="false">Sales_Transactions!E380</f>
        <v>P005</v>
      </c>
      <c r="F380" s="42" t="str">
        <f aca="false">IFERROR(INDEX(Customer_Master!$C$2:$C$49,MATCH(D380,Customer_Master!$A$2:$A$49,0)),"UNMATCHED")</f>
        <v>South</v>
      </c>
      <c r="G380" s="42" t="str">
        <f aca="false">IFERROR(INDEX(Customer_Master!$D$2:$D$49,MATCH(D380,Customer_Master!$A$2:$A$49,0)),"UNMATCHED")</f>
        <v>Distributor</v>
      </c>
      <c r="H380" s="42" t="str">
        <f aca="false">IFERROR(INDEX(Product_Master!$C$2:$C$9,MATCH(E380,Product_Master!$A$2:$A$9,0)),"UNMATCHED")</f>
        <v>Foods</v>
      </c>
      <c r="I380" s="42" t="str">
        <f aca="false">IFERROR(INDEX(Product_Master!$B$2:$B$9,MATCH(E380,Product_Master!$A$2:$A$9,0)),"UNMATCHED")</f>
        <v>Biscuits 500g</v>
      </c>
      <c r="J380" s="42" t="n">
        <f aca="false">IFERROR(INDEX(Calendar!$B$2:$B$25,MATCH(B380,Calendar!$A$2:$A$25,0)),0)</f>
        <v>2025</v>
      </c>
      <c r="K380" s="42" t="n">
        <f aca="false">IFERROR(VALUE(RIGHT(B380,2)),0)</f>
        <v>11</v>
      </c>
      <c r="L380" s="42" t="str">
        <f aca="false">IFERROR(INDEX(Calendar!$E$2:$E$25,MATCH(B380,Calendar!$A$2:$A$25,0)),"UNMATCHED")</f>
        <v>Actual</v>
      </c>
      <c r="M380" s="42" t="n">
        <f aca="false">Sales_Transactions!F380</f>
        <v>147</v>
      </c>
      <c r="N380" s="52" t="n">
        <f aca="false">Sales_Transactions!I380</f>
        <v>16386.09</v>
      </c>
      <c r="O380" s="52" t="n">
        <f aca="false">Sales_Transactions!J380</f>
        <v>10429.65</v>
      </c>
      <c r="P380" s="52" t="n">
        <f aca="false">Sales_Transactions!K380</f>
        <v>5956.44</v>
      </c>
      <c r="Q380" s="42" t="n">
        <f aca="false">IF(ISNUMBER(MATCH(E380,Product_Master!$A$2:$A$9,0)),0,1)</f>
        <v>0</v>
      </c>
      <c r="R380" s="42" t="n">
        <f aca="false">IF(ISNUMBER(MATCH(D380,Customer_Master!$A$2:$A$49,0)),0,1)</f>
        <v>0</v>
      </c>
      <c r="S380" s="42" t="n">
        <f aca="false">IF(ISNUMBER(MATCH(B380,Calendar!$A$2:$A$25,0)),0,1)</f>
        <v>0</v>
      </c>
      <c r="T380" s="42" t="n">
        <f aca="false">IF(COUNTIF(Sales_Transactions!$A$2:$A$865,A380)&gt;1,1,0)</f>
        <v>0</v>
      </c>
      <c r="U380" s="42" t="n">
        <f aca="false">IF(OR(ABS(Sales_Transactions!F380*Sales_Transactions!G380-Sales_Transactions!I380)&gt;0.01,ABS(Sales_Transactions!F380*Sales_Transactions!H380-Sales_Transactions!J380)&gt;0.01,ABS(Sales_Transactions!I380-Sales_Transactions!J380-Sales_Transactions!K380)&gt;0.01),1,0)</f>
        <v>0</v>
      </c>
      <c r="V380" s="42" t="n">
        <f aca="false">IF(C380&lt;&gt;L380,1,0)</f>
        <v>0</v>
      </c>
      <c r="W380" s="42" t="n">
        <f aca="false">IF(SUM(Q380:V380)&gt;0,1,0)</f>
        <v>0</v>
      </c>
    </row>
    <row r="381" customFormat="false" ht="15" hidden="false" customHeight="false" outlineLevel="0" collapsed="false">
      <c r="A381" s="42" t="str">
        <f aca="false">Sales_Transactions!A381</f>
        <v>INV-11-020</v>
      </c>
      <c r="B381" s="42" t="str">
        <f aca="false">Sales_Transactions!B381</f>
        <v>2025-11</v>
      </c>
      <c r="C381" s="42" t="str">
        <f aca="false">Sales_Transactions!C381</f>
        <v>Actual</v>
      </c>
      <c r="D381" s="42" t="str">
        <f aca="false">Sales_Transactions!D381</f>
        <v>C020</v>
      </c>
      <c r="E381" s="42" t="str">
        <f aca="false">Sales_Transactions!E381</f>
        <v>P002</v>
      </c>
      <c r="F381" s="42" t="str">
        <f aca="false">IFERROR(INDEX(Customer_Master!$C$2:$C$49,MATCH(D381,Customer_Master!$A$2:$A$49,0)),"UNMATCHED")</f>
        <v>East</v>
      </c>
      <c r="G381" s="42" t="str">
        <f aca="false">IFERROR(INDEX(Customer_Master!$D$2:$D$49,MATCH(D381,Customer_Master!$A$2:$A$49,0)),"UNMATCHED")</f>
        <v>Modern Trade</v>
      </c>
      <c r="H381" s="42" t="str">
        <f aca="false">IFERROR(INDEX(Product_Master!$C$2:$C$9,MATCH(E381,Product_Master!$A$2:$A$9,0)),"UNMATCHED")</f>
        <v>Home Care</v>
      </c>
      <c r="I381" s="42" t="str">
        <f aca="false">IFERROR(INDEX(Product_Master!$B$2:$B$9,MATCH(E381,Product_Master!$A$2:$A$9,0)),"UNMATCHED")</f>
        <v>Dishwash Gel</v>
      </c>
      <c r="J381" s="42" t="n">
        <f aca="false">IFERROR(INDEX(Calendar!$B$2:$B$25,MATCH(B381,Calendar!$A$2:$A$25,0)),0)</f>
        <v>2025</v>
      </c>
      <c r="K381" s="42" t="n">
        <f aca="false">IFERROR(VALUE(RIGHT(B381,2)),0)</f>
        <v>11</v>
      </c>
      <c r="L381" s="42" t="str">
        <f aca="false">IFERROR(INDEX(Calendar!$E$2:$E$25,MATCH(B381,Calendar!$A$2:$A$25,0)),"UNMATCHED")</f>
        <v>Actual</v>
      </c>
      <c r="M381" s="42" t="n">
        <f aca="false">Sales_Transactions!F381</f>
        <v>131</v>
      </c>
      <c r="N381" s="52" t="n">
        <f aca="false">Sales_Transactions!I381</f>
        <v>18541.74</v>
      </c>
      <c r="O381" s="52" t="n">
        <f aca="false">Sales_Transactions!J381</f>
        <v>11138.93</v>
      </c>
      <c r="P381" s="52" t="n">
        <f aca="false">Sales_Transactions!K381</f>
        <v>7402.81</v>
      </c>
      <c r="Q381" s="42" t="n">
        <f aca="false">IF(ISNUMBER(MATCH(E381,Product_Master!$A$2:$A$9,0)),0,1)</f>
        <v>0</v>
      </c>
      <c r="R381" s="42" t="n">
        <f aca="false">IF(ISNUMBER(MATCH(D381,Customer_Master!$A$2:$A$49,0)),0,1)</f>
        <v>0</v>
      </c>
      <c r="S381" s="42" t="n">
        <f aca="false">IF(ISNUMBER(MATCH(B381,Calendar!$A$2:$A$25,0)),0,1)</f>
        <v>0</v>
      </c>
      <c r="T381" s="42" t="n">
        <f aca="false">IF(COUNTIF(Sales_Transactions!$A$2:$A$865,A381)&gt;1,1,0)</f>
        <v>0</v>
      </c>
      <c r="U381" s="42" t="n">
        <f aca="false">IF(OR(ABS(Sales_Transactions!F381*Sales_Transactions!G381-Sales_Transactions!I381)&gt;0.01,ABS(Sales_Transactions!F381*Sales_Transactions!H381-Sales_Transactions!J381)&gt;0.01,ABS(Sales_Transactions!I381-Sales_Transactions!J381-Sales_Transactions!K381)&gt;0.01),1,0)</f>
        <v>0</v>
      </c>
      <c r="V381" s="42" t="n">
        <f aca="false">IF(C381&lt;&gt;L381,1,0)</f>
        <v>0</v>
      </c>
      <c r="W381" s="42" t="n">
        <f aca="false">IF(SUM(Q381:V381)&gt;0,1,0)</f>
        <v>0</v>
      </c>
    </row>
    <row r="382" customFormat="false" ht="15" hidden="false" customHeight="false" outlineLevel="0" collapsed="false">
      <c r="A382" s="42" t="str">
        <f aca="false">Sales_Transactions!A382</f>
        <v>INV-11-021</v>
      </c>
      <c r="B382" s="42" t="str">
        <f aca="false">Sales_Transactions!B382</f>
        <v>2025-11</v>
      </c>
      <c r="C382" s="42" t="str">
        <f aca="false">Sales_Transactions!C382</f>
        <v>Actual</v>
      </c>
      <c r="D382" s="42" t="str">
        <f aca="false">Sales_Transactions!D382</f>
        <v>C027</v>
      </c>
      <c r="E382" s="42" t="str">
        <f aca="false">Sales_Transactions!E382</f>
        <v>P007</v>
      </c>
      <c r="F382" s="42" t="str">
        <f aca="false">IFERROR(INDEX(Customer_Master!$C$2:$C$49,MATCH(D382,Customer_Master!$A$2:$A$49,0)),"UNMATCHED")</f>
        <v>West</v>
      </c>
      <c r="G382" s="42" t="str">
        <f aca="false">IFERROR(INDEX(Customer_Master!$D$2:$D$49,MATCH(D382,Customer_Master!$A$2:$A$49,0)),"UNMATCHED")</f>
        <v>Retail</v>
      </c>
      <c r="H382" s="42" t="str">
        <f aca="false">IFERROR(INDEX(Product_Master!$C$2:$C$9,MATCH(E382,Product_Master!$A$2:$A$9,0)),"UNMATCHED")</f>
        <v>Home Care</v>
      </c>
      <c r="I382" s="42" t="str">
        <f aca="false">IFERROR(INDEX(Product_Master!$B$2:$B$9,MATCH(E382,Product_Master!$A$2:$A$9,0)),"UNMATCHED")</f>
        <v>Floor Cleaner</v>
      </c>
      <c r="J382" s="42" t="n">
        <f aca="false">IFERROR(INDEX(Calendar!$B$2:$B$25,MATCH(B382,Calendar!$A$2:$A$25,0)),0)</f>
        <v>2025</v>
      </c>
      <c r="K382" s="42" t="n">
        <f aca="false">IFERROR(VALUE(RIGHT(B382,2)),0)</f>
        <v>11</v>
      </c>
      <c r="L382" s="42" t="str">
        <f aca="false">IFERROR(INDEX(Calendar!$E$2:$E$25,MATCH(B382,Calendar!$A$2:$A$25,0)),"UNMATCHED")</f>
        <v>Actual</v>
      </c>
      <c r="M382" s="42" t="n">
        <f aca="false">Sales_Transactions!F382</f>
        <v>390</v>
      </c>
      <c r="N382" s="52" t="n">
        <f aca="false">Sales_Transactions!I382</f>
        <v>75305.1</v>
      </c>
      <c r="O382" s="52" t="n">
        <f aca="false">Sales_Transactions!J382</f>
        <v>42198</v>
      </c>
      <c r="P382" s="52" t="n">
        <f aca="false">Sales_Transactions!K382</f>
        <v>33107.1</v>
      </c>
      <c r="Q382" s="42" t="n">
        <f aca="false">IF(ISNUMBER(MATCH(E382,Product_Master!$A$2:$A$9,0)),0,1)</f>
        <v>0</v>
      </c>
      <c r="R382" s="42" t="n">
        <f aca="false">IF(ISNUMBER(MATCH(D382,Customer_Master!$A$2:$A$49,0)),0,1)</f>
        <v>0</v>
      </c>
      <c r="S382" s="42" t="n">
        <f aca="false">IF(ISNUMBER(MATCH(B382,Calendar!$A$2:$A$25,0)),0,1)</f>
        <v>0</v>
      </c>
      <c r="T382" s="42" t="n">
        <f aca="false">IF(COUNTIF(Sales_Transactions!$A$2:$A$865,A382)&gt;1,1,0)</f>
        <v>0</v>
      </c>
      <c r="U382" s="42" t="n">
        <f aca="false">IF(OR(ABS(Sales_Transactions!F382*Sales_Transactions!G382-Sales_Transactions!I382)&gt;0.01,ABS(Sales_Transactions!F382*Sales_Transactions!H382-Sales_Transactions!J382)&gt;0.01,ABS(Sales_Transactions!I382-Sales_Transactions!J382-Sales_Transactions!K382)&gt;0.01),1,0)</f>
        <v>0</v>
      </c>
      <c r="V382" s="42" t="n">
        <f aca="false">IF(C382&lt;&gt;L382,1,0)</f>
        <v>0</v>
      </c>
      <c r="W382" s="42" t="n">
        <f aca="false">IF(SUM(Q382:V382)&gt;0,1,0)</f>
        <v>0</v>
      </c>
    </row>
    <row r="383" customFormat="false" ht="15" hidden="false" customHeight="false" outlineLevel="0" collapsed="false">
      <c r="A383" s="42" t="str">
        <f aca="false">Sales_Transactions!A383</f>
        <v>INV-11-022</v>
      </c>
      <c r="B383" s="42" t="str">
        <f aca="false">Sales_Transactions!B383</f>
        <v>2025-11</v>
      </c>
      <c r="C383" s="42" t="str">
        <f aca="false">Sales_Transactions!C383</f>
        <v>Actual</v>
      </c>
      <c r="D383" s="42" t="str">
        <f aca="false">Sales_Transactions!D383</f>
        <v>C034</v>
      </c>
      <c r="E383" s="42" t="str">
        <f aca="false">Sales_Transactions!E383</f>
        <v>P004</v>
      </c>
      <c r="F383" s="42" t="str">
        <f aca="false">IFERROR(INDEX(Customer_Master!$C$2:$C$49,MATCH(D383,Customer_Master!$A$2:$A$49,0)),"UNMATCHED")</f>
        <v>North</v>
      </c>
      <c r="G383" s="42" t="str">
        <f aca="false">IFERROR(INDEX(Customer_Master!$D$2:$D$49,MATCH(D383,Customer_Master!$A$2:$A$49,0)),"UNMATCHED")</f>
        <v>Distributor</v>
      </c>
      <c r="H383" s="42" t="str">
        <f aca="false">IFERROR(INDEX(Product_Master!$C$2:$C$9,MATCH(E383,Product_Master!$A$2:$A$9,0)),"UNMATCHED")</f>
        <v>Personal Care</v>
      </c>
      <c r="I383" s="42" t="str">
        <f aca="false">IFERROR(INDEX(Product_Master!$B$2:$B$9,MATCH(E383,Product_Master!$A$2:$A$9,0)),"UNMATCHED")</f>
        <v>Soap 4-pack</v>
      </c>
      <c r="J383" s="42" t="n">
        <f aca="false">IFERROR(INDEX(Calendar!$B$2:$B$25,MATCH(B383,Calendar!$A$2:$A$25,0)),0)</f>
        <v>2025</v>
      </c>
      <c r="K383" s="42" t="n">
        <f aca="false">IFERROR(VALUE(RIGHT(B383,2)),0)</f>
        <v>11</v>
      </c>
      <c r="L383" s="42" t="str">
        <f aca="false">IFERROR(INDEX(Calendar!$E$2:$E$25,MATCH(B383,Calendar!$A$2:$A$25,0)),"UNMATCHED")</f>
        <v>Actual</v>
      </c>
      <c r="M383" s="42" t="n">
        <f aca="false">Sales_Transactions!F383</f>
        <v>255</v>
      </c>
      <c r="N383" s="52" t="n">
        <f aca="false">Sales_Transactions!I383</f>
        <v>41128.95</v>
      </c>
      <c r="O383" s="52" t="n">
        <f aca="false">Sales_Transactions!J383</f>
        <v>23870.55</v>
      </c>
      <c r="P383" s="52" t="n">
        <f aca="false">Sales_Transactions!K383</f>
        <v>17258.4</v>
      </c>
      <c r="Q383" s="42" t="n">
        <f aca="false">IF(ISNUMBER(MATCH(E383,Product_Master!$A$2:$A$9,0)),0,1)</f>
        <v>0</v>
      </c>
      <c r="R383" s="42" t="n">
        <f aca="false">IF(ISNUMBER(MATCH(D383,Customer_Master!$A$2:$A$49,0)),0,1)</f>
        <v>0</v>
      </c>
      <c r="S383" s="42" t="n">
        <f aca="false">IF(ISNUMBER(MATCH(B383,Calendar!$A$2:$A$25,0)),0,1)</f>
        <v>0</v>
      </c>
      <c r="T383" s="42" t="n">
        <f aca="false">IF(COUNTIF(Sales_Transactions!$A$2:$A$865,A383)&gt;1,1,0)</f>
        <v>0</v>
      </c>
      <c r="U383" s="42" t="n">
        <f aca="false">IF(OR(ABS(Sales_Transactions!F383*Sales_Transactions!G383-Sales_Transactions!I383)&gt;0.01,ABS(Sales_Transactions!F383*Sales_Transactions!H383-Sales_Transactions!J383)&gt;0.01,ABS(Sales_Transactions!I383-Sales_Transactions!J383-Sales_Transactions!K383)&gt;0.01),1,0)</f>
        <v>0</v>
      </c>
      <c r="V383" s="42" t="n">
        <f aca="false">IF(C383&lt;&gt;L383,1,0)</f>
        <v>0</v>
      </c>
      <c r="W383" s="42" t="n">
        <f aca="false">IF(SUM(Q383:V383)&gt;0,1,0)</f>
        <v>0</v>
      </c>
    </row>
    <row r="384" customFormat="false" ht="15" hidden="false" customHeight="false" outlineLevel="0" collapsed="false">
      <c r="A384" s="42" t="str">
        <f aca="false">Sales_Transactions!A384</f>
        <v>INV-11-023</v>
      </c>
      <c r="B384" s="42" t="str">
        <f aca="false">Sales_Transactions!B384</f>
        <v>2025-11</v>
      </c>
      <c r="C384" s="42" t="str">
        <f aca="false">Sales_Transactions!C384</f>
        <v>Actual</v>
      </c>
      <c r="D384" s="42" t="str">
        <f aca="false">Sales_Transactions!D384</f>
        <v>C041</v>
      </c>
      <c r="E384" s="42" t="str">
        <f aca="false">Sales_Transactions!E384</f>
        <v>P001</v>
      </c>
      <c r="F384" s="42" t="str">
        <f aca="false">IFERROR(INDEX(Customer_Master!$C$2:$C$49,MATCH(D384,Customer_Master!$A$2:$A$49,0)),"UNMATCHED")</f>
        <v>South</v>
      </c>
      <c r="G384" s="42" t="str">
        <f aca="false">IFERROR(INDEX(Customer_Master!$D$2:$D$49,MATCH(D384,Customer_Master!$A$2:$A$49,0)),"UNMATCHED")</f>
        <v>Modern Trade</v>
      </c>
      <c r="H384" s="42" t="str">
        <f aca="false">IFERROR(INDEX(Product_Master!$C$2:$C$9,MATCH(E384,Product_Master!$A$2:$A$9,0)),"UNMATCHED")</f>
        <v>Home Care</v>
      </c>
      <c r="I384" s="42" t="str">
        <f aca="false">IFERROR(INDEX(Product_Master!$B$2:$B$9,MATCH(E384,Product_Master!$A$2:$A$9,0)),"UNMATCHED")</f>
        <v>Detergent 1kg</v>
      </c>
      <c r="J384" s="42" t="n">
        <f aca="false">IFERROR(INDEX(Calendar!$B$2:$B$25,MATCH(B384,Calendar!$A$2:$A$25,0)),0)</f>
        <v>2025</v>
      </c>
      <c r="K384" s="42" t="n">
        <f aca="false">IFERROR(VALUE(RIGHT(B384,2)),0)</f>
        <v>11</v>
      </c>
      <c r="L384" s="42" t="str">
        <f aca="false">IFERROR(INDEX(Calendar!$E$2:$E$25,MATCH(B384,Calendar!$A$2:$A$25,0)),"UNMATCHED")</f>
        <v>Actual</v>
      </c>
      <c r="M384" s="42" t="n">
        <f aca="false">Sales_Transactions!F384</f>
        <v>374</v>
      </c>
      <c r="N384" s="52" t="n">
        <f aca="false">Sales_Transactions!I384</f>
        <v>71995</v>
      </c>
      <c r="O384" s="52" t="n">
        <f aca="false">Sales_Transactions!J384</f>
        <v>52307.64</v>
      </c>
      <c r="P384" s="52" t="n">
        <f aca="false">Sales_Transactions!K384</f>
        <v>19687.36</v>
      </c>
      <c r="Q384" s="42" t="n">
        <f aca="false">IF(ISNUMBER(MATCH(E384,Product_Master!$A$2:$A$9,0)),0,1)</f>
        <v>0</v>
      </c>
      <c r="R384" s="42" t="n">
        <f aca="false">IF(ISNUMBER(MATCH(D384,Customer_Master!$A$2:$A$49,0)),0,1)</f>
        <v>0</v>
      </c>
      <c r="S384" s="42" t="n">
        <f aca="false">IF(ISNUMBER(MATCH(B384,Calendar!$A$2:$A$25,0)),0,1)</f>
        <v>0</v>
      </c>
      <c r="T384" s="42" t="n">
        <f aca="false">IF(COUNTIF(Sales_Transactions!$A$2:$A$865,A384)&gt;1,1,0)</f>
        <v>0</v>
      </c>
      <c r="U384" s="42" t="n">
        <f aca="false">IF(OR(ABS(Sales_Transactions!F384*Sales_Transactions!G384-Sales_Transactions!I384)&gt;0.01,ABS(Sales_Transactions!F384*Sales_Transactions!H384-Sales_Transactions!J384)&gt;0.01,ABS(Sales_Transactions!I384-Sales_Transactions!J384-Sales_Transactions!K384)&gt;0.01),1,0)</f>
        <v>0</v>
      </c>
      <c r="V384" s="42" t="n">
        <f aca="false">IF(C384&lt;&gt;L384,1,0)</f>
        <v>0</v>
      </c>
      <c r="W384" s="42" t="n">
        <f aca="false">IF(SUM(Q384:V384)&gt;0,1,0)</f>
        <v>0</v>
      </c>
    </row>
    <row r="385" customFormat="false" ht="15" hidden="false" customHeight="false" outlineLevel="0" collapsed="false">
      <c r="A385" s="42" t="str">
        <f aca="false">Sales_Transactions!A385</f>
        <v>INV-11-024</v>
      </c>
      <c r="B385" s="42" t="str">
        <f aca="false">Sales_Transactions!B385</f>
        <v>2025-11</v>
      </c>
      <c r="C385" s="42" t="str">
        <f aca="false">Sales_Transactions!C385</f>
        <v>Actual</v>
      </c>
      <c r="D385" s="42" t="str">
        <f aca="false">Sales_Transactions!D385</f>
        <v>C048</v>
      </c>
      <c r="E385" s="42" t="str">
        <f aca="false">Sales_Transactions!E385</f>
        <v>P006</v>
      </c>
      <c r="F385" s="42" t="str">
        <f aca="false">IFERROR(INDEX(Customer_Master!$C$2:$C$49,MATCH(D385,Customer_Master!$A$2:$A$49,0)),"UNMATCHED")</f>
        <v>East</v>
      </c>
      <c r="G385" s="42" t="str">
        <f aca="false">IFERROR(INDEX(Customer_Master!$D$2:$D$49,MATCH(D385,Customer_Master!$A$2:$A$49,0)),"UNMATCHED")</f>
        <v>Retail</v>
      </c>
      <c r="H385" s="42" t="str">
        <f aca="false">IFERROR(INDEX(Product_Master!$C$2:$C$9,MATCH(E385,Product_Master!$A$2:$A$9,0)),"UNMATCHED")</f>
        <v>Foods</v>
      </c>
      <c r="I385" s="42" t="str">
        <f aca="false">IFERROR(INDEX(Product_Master!$B$2:$B$9,MATCH(E385,Product_Master!$A$2:$A$9,0)),"UNMATCHED")</f>
        <v>Breakfast Cereal</v>
      </c>
      <c r="J385" s="42" t="n">
        <f aca="false">IFERROR(INDEX(Calendar!$B$2:$B$25,MATCH(B385,Calendar!$A$2:$A$25,0)),0)</f>
        <v>2025</v>
      </c>
      <c r="K385" s="42" t="n">
        <f aca="false">IFERROR(VALUE(RIGHT(B385,2)),0)</f>
        <v>11</v>
      </c>
      <c r="L385" s="42" t="str">
        <f aca="false">IFERROR(INDEX(Calendar!$E$2:$E$25,MATCH(B385,Calendar!$A$2:$A$25,0)),"UNMATCHED")</f>
        <v>Actual</v>
      </c>
      <c r="M385" s="42" t="n">
        <f aca="false">Sales_Transactions!F385</f>
        <v>368</v>
      </c>
      <c r="N385" s="52" t="n">
        <f aca="false">Sales_Transactions!I385</f>
        <v>86045.76</v>
      </c>
      <c r="O385" s="52" t="n">
        <f aca="false">Sales_Transactions!J385</f>
        <v>56598.4</v>
      </c>
      <c r="P385" s="52" t="n">
        <f aca="false">Sales_Transactions!K385</f>
        <v>29447.36</v>
      </c>
      <c r="Q385" s="42" t="n">
        <f aca="false">IF(ISNUMBER(MATCH(E385,Product_Master!$A$2:$A$9,0)),0,1)</f>
        <v>0</v>
      </c>
      <c r="R385" s="42" t="n">
        <f aca="false">IF(ISNUMBER(MATCH(D385,Customer_Master!$A$2:$A$49,0)),0,1)</f>
        <v>0</v>
      </c>
      <c r="S385" s="42" t="n">
        <f aca="false">IF(ISNUMBER(MATCH(B385,Calendar!$A$2:$A$25,0)),0,1)</f>
        <v>0</v>
      </c>
      <c r="T385" s="42" t="n">
        <f aca="false">IF(COUNTIF(Sales_Transactions!$A$2:$A$865,A385)&gt;1,1,0)</f>
        <v>0</v>
      </c>
      <c r="U385" s="42" t="n">
        <f aca="false">IF(OR(ABS(Sales_Transactions!F385*Sales_Transactions!G385-Sales_Transactions!I385)&gt;0.01,ABS(Sales_Transactions!F385*Sales_Transactions!H385-Sales_Transactions!J385)&gt;0.01,ABS(Sales_Transactions!I385-Sales_Transactions!J385-Sales_Transactions!K385)&gt;0.01),1,0)</f>
        <v>0</v>
      </c>
      <c r="V385" s="42" t="n">
        <f aca="false">IF(C385&lt;&gt;L385,1,0)</f>
        <v>0</v>
      </c>
      <c r="W385" s="42" t="n">
        <f aca="false">IF(SUM(Q385:V385)&gt;0,1,0)</f>
        <v>0</v>
      </c>
    </row>
    <row r="386" customFormat="false" ht="15" hidden="false" customHeight="false" outlineLevel="0" collapsed="false">
      <c r="A386" s="42" t="str">
        <f aca="false">Sales_Transactions!A386</f>
        <v>INV-11-025</v>
      </c>
      <c r="B386" s="42" t="str">
        <f aca="false">Sales_Transactions!B386</f>
        <v>2025-11</v>
      </c>
      <c r="C386" s="42" t="str">
        <f aca="false">Sales_Transactions!C386</f>
        <v>Actual</v>
      </c>
      <c r="D386" s="42" t="str">
        <f aca="false">Sales_Transactions!D386</f>
        <v>C007</v>
      </c>
      <c r="E386" s="42" t="str">
        <f aca="false">Sales_Transactions!E386</f>
        <v>P003</v>
      </c>
      <c r="F386" s="42" t="str">
        <f aca="false">IFERROR(INDEX(Customer_Master!$C$2:$C$49,MATCH(D386,Customer_Master!$A$2:$A$49,0)),"UNMATCHED")</f>
        <v>West</v>
      </c>
      <c r="G386" s="42" t="str">
        <f aca="false">IFERROR(INDEX(Customer_Master!$D$2:$D$49,MATCH(D386,Customer_Master!$A$2:$A$49,0)),"UNMATCHED")</f>
        <v>Distributor</v>
      </c>
      <c r="H386" s="42" t="str">
        <f aca="false">IFERROR(INDEX(Product_Master!$C$2:$C$9,MATCH(E386,Product_Master!$A$2:$A$9,0)),"UNMATCHED")</f>
        <v>Personal Care</v>
      </c>
      <c r="I386" s="42" t="str">
        <f aca="false">IFERROR(INDEX(Product_Master!$B$2:$B$9,MATCH(E386,Product_Master!$A$2:$A$9,0)),"UNMATCHED")</f>
        <v>Shampoo 400ml</v>
      </c>
      <c r="J386" s="42" t="n">
        <f aca="false">IFERROR(INDEX(Calendar!$B$2:$B$25,MATCH(B386,Calendar!$A$2:$A$25,0)),0)</f>
        <v>2025</v>
      </c>
      <c r="K386" s="42" t="n">
        <f aca="false">IFERROR(VALUE(RIGHT(B386,2)),0)</f>
        <v>11</v>
      </c>
      <c r="L386" s="42" t="str">
        <f aca="false">IFERROR(INDEX(Calendar!$E$2:$E$25,MATCH(B386,Calendar!$A$2:$A$25,0)),"UNMATCHED")</f>
        <v>Actual</v>
      </c>
      <c r="M386" s="42" t="n">
        <f aca="false">Sales_Transactions!F386</f>
        <v>204</v>
      </c>
      <c r="N386" s="52" t="n">
        <f aca="false">Sales_Transactions!I386</f>
        <v>53276.64</v>
      </c>
      <c r="O386" s="52" t="n">
        <f aca="false">Sales_Transactions!J386</f>
        <v>34106.76</v>
      </c>
      <c r="P386" s="52" t="n">
        <f aca="false">Sales_Transactions!K386</f>
        <v>19169.88</v>
      </c>
      <c r="Q386" s="42" t="n">
        <f aca="false">IF(ISNUMBER(MATCH(E386,Product_Master!$A$2:$A$9,0)),0,1)</f>
        <v>0</v>
      </c>
      <c r="R386" s="42" t="n">
        <f aca="false">IF(ISNUMBER(MATCH(D386,Customer_Master!$A$2:$A$49,0)),0,1)</f>
        <v>0</v>
      </c>
      <c r="S386" s="42" t="n">
        <f aca="false">IF(ISNUMBER(MATCH(B386,Calendar!$A$2:$A$25,0)),0,1)</f>
        <v>0</v>
      </c>
      <c r="T386" s="42" t="n">
        <f aca="false">IF(COUNTIF(Sales_Transactions!$A$2:$A$865,A386)&gt;1,1,0)</f>
        <v>0</v>
      </c>
      <c r="U386" s="42" t="n">
        <f aca="false">IF(OR(ABS(Sales_Transactions!F386*Sales_Transactions!G386-Sales_Transactions!I386)&gt;0.01,ABS(Sales_Transactions!F386*Sales_Transactions!H386-Sales_Transactions!J386)&gt;0.01,ABS(Sales_Transactions!I386-Sales_Transactions!J386-Sales_Transactions!K386)&gt;0.01),1,0)</f>
        <v>0</v>
      </c>
      <c r="V386" s="42" t="n">
        <f aca="false">IF(C386&lt;&gt;L386,1,0)</f>
        <v>0</v>
      </c>
      <c r="W386" s="42" t="n">
        <f aca="false">IF(SUM(Q386:V386)&gt;0,1,0)</f>
        <v>0</v>
      </c>
    </row>
    <row r="387" customFormat="false" ht="15" hidden="false" customHeight="false" outlineLevel="0" collapsed="false">
      <c r="A387" s="42" t="str">
        <f aca="false">Sales_Transactions!A387</f>
        <v>INV-11-026</v>
      </c>
      <c r="B387" s="42" t="str">
        <f aca="false">Sales_Transactions!B387</f>
        <v>2025-11</v>
      </c>
      <c r="C387" s="42" t="str">
        <f aca="false">Sales_Transactions!C387</f>
        <v>Actual</v>
      </c>
      <c r="D387" s="42" t="str">
        <f aca="false">Sales_Transactions!D387</f>
        <v>C014</v>
      </c>
      <c r="E387" s="42" t="str">
        <f aca="false">Sales_Transactions!E387</f>
        <v>P008</v>
      </c>
      <c r="F387" s="42" t="str">
        <f aca="false">IFERROR(INDEX(Customer_Master!$C$2:$C$49,MATCH(D387,Customer_Master!$A$2:$A$49,0)),"UNMATCHED")</f>
        <v>North</v>
      </c>
      <c r="G387" s="42" t="str">
        <f aca="false">IFERROR(INDEX(Customer_Master!$D$2:$D$49,MATCH(D387,Customer_Master!$A$2:$A$49,0)),"UNMATCHED")</f>
        <v>Modern Trade</v>
      </c>
      <c r="H387" s="42" t="str">
        <f aca="false">IFERROR(INDEX(Product_Master!$C$2:$C$9,MATCH(E387,Product_Master!$A$2:$A$9,0)),"UNMATCHED")</f>
        <v>Personal Care</v>
      </c>
      <c r="I387" s="42" t="str">
        <f aca="false">IFERROR(INDEX(Product_Master!$B$2:$B$9,MATCH(E387,Product_Master!$A$2:$A$9,0)),"UNMATCHED")</f>
        <v>Body Lotion</v>
      </c>
      <c r="J387" s="42" t="n">
        <f aca="false">IFERROR(INDEX(Calendar!$B$2:$B$25,MATCH(B387,Calendar!$A$2:$A$25,0)),0)</f>
        <v>2025</v>
      </c>
      <c r="K387" s="42" t="n">
        <f aca="false">IFERROR(VALUE(RIGHT(B387,2)),0)</f>
        <v>11</v>
      </c>
      <c r="L387" s="42" t="str">
        <f aca="false">IFERROR(INDEX(Calendar!$E$2:$E$25,MATCH(B387,Calendar!$A$2:$A$25,0)),"UNMATCHED")</f>
        <v>Actual</v>
      </c>
      <c r="M387" s="42" t="n">
        <f aca="false">Sales_Transactions!F387</f>
        <v>390</v>
      </c>
      <c r="N387" s="52" t="n">
        <f aca="false">Sales_Transactions!I387</f>
        <v>112854.3</v>
      </c>
      <c r="O387" s="52" t="n">
        <f aca="false">Sales_Transactions!J387</f>
        <v>83744.7</v>
      </c>
      <c r="P387" s="52" t="n">
        <f aca="false">Sales_Transactions!K387</f>
        <v>29109.6</v>
      </c>
      <c r="Q387" s="42" t="n">
        <f aca="false">IF(ISNUMBER(MATCH(E387,Product_Master!$A$2:$A$9,0)),0,1)</f>
        <v>0</v>
      </c>
      <c r="R387" s="42" t="n">
        <f aca="false">IF(ISNUMBER(MATCH(D387,Customer_Master!$A$2:$A$49,0)),0,1)</f>
        <v>0</v>
      </c>
      <c r="S387" s="42" t="n">
        <f aca="false">IF(ISNUMBER(MATCH(B387,Calendar!$A$2:$A$25,0)),0,1)</f>
        <v>0</v>
      </c>
      <c r="T387" s="42" t="n">
        <f aca="false">IF(COUNTIF(Sales_Transactions!$A$2:$A$865,A387)&gt;1,1,0)</f>
        <v>0</v>
      </c>
      <c r="U387" s="42" t="n">
        <f aca="false">IF(OR(ABS(Sales_Transactions!F387*Sales_Transactions!G387-Sales_Transactions!I387)&gt;0.01,ABS(Sales_Transactions!F387*Sales_Transactions!H387-Sales_Transactions!J387)&gt;0.01,ABS(Sales_Transactions!I387-Sales_Transactions!J387-Sales_Transactions!K387)&gt;0.01),1,0)</f>
        <v>0</v>
      </c>
      <c r="V387" s="42" t="n">
        <f aca="false">IF(C387&lt;&gt;L387,1,0)</f>
        <v>0</v>
      </c>
      <c r="W387" s="42" t="n">
        <f aca="false">IF(SUM(Q387:V387)&gt;0,1,0)</f>
        <v>0</v>
      </c>
    </row>
    <row r="388" customFormat="false" ht="15" hidden="false" customHeight="false" outlineLevel="0" collapsed="false">
      <c r="A388" s="42" t="str">
        <f aca="false">Sales_Transactions!A388</f>
        <v>INV-11-027</v>
      </c>
      <c r="B388" s="42" t="str">
        <f aca="false">Sales_Transactions!B388</f>
        <v>2025-11</v>
      </c>
      <c r="C388" s="42" t="str">
        <f aca="false">Sales_Transactions!C388</f>
        <v>Actual</v>
      </c>
      <c r="D388" s="42" t="str">
        <f aca="false">Sales_Transactions!D388</f>
        <v>C021</v>
      </c>
      <c r="E388" s="42" t="str">
        <f aca="false">Sales_Transactions!E388</f>
        <v>P005</v>
      </c>
      <c r="F388" s="42" t="str">
        <f aca="false">IFERROR(INDEX(Customer_Master!$C$2:$C$49,MATCH(D388,Customer_Master!$A$2:$A$49,0)),"UNMATCHED")</f>
        <v>South</v>
      </c>
      <c r="G388" s="42" t="str">
        <f aca="false">IFERROR(INDEX(Customer_Master!$D$2:$D$49,MATCH(D388,Customer_Master!$A$2:$A$49,0)),"UNMATCHED")</f>
        <v>Retail</v>
      </c>
      <c r="H388" s="42" t="str">
        <f aca="false">IFERROR(INDEX(Product_Master!$C$2:$C$9,MATCH(E388,Product_Master!$A$2:$A$9,0)),"UNMATCHED")</f>
        <v>Foods</v>
      </c>
      <c r="I388" s="42" t="str">
        <f aca="false">IFERROR(INDEX(Product_Master!$B$2:$B$9,MATCH(E388,Product_Master!$A$2:$A$9,0)),"UNMATCHED")</f>
        <v>Biscuits 500g</v>
      </c>
      <c r="J388" s="42" t="n">
        <f aca="false">IFERROR(INDEX(Calendar!$B$2:$B$25,MATCH(B388,Calendar!$A$2:$A$25,0)),0)</f>
        <v>2025</v>
      </c>
      <c r="K388" s="42" t="n">
        <f aca="false">IFERROR(VALUE(RIGHT(B388,2)),0)</f>
        <v>11</v>
      </c>
      <c r="L388" s="42" t="str">
        <f aca="false">IFERROR(INDEX(Calendar!$E$2:$E$25,MATCH(B388,Calendar!$A$2:$A$25,0)),"UNMATCHED")</f>
        <v>Actual</v>
      </c>
      <c r="M388" s="42" t="n">
        <f aca="false">Sales_Transactions!F388</f>
        <v>159</v>
      </c>
      <c r="N388" s="52" t="n">
        <f aca="false">Sales_Transactions!I388</f>
        <v>17811.18</v>
      </c>
      <c r="O388" s="52" t="n">
        <f aca="false">Sales_Transactions!J388</f>
        <v>10916.94</v>
      </c>
      <c r="P388" s="52" t="n">
        <f aca="false">Sales_Transactions!K388</f>
        <v>6894.24</v>
      </c>
      <c r="Q388" s="42" t="n">
        <f aca="false">IF(ISNUMBER(MATCH(E388,Product_Master!$A$2:$A$9,0)),0,1)</f>
        <v>0</v>
      </c>
      <c r="R388" s="42" t="n">
        <f aca="false">IF(ISNUMBER(MATCH(D388,Customer_Master!$A$2:$A$49,0)),0,1)</f>
        <v>0</v>
      </c>
      <c r="S388" s="42" t="n">
        <f aca="false">IF(ISNUMBER(MATCH(B388,Calendar!$A$2:$A$25,0)),0,1)</f>
        <v>0</v>
      </c>
      <c r="T388" s="42" t="n">
        <f aca="false">IF(COUNTIF(Sales_Transactions!$A$2:$A$865,A388)&gt;1,1,0)</f>
        <v>0</v>
      </c>
      <c r="U388" s="42" t="n">
        <f aca="false">IF(OR(ABS(Sales_Transactions!F388*Sales_Transactions!G388-Sales_Transactions!I388)&gt;0.01,ABS(Sales_Transactions!F388*Sales_Transactions!H388-Sales_Transactions!J388)&gt;0.01,ABS(Sales_Transactions!I388-Sales_Transactions!J388-Sales_Transactions!K388)&gt;0.01),1,0)</f>
        <v>0</v>
      </c>
      <c r="V388" s="42" t="n">
        <f aca="false">IF(C388&lt;&gt;L388,1,0)</f>
        <v>0</v>
      </c>
      <c r="W388" s="42" t="n">
        <f aca="false">IF(SUM(Q388:V388)&gt;0,1,0)</f>
        <v>0</v>
      </c>
    </row>
    <row r="389" customFormat="false" ht="15" hidden="false" customHeight="false" outlineLevel="0" collapsed="false">
      <c r="A389" s="42" t="str">
        <f aca="false">Sales_Transactions!A389</f>
        <v>INV-11-028</v>
      </c>
      <c r="B389" s="42" t="str">
        <f aca="false">Sales_Transactions!B389</f>
        <v>2025-11</v>
      </c>
      <c r="C389" s="42" t="str">
        <f aca="false">Sales_Transactions!C389</f>
        <v>Actual</v>
      </c>
      <c r="D389" s="42" t="str">
        <f aca="false">Sales_Transactions!D389</f>
        <v>C028</v>
      </c>
      <c r="E389" s="42" t="str">
        <f aca="false">Sales_Transactions!E389</f>
        <v>P002</v>
      </c>
      <c r="F389" s="42" t="str">
        <f aca="false">IFERROR(INDEX(Customer_Master!$C$2:$C$49,MATCH(D389,Customer_Master!$A$2:$A$49,0)),"UNMATCHED")</f>
        <v>East</v>
      </c>
      <c r="G389" s="42" t="str">
        <f aca="false">IFERROR(INDEX(Customer_Master!$D$2:$D$49,MATCH(D389,Customer_Master!$A$2:$A$49,0)),"UNMATCHED")</f>
        <v>Distributor</v>
      </c>
      <c r="H389" s="42" t="str">
        <f aca="false">IFERROR(INDEX(Product_Master!$C$2:$C$9,MATCH(E389,Product_Master!$A$2:$A$9,0)),"UNMATCHED")</f>
        <v>Home Care</v>
      </c>
      <c r="I389" s="42" t="str">
        <f aca="false">IFERROR(INDEX(Product_Master!$B$2:$B$9,MATCH(E389,Product_Master!$A$2:$A$9,0)),"UNMATCHED")</f>
        <v>Dishwash Gel</v>
      </c>
      <c r="J389" s="42" t="n">
        <f aca="false">IFERROR(INDEX(Calendar!$B$2:$B$25,MATCH(B389,Calendar!$A$2:$A$25,0)),0)</f>
        <v>2025</v>
      </c>
      <c r="K389" s="42" t="n">
        <f aca="false">IFERROR(VALUE(RIGHT(B389,2)),0)</f>
        <v>11</v>
      </c>
      <c r="L389" s="42" t="str">
        <f aca="false">IFERROR(INDEX(Calendar!$E$2:$E$25,MATCH(B389,Calendar!$A$2:$A$25,0)),"UNMATCHED")</f>
        <v>Actual</v>
      </c>
      <c r="M389" s="42" t="n">
        <f aca="false">Sales_Transactions!F389</f>
        <v>174</v>
      </c>
      <c r="N389" s="52" t="n">
        <f aca="false">Sales_Transactions!I389</f>
        <v>22814.88</v>
      </c>
      <c r="O389" s="52" t="n">
        <f aca="false">Sales_Transactions!J389</f>
        <v>15181.5</v>
      </c>
      <c r="P389" s="52" t="n">
        <f aca="false">Sales_Transactions!K389</f>
        <v>7633.38</v>
      </c>
      <c r="Q389" s="42" t="n">
        <f aca="false">IF(ISNUMBER(MATCH(E389,Product_Master!$A$2:$A$9,0)),0,1)</f>
        <v>0</v>
      </c>
      <c r="R389" s="42" t="n">
        <f aca="false">IF(ISNUMBER(MATCH(D389,Customer_Master!$A$2:$A$49,0)),0,1)</f>
        <v>0</v>
      </c>
      <c r="S389" s="42" t="n">
        <f aca="false">IF(ISNUMBER(MATCH(B389,Calendar!$A$2:$A$25,0)),0,1)</f>
        <v>0</v>
      </c>
      <c r="T389" s="42" t="n">
        <f aca="false">IF(COUNTIF(Sales_Transactions!$A$2:$A$865,A389)&gt;1,1,0)</f>
        <v>0</v>
      </c>
      <c r="U389" s="42" t="n">
        <f aca="false">IF(OR(ABS(Sales_Transactions!F389*Sales_Transactions!G389-Sales_Transactions!I389)&gt;0.01,ABS(Sales_Transactions!F389*Sales_Transactions!H389-Sales_Transactions!J389)&gt;0.01,ABS(Sales_Transactions!I389-Sales_Transactions!J389-Sales_Transactions!K389)&gt;0.01),1,0)</f>
        <v>0</v>
      </c>
      <c r="V389" s="42" t="n">
        <f aca="false">IF(C389&lt;&gt;L389,1,0)</f>
        <v>0</v>
      </c>
      <c r="W389" s="42" t="n">
        <f aca="false">IF(SUM(Q389:V389)&gt;0,1,0)</f>
        <v>0</v>
      </c>
    </row>
    <row r="390" customFormat="false" ht="15" hidden="false" customHeight="false" outlineLevel="0" collapsed="false">
      <c r="A390" s="42" t="str">
        <f aca="false">Sales_Transactions!A390</f>
        <v>INV-11-029</v>
      </c>
      <c r="B390" s="42" t="str">
        <f aca="false">Sales_Transactions!B390</f>
        <v>2025-11</v>
      </c>
      <c r="C390" s="42" t="str">
        <f aca="false">Sales_Transactions!C390</f>
        <v>Actual</v>
      </c>
      <c r="D390" s="42" t="str">
        <f aca="false">Sales_Transactions!D390</f>
        <v>C035</v>
      </c>
      <c r="E390" s="42" t="str">
        <f aca="false">Sales_Transactions!E390</f>
        <v>P007</v>
      </c>
      <c r="F390" s="42" t="str">
        <f aca="false">IFERROR(INDEX(Customer_Master!$C$2:$C$49,MATCH(D390,Customer_Master!$A$2:$A$49,0)),"UNMATCHED")</f>
        <v>West</v>
      </c>
      <c r="G390" s="42" t="str">
        <f aca="false">IFERROR(INDEX(Customer_Master!$D$2:$D$49,MATCH(D390,Customer_Master!$A$2:$A$49,0)),"UNMATCHED")</f>
        <v>Modern Trade</v>
      </c>
      <c r="H390" s="42" t="str">
        <f aca="false">IFERROR(INDEX(Product_Master!$C$2:$C$9,MATCH(E390,Product_Master!$A$2:$A$9,0)),"UNMATCHED")</f>
        <v>Home Care</v>
      </c>
      <c r="I390" s="42" t="str">
        <f aca="false">IFERROR(INDEX(Product_Master!$B$2:$B$9,MATCH(E390,Product_Master!$A$2:$A$9,0)),"UNMATCHED")</f>
        <v>Floor Cleaner</v>
      </c>
      <c r="J390" s="42" t="n">
        <f aca="false">IFERROR(INDEX(Calendar!$B$2:$B$25,MATCH(B390,Calendar!$A$2:$A$25,0)),0)</f>
        <v>2025</v>
      </c>
      <c r="K390" s="42" t="n">
        <f aca="false">IFERROR(VALUE(RIGHT(B390,2)),0)</f>
        <v>11</v>
      </c>
      <c r="L390" s="42" t="str">
        <f aca="false">IFERROR(INDEX(Calendar!$E$2:$E$25,MATCH(B390,Calendar!$A$2:$A$25,0)),"UNMATCHED")</f>
        <v>Actual</v>
      </c>
      <c r="M390" s="42" t="n">
        <f aca="false">Sales_Transactions!F390</f>
        <v>152</v>
      </c>
      <c r="N390" s="52" t="n">
        <f aca="false">Sales_Transactions!I390</f>
        <v>25759.44</v>
      </c>
      <c r="O390" s="52" t="n">
        <f aca="false">Sales_Transactions!J390</f>
        <v>17957.28</v>
      </c>
      <c r="P390" s="52" t="n">
        <f aca="false">Sales_Transactions!K390</f>
        <v>7802.16</v>
      </c>
      <c r="Q390" s="42" t="n">
        <f aca="false">IF(ISNUMBER(MATCH(E390,Product_Master!$A$2:$A$9,0)),0,1)</f>
        <v>0</v>
      </c>
      <c r="R390" s="42" t="n">
        <f aca="false">IF(ISNUMBER(MATCH(D390,Customer_Master!$A$2:$A$49,0)),0,1)</f>
        <v>0</v>
      </c>
      <c r="S390" s="42" t="n">
        <f aca="false">IF(ISNUMBER(MATCH(B390,Calendar!$A$2:$A$25,0)),0,1)</f>
        <v>0</v>
      </c>
      <c r="T390" s="42" t="n">
        <f aca="false">IF(COUNTIF(Sales_Transactions!$A$2:$A$865,A390)&gt;1,1,0)</f>
        <v>0</v>
      </c>
      <c r="U390" s="42" t="n">
        <f aca="false">IF(OR(ABS(Sales_Transactions!F390*Sales_Transactions!G390-Sales_Transactions!I390)&gt;0.01,ABS(Sales_Transactions!F390*Sales_Transactions!H390-Sales_Transactions!J390)&gt;0.01,ABS(Sales_Transactions!I390-Sales_Transactions!J390-Sales_Transactions!K390)&gt;0.01),1,0)</f>
        <v>0</v>
      </c>
      <c r="V390" s="42" t="n">
        <f aca="false">IF(C390&lt;&gt;L390,1,0)</f>
        <v>0</v>
      </c>
      <c r="W390" s="42" t="n">
        <f aca="false">IF(SUM(Q390:V390)&gt;0,1,0)</f>
        <v>0</v>
      </c>
    </row>
    <row r="391" customFormat="false" ht="15" hidden="false" customHeight="false" outlineLevel="0" collapsed="false">
      <c r="A391" s="42" t="str">
        <f aca="false">Sales_Transactions!A391</f>
        <v>INV-11-030</v>
      </c>
      <c r="B391" s="42" t="str">
        <f aca="false">Sales_Transactions!B391</f>
        <v>2025-11</v>
      </c>
      <c r="C391" s="42" t="str">
        <f aca="false">Sales_Transactions!C391</f>
        <v>Actual</v>
      </c>
      <c r="D391" s="42" t="str">
        <f aca="false">Sales_Transactions!D391</f>
        <v>C042</v>
      </c>
      <c r="E391" s="42" t="str">
        <f aca="false">Sales_Transactions!E391</f>
        <v>P004</v>
      </c>
      <c r="F391" s="42" t="str">
        <f aca="false">IFERROR(INDEX(Customer_Master!$C$2:$C$49,MATCH(D391,Customer_Master!$A$2:$A$49,0)),"UNMATCHED")</f>
        <v>North</v>
      </c>
      <c r="G391" s="42" t="str">
        <f aca="false">IFERROR(INDEX(Customer_Master!$D$2:$D$49,MATCH(D391,Customer_Master!$A$2:$A$49,0)),"UNMATCHED")</f>
        <v>Retail</v>
      </c>
      <c r="H391" s="42" t="str">
        <f aca="false">IFERROR(INDEX(Product_Master!$C$2:$C$9,MATCH(E391,Product_Master!$A$2:$A$9,0)),"UNMATCHED")</f>
        <v>Personal Care</v>
      </c>
      <c r="I391" s="42" t="str">
        <f aca="false">IFERROR(INDEX(Product_Master!$B$2:$B$9,MATCH(E391,Product_Master!$A$2:$A$9,0)),"UNMATCHED")</f>
        <v>Soap 4-pack</v>
      </c>
      <c r="J391" s="42" t="n">
        <f aca="false">IFERROR(INDEX(Calendar!$B$2:$B$25,MATCH(B391,Calendar!$A$2:$A$25,0)),0)</f>
        <v>2025</v>
      </c>
      <c r="K391" s="42" t="n">
        <f aca="false">IFERROR(VALUE(RIGHT(B391,2)),0)</f>
        <v>11</v>
      </c>
      <c r="L391" s="42" t="str">
        <f aca="false">IFERROR(INDEX(Calendar!$E$2:$E$25,MATCH(B391,Calendar!$A$2:$A$25,0)),"UNMATCHED")</f>
        <v>Actual</v>
      </c>
      <c r="M391" s="42" t="n">
        <f aca="false">Sales_Transactions!F391</f>
        <v>206</v>
      </c>
      <c r="N391" s="52" t="n">
        <f aca="false">Sales_Transactions!I391</f>
        <v>34844.9</v>
      </c>
      <c r="O391" s="52" t="n">
        <f aca="false">Sales_Transactions!J391</f>
        <v>19022.04</v>
      </c>
      <c r="P391" s="52" t="n">
        <f aca="false">Sales_Transactions!K391</f>
        <v>15822.86</v>
      </c>
      <c r="Q391" s="42" t="n">
        <f aca="false">IF(ISNUMBER(MATCH(E391,Product_Master!$A$2:$A$9,0)),0,1)</f>
        <v>0</v>
      </c>
      <c r="R391" s="42" t="n">
        <f aca="false">IF(ISNUMBER(MATCH(D391,Customer_Master!$A$2:$A$49,0)),0,1)</f>
        <v>0</v>
      </c>
      <c r="S391" s="42" t="n">
        <f aca="false">IF(ISNUMBER(MATCH(B391,Calendar!$A$2:$A$25,0)),0,1)</f>
        <v>0</v>
      </c>
      <c r="T391" s="42" t="n">
        <f aca="false">IF(COUNTIF(Sales_Transactions!$A$2:$A$865,A391)&gt;1,1,0)</f>
        <v>0</v>
      </c>
      <c r="U391" s="42" t="n">
        <f aca="false">IF(OR(ABS(Sales_Transactions!F391*Sales_Transactions!G391-Sales_Transactions!I391)&gt;0.01,ABS(Sales_Transactions!F391*Sales_Transactions!H391-Sales_Transactions!J391)&gt;0.01,ABS(Sales_Transactions!I391-Sales_Transactions!J391-Sales_Transactions!K391)&gt;0.01),1,0)</f>
        <v>0</v>
      </c>
      <c r="V391" s="42" t="n">
        <f aca="false">IF(C391&lt;&gt;L391,1,0)</f>
        <v>0</v>
      </c>
      <c r="W391" s="42" t="n">
        <f aca="false">IF(SUM(Q391:V391)&gt;0,1,0)</f>
        <v>0</v>
      </c>
    </row>
    <row r="392" customFormat="false" ht="15" hidden="false" customHeight="false" outlineLevel="0" collapsed="false">
      <c r="A392" s="42" t="str">
        <f aca="false">Sales_Transactions!A392</f>
        <v>INV-11-031</v>
      </c>
      <c r="B392" s="42" t="str">
        <f aca="false">Sales_Transactions!B392</f>
        <v>2025-11</v>
      </c>
      <c r="C392" s="42" t="str">
        <f aca="false">Sales_Transactions!C392</f>
        <v>Actual</v>
      </c>
      <c r="D392" s="42" t="str">
        <f aca="false">Sales_Transactions!D392</f>
        <v>C001</v>
      </c>
      <c r="E392" s="42" t="str">
        <f aca="false">Sales_Transactions!E392</f>
        <v>P001</v>
      </c>
      <c r="F392" s="42" t="str">
        <f aca="false">IFERROR(INDEX(Customer_Master!$C$2:$C$49,MATCH(D392,Customer_Master!$A$2:$A$49,0)),"UNMATCHED")</f>
        <v>South</v>
      </c>
      <c r="G392" s="42" t="str">
        <f aca="false">IFERROR(INDEX(Customer_Master!$D$2:$D$49,MATCH(D392,Customer_Master!$A$2:$A$49,0)),"UNMATCHED")</f>
        <v>Distributor</v>
      </c>
      <c r="H392" s="42" t="str">
        <f aca="false">IFERROR(INDEX(Product_Master!$C$2:$C$9,MATCH(E392,Product_Master!$A$2:$A$9,0)),"UNMATCHED")</f>
        <v>Home Care</v>
      </c>
      <c r="I392" s="42" t="str">
        <f aca="false">IFERROR(INDEX(Product_Master!$B$2:$B$9,MATCH(E392,Product_Master!$A$2:$A$9,0)),"UNMATCHED")</f>
        <v>Detergent 1kg</v>
      </c>
      <c r="J392" s="42" t="n">
        <f aca="false">IFERROR(INDEX(Calendar!$B$2:$B$25,MATCH(B392,Calendar!$A$2:$A$25,0)),0)</f>
        <v>2025</v>
      </c>
      <c r="K392" s="42" t="n">
        <f aca="false">IFERROR(VALUE(RIGHT(B392,2)),0)</f>
        <v>11</v>
      </c>
      <c r="L392" s="42" t="str">
        <f aca="false">IFERROR(INDEX(Calendar!$E$2:$E$25,MATCH(B392,Calendar!$A$2:$A$25,0)),"UNMATCHED")</f>
        <v>Actual</v>
      </c>
      <c r="M392" s="42" t="n">
        <f aca="false">Sales_Transactions!F392</f>
        <v>220</v>
      </c>
      <c r="N392" s="52" t="n">
        <f aca="false">Sales_Transactions!I392</f>
        <v>41432.6</v>
      </c>
      <c r="O392" s="52" t="n">
        <f aca="false">Sales_Transactions!J392</f>
        <v>30463.4</v>
      </c>
      <c r="P392" s="52" t="n">
        <f aca="false">Sales_Transactions!K392</f>
        <v>10969.2</v>
      </c>
      <c r="Q392" s="42" t="n">
        <f aca="false">IF(ISNUMBER(MATCH(E392,Product_Master!$A$2:$A$9,0)),0,1)</f>
        <v>0</v>
      </c>
      <c r="R392" s="42" t="n">
        <f aca="false">IF(ISNUMBER(MATCH(D392,Customer_Master!$A$2:$A$49,0)),0,1)</f>
        <v>0</v>
      </c>
      <c r="S392" s="42" t="n">
        <f aca="false">IF(ISNUMBER(MATCH(B392,Calendar!$A$2:$A$25,0)),0,1)</f>
        <v>0</v>
      </c>
      <c r="T392" s="42" t="n">
        <f aca="false">IF(COUNTIF(Sales_Transactions!$A$2:$A$865,A392)&gt;1,1,0)</f>
        <v>0</v>
      </c>
      <c r="U392" s="42" t="n">
        <f aca="false">IF(OR(ABS(Sales_Transactions!F392*Sales_Transactions!G392-Sales_Transactions!I392)&gt;0.01,ABS(Sales_Transactions!F392*Sales_Transactions!H392-Sales_Transactions!J392)&gt;0.01,ABS(Sales_Transactions!I392-Sales_Transactions!J392-Sales_Transactions!K392)&gt;0.01),1,0)</f>
        <v>0</v>
      </c>
      <c r="V392" s="42" t="n">
        <f aca="false">IF(C392&lt;&gt;L392,1,0)</f>
        <v>0</v>
      </c>
      <c r="W392" s="42" t="n">
        <f aca="false">IF(SUM(Q392:V392)&gt;0,1,0)</f>
        <v>0</v>
      </c>
    </row>
    <row r="393" customFormat="false" ht="15" hidden="false" customHeight="false" outlineLevel="0" collapsed="false">
      <c r="A393" s="42" t="str">
        <f aca="false">Sales_Transactions!A393</f>
        <v>INV-11-032</v>
      </c>
      <c r="B393" s="42" t="str">
        <f aca="false">Sales_Transactions!B393</f>
        <v>2025-11</v>
      </c>
      <c r="C393" s="42" t="str">
        <f aca="false">Sales_Transactions!C393</f>
        <v>Actual</v>
      </c>
      <c r="D393" s="42" t="str">
        <f aca="false">Sales_Transactions!D393</f>
        <v>C008</v>
      </c>
      <c r="E393" s="42" t="str">
        <f aca="false">Sales_Transactions!E393</f>
        <v>P006</v>
      </c>
      <c r="F393" s="42" t="str">
        <f aca="false">IFERROR(INDEX(Customer_Master!$C$2:$C$49,MATCH(D393,Customer_Master!$A$2:$A$49,0)),"UNMATCHED")</f>
        <v>East</v>
      </c>
      <c r="G393" s="42" t="str">
        <f aca="false">IFERROR(INDEX(Customer_Master!$D$2:$D$49,MATCH(D393,Customer_Master!$A$2:$A$49,0)),"UNMATCHED")</f>
        <v>Modern Trade</v>
      </c>
      <c r="H393" s="42" t="str">
        <f aca="false">IFERROR(INDEX(Product_Master!$C$2:$C$9,MATCH(E393,Product_Master!$A$2:$A$9,0)),"UNMATCHED")</f>
        <v>Foods</v>
      </c>
      <c r="I393" s="42" t="str">
        <f aca="false">IFERROR(INDEX(Product_Master!$B$2:$B$9,MATCH(E393,Product_Master!$A$2:$A$9,0)),"UNMATCHED")</f>
        <v>Breakfast Cereal</v>
      </c>
      <c r="J393" s="42" t="n">
        <f aca="false">IFERROR(INDEX(Calendar!$B$2:$B$25,MATCH(B393,Calendar!$A$2:$A$25,0)),0)</f>
        <v>2025</v>
      </c>
      <c r="K393" s="42" t="n">
        <f aca="false">IFERROR(VALUE(RIGHT(B393,2)),0)</f>
        <v>11</v>
      </c>
      <c r="L393" s="42" t="str">
        <f aca="false">IFERROR(INDEX(Calendar!$E$2:$E$25,MATCH(B393,Calendar!$A$2:$A$25,0)),"UNMATCHED")</f>
        <v>Actual</v>
      </c>
      <c r="M393" s="42" t="n">
        <f aca="false">Sales_Transactions!F393</f>
        <v>354</v>
      </c>
      <c r="N393" s="52" t="n">
        <f aca="false">Sales_Transactions!I393</f>
        <v>81674.88</v>
      </c>
      <c r="O393" s="52" t="n">
        <f aca="false">Sales_Transactions!J393</f>
        <v>53436.3</v>
      </c>
      <c r="P393" s="52" t="n">
        <f aca="false">Sales_Transactions!K393</f>
        <v>28238.58</v>
      </c>
      <c r="Q393" s="42" t="n">
        <f aca="false">IF(ISNUMBER(MATCH(E393,Product_Master!$A$2:$A$9,0)),0,1)</f>
        <v>0</v>
      </c>
      <c r="R393" s="42" t="n">
        <f aca="false">IF(ISNUMBER(MATCH(D393,Customer_Master!$A$2:$A$49,0)),0,1)</f>
        <v>0</v>
      </c>
      <c r="S393" s="42" t="n">
        <f aca="false">IF(ISNUMBER(MATCH(B393,Calendar!$A$2:$A$25,0)),0,1)</f>
        <v>0</v>
      </c>
      <c r="T393" s="42" t="n">
        <f aca="false">IF(COUNTIF(Sales_Transactions!$A$2:$A$865,A393)&gt;1,1,0)</f>
        <v>0</v>
      </c>
      <c r="U393" s="42" t="n">
        <f aca="false">IF(OR(ABS(Sales_Transactions!F393*Sales_Transactions!G393-Sales_Transactions!I393)&gt;0.01,ABS(Sales_Transactions!F393*Sales_Transactions!H393-Sales_Transactions!J393)&gt;0.01,ABS(Sales_Transactions!I393-Sales_Transactions!J393-Sales_Transactions!K393)&gt;0.01),1,0)</f>
        <v>0</v>
      </c>
      <c r="V393" s="42" t="n">
        <f aca="false">IF(C393&lt;&gt;L393,1,0)</f>
        <v>0</v>
      </c>
      <c r="W393" s="42" t="n">
        <f aca="false">IF(SUM(Q393:V393)&gt;0,1,0)</f>
        <v>0</v>
      </c>
    </row>
    <row r="394" customFormat="false" ht="15" hidden="false" customHeight="false" outlineLevel="0" collapsed="false">
      <c r="A394" s="42" t="str">
        <f aca="false">Sales_Transactions!A394</f>
        <v>INV-11-033</v>
      </c>
      <c r="B394" s="42" t="str">
        <f aca="false">Sales_Transactions!B394</f>
        <v>2025-11</v>
      </c>
      <c r="C394" s="42" t="str">
        <f aca="false">Sales_Transactions!C394</f>
        <v>Actual</v>
      </c>
      <c r="D394" s="42" t="str">
        <f aca="false">Sales_Transactions!D394</f>
        <v>C015</v>
      </c>
      <c r="E394" s="42" t="str">
        <f aca="false">Sales_Transactions!E394</f>
        <v>P003</v>
      </c>
      <c r="F394" s="42" t="str">
        <f aca="false">IFERROR(INDEX(Customer_Master!$C$2:$C$49,MATCH(D394,Customer_Master!$A$2:$A$49,0)),"UNMATCHED")</f>
        <v>West</v>
      </c>
      <c r="G394" s="42" t="str">
        <f aca="false">IFERROR(INDEX(Customer_Master!$D$2:$D$49,MATCH(D394,Customer_Master!$A$2:$A$49,0)),"UNMATCHED")</f>
        <v>Retail</v>
      </c>
      <c r="H394" s="42" t="str">
        <f aca="false">IFERROR(INDEX(Product_Master!$C$2:$C$9,MATCH(E394,Product_Master!$A$2:$A$9,0)),"UNMATCHED")</f>
        <v>Personal Care</v>
      </c>
      <c r="I394" s="42" t="str">
        <f aca="false">IFERROR(INDEX(Product_Master!$B$2:$B$9,MATCH(E394,Product_Master!$A$2:$A$9,0)),"UNMATCHED")</f>
        <v>Shampoo 400ml</v>
      </c>
      <c r="J394" s="42" t="n">
        <f aca="false">IFERROR(INDEX(Calendar!$B$2:$B$25,MATCH(B394,Calendar!$A$2:$A$25,0)),0)</f>
        <v>2025</v>
      </c>
      <c r="K394" s="42" t="n">
        <f aca="false">IFERROR(VALUE(RIGHT(B394,2)),0)</f>
        <v>11</v>
      </c>
      <c r="L394" s="42" t="str">
        <f aca="false">IFERROR(INDEX(Calendar!$E$2:$E$25,MATCH(B394,Calendar!$A$2:$A$25,0)),"UNMATCHED")</f>
        <v>Actual</v>
      </c>
      <c r="M394" s="42" t="n">
        <f aca="false">Sales_Transactions!F394</f>
        <v>314</v>
      </c>
      <c r="N394" s="52" t="n">
        <f aca="false">Sales_Transactions!I394</f>
        <v>87141.28</v>
      </c>
      <c r="O394" s="52" t="n">
        <f aca="false">Sales_Transactions!J394</f>
        <v>54852.66</v>
      </c>
      <c r="P394" s="52" t="n">
        <f aca="false">Sales_Transactions!K394</f>
        <v>32288.62</v>
      </c>
      <c r="Q394" s="42" t="n">
        <f aca="false">IF(ISNUMBER(MATCH(E394,Product_Master!$A$2:$A$9,0)),0,1)</f>
        <v>0</v>
      </c>
      <c r="R394" s="42" t="n">
        <f aca="false">IF(ISNUMBER(MATCH(D394,Customer_Master!$A$2:$A$49,0)),0,1)</f>
        <v>0</v>
      </c>
      <c r="S394" s="42" t="n">
        <f aca="false">IF(ISNUMBER(MATCH(B394,Calendar!$A$2:$A$25,0)),0,1)</f>
        <v>0</v>
      </c>
      <c r="T394" s="42" t="n">
        <f aca="false">IF(COUNTIF(Sales_Transactions!$A$2:$A$865,A394)&gt;1,1,0)</f>
        <v>0</v>
      </c>
      <c r="U394" s="42" t="n">
        <f aca="false">IF(OR(ABS(Sales_Transactions!F394*Sales_Transactions!G394-Sales_Transactions!I394)&gt;0.01,ABS(Sales_Transactions!F394*Sales_Transactions!H394-Sales_Transactions!J394)&gt;0.01,ABS(Sales_Transactions!I394-Sales_Transactions!J394-Sales_Transactions!K394)&gt;0.01),1,0)</f>
        <v>0</v>
      </c>
      <c r="V394" s="42" t="n">
        <f aca="false">IF(C394&lt;&gt;L394,1,0)</f>
        <v>0</v>
      </c>
      <c r="W394" s="42" t="n">
        <f aca="false">IF(SUM(Q394:V394)&gt;0,1,0)</f>
        <v>0</v>
      </c>
    </row>
    <row r="395" customFormat="false" ht="15" hidden="false" customHeight="false" outlineLevel="0" collapsed="false">
      <c r="A395" s="42" t="str">
        <f aca="false">Sales_Transactions!A395</f>
        <v>INV-11-034</v>
      </c>
      <c r="B395" s="42" t="str">
        <f aca="false">Sales_Transactions!B395</f>
        <v>2025-11</v>
      </c>
      <c r="C395" s="42" t="str">
        <f aca="false">Sales_Transactions!C395</f>
        <v>Actual</v>
      </c>
      <c r="D395" s="42" t="str">
        <f aca="false">Sales_Transactions!D395</f>
        <v>C022</v>
      </c>
      <c r="E395" s="42" t="str">
        <f aca="false">Sales_Transactions!E395</f>
        <v>P008</v>
      </c>
      <c r="F395" s="42" t="str">
        <f aca="false">IFERROR(INDEX(Customer_Master!$C$2:$C$49,MATCH(D395,Customer_Master!$A$2:$A$49,0)),"UNMATCHED")</f>
        <v>North</v>
      </c>
      <c r="G395" s="42" t="str">
        <f aca="false">IFERROR(INDEX(Customer_Master!$D$2:$D$49,MATCH(D395,Customer_Master!$A$2:$A$49,0)),"UNMATCHED")</f>
        <v>Distributor</v>
      </c>
      <c r="H395" s="42" t="str">
        <f aca="false">IFERROR(INDEX(Product_Master!$C$2:$C$9,MATCH(E395,Product_Master!$A$2:$A$9,0)),"UNMATCHED")</f>
        <v>Personal Care</v>
      </c>
      <c r="I395" s="42" t="str">
        <f aca="false">IFERROR(INDEX(Product_Master!$B$2:$B$9,MATCH(E395,Product_Master!$A$2:$A$9,0)),"UNMATCHED")</f>
        <v>Body Lotion</v>
      </c>
      <c r="J395" s="42" t="n">
        <f aca="false">IFERROR(INDEX(Calendar!$B$2:$B$25,MATCH(B395,Calendar!$A$2:$A$25,0)),0)</f>
        <v>2025</v>
      </c>
      <c r="K395" s="42" t="n">
        <f aca="false">IFERROR(VALUE(RIGHT(B395,2)),0)</f>
        <v>11</v>
      </c>
      <c r="L395" s="42" t="str">
        <f aca="false">IFERROR(INDEX(Calendar!$E$2:$E$25,MATCH(B395,Calendar!$A$2:$A$25,0)),"UNMATCHED")</f>
        <v>Actual</v>
      </c>
      <c r="M395" s="42" t="n">
        <f aca="false">Sales_Transactions!F395</f>
        <v>140</v>
      </c>
      <c r="N395" s="52" t="n">
        <f aca="false">Sales_Transactions!I395</f>
        <v>43169</v>
      </c>
      <c r="O395" s="52" t="n">
        <f aca="false">Sales_Transactions!J395</f>
        <v>27900.6</v>
      </c>
      <c r="P395" s="52" t="n">
        <f aca="false">Sales_Transactions!K395</f>
        <v>15268.4</v>
      </c>
      <c r="Q395" s="42" t="n">
        <f aca="false">IF(ISNUMBER(MATCH(E395,Product_Master!$A$2:$A$9,0)),0,1)</f>
        <v>0</v>
      </c>
      <c r="R395" s="42" t="n">
        <f aca="false">IF(ISNUMBER(MATCH(D395,Customer_Master!$A$2:$A$49,0)),0,1)</f>
        <v>0</v>
      </c>
      <c r="S395" s="42" t="n">
        <f aca="false">IF(ISNUMBER(MATCH(B395,Calendar!$A$2:$A$25,0)),0,1)</f>
        <v>0</v>
      </c>
      <c r="T395" s="42" t="n">
        <f aca="false">IF(COUNTIF(Sales_Transactions!$A$2:$A$865,A395)&gt;1,1,0)</f>
        <v>0</v>
      </c>
      <c r="U395" s="42" t="n">
        <f aca="false">IF(OR(ABS(Sales_Transactions!F395*Sales_Transactions!G395-Sales_Transactions!I395)&gt;0.01,ABS(Sales_Transactions!F395*Sales_Transactions!H395-Sales_Transactions!J395)&gt;0.01,ABS(Sales_Transactions!I395-Sales_Transactions!J395-Sales_Transactions!K395)&gt;0.01),1,0)</f>
        <v>0</v>
      </c>
      <c r="V395" s="42" t="n">
        <f aca="false">IF(C395&lt;&gt;L395,1,0)</f>
        <v>0</v>
      </c>
      <c r="W395" s="42" t="n">
        <f aca="false">IF(SUM(Q395:V395)&gt;0,1,0)</f>
        <v>0</v>
      </c>
    </row>
    <row r="396" customFormat="false" ht="15" hidden="false" customHeight="false" outlineLevel="0" collapsed="false">
      <c r="A396" s="42" t="str">
        <f aca="false">Sales_Transactions!A396</f>
        <v>INV-11-035</v>
      </c>
      <c r="B396" s="42" t="str">
        <f aca="false">Sales_Transactions!B396</f>
        <v>2025-11</v>
      </c>
      <c r="C396" s="42" t="str">
        <f aca="false">Sales_Transactions!C396</f>
        <v>Actual</v>
      </c>
      <c r="D396" s="42" t="str">
        <f aca="false">Sales_Transactions!D396</f>
        <v>C029</v>
      </c>
      <c r="E396" s="42" t="str">
        <f aca="false">Sales_Transactions!E396</f>
        <v>P005</v>
      </c>
      <c r="F396" s="42" t="str">
        <f aca="false">IFERROR(INDEX(Customer_Master!$C$2:$C$49,MATCH(D396,Customer_Master!$A$2:$A$49,0)),"UNMATCHED")</f>
        <v>South</v>
      </c>
      <c r="G396" s="42" t="str">
        <f aca="false">IFERROR(INDEX(Customer_Master!$D$2:$D$49,MATCH(D396,Customer_Master!$A$2:$A$49,0)),"UNMATCHED")</f>
        <v>Modern Trade</v>
      </c>
      <c r="H396" s="42" t="str">
        <f aca="false">IFERROR(INDEX(Product_Master!$C$2:$C$9,MATCH(E396,Product_Master!$A$2:$A$9,0)),"UNMATCHED")</f>
        <v>Foods</v>
      </c>
      <c r="I396" s="42" t="str">
        <f aca="false">IFERROR(INDEX(Product_Master!$B$2:$B$9,MATCH(E396,Product_Master!$A$2:$A$9,0)),"UNMATCHED")</f>
        <v>Biscuits 500g</v>
      </c>
      <c r="J396" s="42" t="n">
        <f aca="false">IFERROR(INDEX(Calendar!$B$2:$B$25,MATCH(B396,Calendar!$A$2:$A$25,0)),0)</f>
        <v>2025</v>
      </c>
      <c r="K396" s="42" t="n">
        <f aca="false">IFERROR(VALUE(RIGHT(B396,2)),0)</f>
        <v>11</v>
      </c>
      <c r="L396" s="42" t="str">
        <f aca="false">IFERROR(INDEX(Calendar!$E$2:$E$25,MATCH(B396,Calendar!$A$2:$A$25,0)),"UNMATCHED")</f>
        <v>Actual</v>
      </c>
      <c r="M396" s="42" t="n">
        <f aca="false">Sales_Transactions!F396</f>
        <v>399</v>
      </c>
      <c r="N396" s="52" t="n">
        <f aca="false">Sales_Transactions!I396</f>
        <v>39309.48</v>
      </c>
      <c r="O396" s="52" t="n">
        <f aca="false">Sales_Transactions!J396</f>
        <v>28177.38</v>
      </c>
      <c r="P396" s="52" t="n">
        <f aca="false">Sales_Transactions!K396</f>
        <v>11132.1</v>
      </c>
      <c r="Q396" s="42" t="n">
        <f aca="false">IF(ISNUMBER(MATCH(E396,Product_Master!$A$2:$A$9,0)),0,1)</f>
        <v>0</v>
      </c>
      <c r="R396" s="42" t="n">
        <f aca="false">IF(ISNUMBER(MATCH(D396,Customer_Master!$A$2:$A$49,0)),0,1)</f>
        <v>0</v>
      </c>
      <c r="S396" s="42" t="n">
        <f aca="false">IF(ISNUMBER(MATCH(B396,Calendar!$A$2:$A$25,0)),0,1)</f>
        <v>0</v>
      </c>
      <c r="T396" s="42" t="n">
        <f aca="false">IF(COUNTIF(Sales_Transactions!$A$2:$A$865,A396)&gt;1,1,0)</f>
        <v>0</v>
      </c>
      <c r="U396" s="42" t="n">
        <f aca="false">IF(OR(ABS(Sales_Transactions!F396*Sales_Transactions!G396-Sales_Transactions!I396)&gt;0.01,ABS(Sales_Transactions!F396*Sales_Transactions!H396-Sales_Transactions!J396)&gt;0.01,ABS(Sales_Transactions!I396-Sales_Transactions!J396-Sales_Transactions!K396)&gt;0.01),1,0)</f>
        <v>0</v>
      </c>
      <c r="V396" s="42" t="n">
        <f aca="false">IF(C396&lt;&gt;L396,1,0)</f>
        <v>0</v>
      </c>
      <c r="W396" s="42" t="n">
        <f aca="false">IF(SUM(Q396:V396)&gt;0,1,0)</f>
        <v>0</v>
      </c>
    </row>
    <row r="397" customFormat="false" ht="15" hidden="false" customHeight="false" outlineLevel="0" collapsed="false">
      <c r="A397" s="42" t="str">
        <f aca="false">Sales_Transactions!A397</f>
        <v>INV-11-036</v>
      </c>
      <c r="B397" s="42" t="str">
        <f aca="false">Sales_Transactions!B397</f>
        <v>2025-11</v>
      </c>
      <c r="C397" s="42" t="str">
        <f aca="false">Sales_Transactions!C397</f>
        <v>Actual</v>
      </c>
      <c r="D397" s="42" t="str">
        <f aca="false">Sales_Transactions!D397</f>
        <v>C036</v>
      </c>
      <c r="E397" s="42" t="str">
        <f aca="false">Sales_Transactions!E397</f>
        <v>P002</v>
      </c>
      <c r="F397" s="42" t="str">
        <f aca="false">IFERROR(INDEX(Customer_Master!$C$2:$C$49,MATCH(D397,Customer_Master!$A$2:$A$49,0)),"UNMATCHED")</f>
        <v>East</v>
      </c>
      <c r="G397" s="42" t="str">
        <f aca="false">IFERROR(INDEX(Customer_Master!$D$2:$D$49,MATCH(D397,Customer_Master!$A$2:$A$49,0)),"UNMATCHED")</f>
        <v>Retail</v>
      </c>
      <c r="H397" s="42" t="str">
        <f aca="false">IFERROR(INDEX(Product_Master!$C$2:$C$9,MATCH(E397,Product_Master!$A$2:$A$9,0)),"UNMATCHED")</f>
        <v>Home Care</v>
      </c>
      <c r="I397" s="42" t="str">
        <f aca="false">IFERROR(INDEX(Product_Master!$B$2:$B$9,MATCH(E397,Product_Master!$A$2:$A$9,0)),"UNMATCHED")</f>
        <v>Dishwash Gel</v>
      </c>
      <c r="J397" s="42" t="n">
        <f aca="false">IFERROR(INDEX(Calendar!$B$2:$B$25,MATCH(B397,Calendar!$A$2:$A$25,0)),0)</f>
        <v>2025</v>
      </c>
      <c r="K397" s="42" t="n">
        <f aca="false">IFERROR(VALUE(RIGHT(B397,2)),0)</f>
        <v>11</v>
      </c>
      <c r="L397" s="42" t="str">
        <f aca="false">IFERROR(INDEX(Calendar!$E$2:$E$25,MATCH(B397,Calendar!$A$2:$A$25,0)),"UNMATCHED")</f>
        <v>Actual</v>
      </c>
      <c r="M397" s="42" t="n">
        <f aca="false">Sales_Transactions!F397</f>
        <v>422</v>
      </c>
      <c r="N397" s="52" t="n">
        <f aca="false">Sales_Transactions!I397</f>
        <v>58607.36</v>
      </c>
      <c r="O397" s="52" t="n">
        <f aca="false">Sales_Transactions!J397</f>
        <v>35123.06</v>
      </c>
      <c r="P397" s="52" t="n">
        <f aca="false">Sales_Transactions!K397</f>
        <v>23484.3</v>
      </c>
      <c r="Q397" s="42" t="n">
        <f aca="false">IF(ISNUMBER(MATCH(E397,Product_Master!$A$2:$A$9,0)),0,1)</f>
        <v>0</v>
      </c>
      <c r="R397" s="42" t="n">
        <f aca="false">IF(ISNUMBER(MATCH(D397,Customer_Master!$A$2:$A$49,0)),0,1)</f>
        <v>0</v>
      </c>
      <c r="S397" s="42" t="n">
        <f aca="false">IF(ISNUMBER(MATCH(B397,Calendar!$A$2:$A$25,0)),0,1)</f>
        <v>0</v>
      </c>
      <c r="T397" s="42" t="n">
        <f aca="false">IF(COUNTIF(Sales_Transactions!$A$2:$A$865,A397)&gt;1,1,0)</f>
        <v>0</v>
      </c>
      <c r="U397" s="42" t="n">
        <f aca="false">IF(OR(ABS(Sales_Transactions!F397*Sales_Transactions!G397-Sales_Transactions!I397)&gt;0.01,ABS(Sales_Transactions!F397*Sales_Transactions!H397-Sales_Transactions!J397)&gt;0.01,ABS(Sales_Transactions!I397-Sales_Transactions!J397-Sales_Transactions!K397)&gt;0.01),1,0)</f>
        <v>0</v>
      </c>
      <c r="V397" s="42" t="n">
        <f aca="false">IF(C397&lt;&gt;L397,1,0)</f>
        <v>0</v>
      </c>
      <c r="W397" s="42" t="n">
        <f aca="false">IF(SUM(Q397:V397)&gt;0,1,0)</f>
        <v>0</v>
      </c>
    </row>
    <row r="398" customFormat="false" ht="15" hidden="false" customHeight="false" outlineLevel="0" collapsed="false">
      <c r="A398" s="42" t="str">
        <f aca="false">Sales_Transactions!A398</f>
        <v>INV-12-001</v>
      </c>
      <c r="B398" s="42" t="str">
        <f aca="false">Sales_Transactions!B398</f>
        <v>2025-12</v>
      </c>
      <c r="C398" s="42" t="str">
        <f aca="false">Sales_Transactions!C398</f>
        <v>Actual</v>
      </c>
      <c r="D398" s="42" t="str">
        <f aca="false">Sales_Transactions!D398</f>
        <v>C034</v>
      </c>
      <c r="E398" s="42" t="str">
        <f aca="false">Sales_Transactions!E398</f>
        <v>P004</v>
      </c>
      <c r="F398" s="42" t="str">
        <f aca="false">IFERROR(INDEX(Customer_Master!$C$2:$C$49,MATCH(D398,Customer_Master!$A$2:$A$49,0)),"UNMATCHED")</f>
        <v>North</v>
      </c>
      <c r="G398" s="42" t="str">
        <f aca="false">IFERROR(INDEX(Customer_Master!$D$2:$D$49,MATCH(D398,Customer_Master!$A$2:$A$49,0)),"UNMATCHED")</f>
        <v>Distributor</v>
      </c>
      <c r="H398" s="42" t="str">
        <f aca="false">IFERROR(INDEX(Product_Master!$C$2:$C$9,MATCH(E398,Product_Master!$A$2:$A$9,0)),"UNMATCHED")</f>
        <v>Personal Care</v>
      </c>
      <c r="I398" s="42" t="str">
        <f aca="false">IFERROR(INDEX(Product_Master!$B$2:$B$9,MATCH(E398,Product_Master!$A$2:$A$9,0)),"UNMATCHED")</f>
        <v>Soap 4-pack</v>
      </c>
      <c r="J398" s="42" t="n">
        <f aca="false">IFERROR(INDEX(Calendar!$B$2:$B$25,MATCH(B398,Calendar!$A$2:$A$25,0)),0)</f>
        <v>2025</v>
      </c>
      <c r="K398" s="42" t="n">
        <f aca="false">IFERROR(VALUE(RIGHT(B398,2)),0)</f>
        <v>12</v>
      </c>
      <c r="L398" s="42" t="str">
        <f aca="false">IFERROR(INDEX(Calendar!$E$2:$E$25,MATCH(B398,Calendar!$A$2:$A$25,0)),"UNMATCHED")</f>
        <v>Actual</v>
      </c>
      <c r="M398" s="42" t="n">
        <f aca="false">Sales_Transactions!F398</f>
        <v>100</v>
      </c>
      <c r="N398" s="52" t="n">
        <f aca="false">Sales_Transactions!I398</f>
        <v>15713</v>
      </c>
      <c r="O398" s="52" t="n">
        <f aca="false">Sales_Transactions!J398</f>
        <v>9768</v>
      </c>
      <c r="P398" s="52" t="n">
        <f aca="false">Sales_Transactions!K398</f>
        <v>5945</v>
      </c>
      <c r="Q398" s="42" t="n">
        <f aca="false">IF(ISNUMBER(MATCH(E398,Product_Master!$A$2:$A$9,0)),0,1)</f>
        <v>0</v>
      </c>
      <c r="R398" s="42" t="n">
        <f aca="false">IF(ISNUMBER(MATCH(D398,Customer_Master!$A$2:$A$49,0)),0,1)</f>
        <v>0</v>
      </c>
      <c r="S398" s="42" t="n">
        <f aca="false">IF(ISNUMBER(MATCH(B398,Calendar!$A$2:$A$25,0)),0,1)</f>
        <v>0</v>
      </c>
      <c r="T398" s="42" t="n">
        <f aca="false">IF(COUNTIF(Sales_Transactions!$A$2:$A$865,A398)&gt;1,1,0)</f>
        <v>0</v>
      </c>
      <c r="U398" s="42" t="n">
        <f aca="false">IF(OR(ABS(Sales_Transactions!F398*Sales_Transactions!G398-Sales_Transactions!I398)&gt;0.01,ABS(Sales_Transactions!F398*Sales_Transactions!H398-Sales_Transactions!J398)&gt;0.01,ABS(Sales_Transactions!I398-Sales_Transactions!J398-Sales_Transactions!K398)&gt;0.01),1,0)</f>
        <v>0</v>
      </c>
      <c r="V398" s="42" t="n">
        <f aca="false">IF(C398&lt;&gt;L398,1,0)</f>
        <v>0</v>
      </c>
      <c r="W398" s="42" t="n">
        <f aca="false">IF(SUM(Q398:V398)&gt;0,1,0)</f>
        <v>0</v>
      </c>
    </row>
    <row r="399" customFormat="false" ht="15" hidden="false" customHeight="false" outlineLevel="0" collapsed="false">
      <c r="A399" s="42" t="str">
        <f aca="false">Sales_Transactions!A399</f>
        <v>INV-12-002</v>
      </c>
      <c r="B399" s="42" t="str">
        <f aca="false">Sales_Transactions!B399</f>
        <v>2025-12</v>
      </c>
      <c r="C399" s="42" t="str">
        <f aca="false">Sales_Transactions!C399</f>
        <v>Actual</v>
      </c>
      <c r="D399" s="42" t="str">
        <f aca="false">Sales_Transactions!D399</f>
        <v>C041</v>
      </c>
      <c r="E399" s="42" t="str">
        <f aca="false">Sales_Transactions!E399</f>
        <v>P001</v>
      </c>
      <c r="F399" s="42" t="str">
        <f aca="false">IFERROR(INDEX(Customer_Master!$C$2:$C$49,MATCH(D399,Customer_Master!$A$2:$A$49,0)),"UNMATCHED")</f>
        <v>South</v>
      </c>
      <c r="G399" s="42" t="str">
        <f aca="false">IFERROR(INDEX(Customer_Master!$D$2:$D$49,MATCH(D399,Customer_Master!$A$2:$A$49,0)),"UNMATCHED")</f>
        <v>Modern Trade</v>
      </c>
      <c r="H399" s="42" t="str">
        <f aca="false">IFERROR(INDEX(Product_Master!$C$2:$C$9,MATCH(E399,Product_Master!$A$2:$A$9,0)),"UNMATCHED")</f>
        <v>Home Care</v>
      </c>
      <c r="I399" s="42" t="str">
        <f aca="false">IFERROR(INDEX(Product_Master!$B$2:$B$9,MATCH(E399,Product_Master!$A$2:$A$9,0)),"UNMATCHED")</f>
        <v>Detergent 1kg</v>
      </c>
      <c r="J399" s="42" t="n">
        <f aca="false">IFERROR(INDEX(Calendar!$B$2:$B$25,MATCH(B399,Calendar!$A$2:$A$25,0)),0)</f>
        <v>2025</v>
      </c>
      <c r="K399" s="42" t="n">
        <f aca="false">IFERROR(VALUE(RIGHT(B399,2)),0)</f>
        <v>12</v>
      </c>
      <c r="L399" s="42" t="str">
        <f aca="false">IFERROR(INDEX(Calendar!$E$2:$E$25,MATCH(B399,Calendar!$A$2:$A$25,0)),"UNMATCHED")</f>
        <v>Actual</v>
      </c>
      <c r="M399" s="42" t="n">
        <f aca="false">Sales_Transactions!F399</f>
        <v>290</v>
      </c>
      <c r="N399" s="52" t="n">
        <f aca="false">Sales_Transactions!I399</f>
        <v>57576.6</v>
      </c>
      <c r="O399" s="52" t="n">
        <f aca="false">Sales_Transactions!J399</f>
        <v>37244.7</v>
      </c>
      <c r="P399" s="52" t="n">
        <f aca="false">Sales_Transactions!K399</f>
        <v>20331.9</v>
      </c>
      <c r="Q399" s="42" t="n">
        <f aca="false">IF(ISNUMBER(MATCH(E399,Product_Master!$A$2:$A$9,0)),0,1)</f>
        <v>0</v>
      </c>
      <c r="R399" s="42" t="n">
        <f aca="false">IF(ISNUMBER(MATCH(D399,Customer_Master!$A$2:$A$49,0)),0,1)</f>
        <v>0</v>
      </c>
      <c r="S399" s="42" t="n">
        <f aca="false">IF(ISNUMBER(MATCH(B399,Calendar!$A$2:$A$25,0)),0,1)</f>
        <v>0</v>
      </c>
      <c r="T399" s="42" t="n">
        <f aca="false">IF(COUNTIF(Sales_Transactions!$A$2:$A$865,A399)&gt;1,1,0)</f>
        <v>0</v>
      </c>
      <c r="U399" s="42" t="n">
        <f aca="false">IF(OR(ABS(Sales_Transactions!F399*Sales_Transactions!G399-Sales_Transactions!I399)&gt;0.01,ABS(Sales_Transactions!F399*Sales_Transactions!H399-Sales_Transactions!J399)&gt;0.01,ABS(Sales_Transactions!I399-Sales_Transactions!J399-Sales_Transactions!K399)&gt;0.01),1,0)</f>
        <v>0</v>
      </c>
      <c r="V399" s="42" t="n">
        <f aca="false">IF(C399&lt;&gt;L399,1,0)</f>
        <v>0</v>
      </c>
      <c r="W399" s="42" t="n">
        <f aca="false">IF(SUM(Q399:V399)&gt;0,1,0)</f>
        <v>0</v>
      </c>
    </row>
    <row r="400" customFormat="false" ht="15" hidden="false" customHeight="false" outlineLevel="0" collapsed="false">
      <c r="A400" s="42" t="str">
        <f aca="false">Sales_Transactions!A400</f>
        <v>INV-12-003</v>
      </c>
      <c r="B400" s="42" t="str">
        <f aca="false">Sales_Transactions!B400</f>
        <v>2025-12</v>
      </c>
      <c r="C400" s="42" t="str">
        <f aca="false">Sales_Transactions!C400</f>
        <v>Actual</v>
      </c>
      <c r="D400" s="42" t="str">
        <f aca="false">Sales_Transactions!D400</f>
        <v>C048</v>
      </c>
      <c r="E400" s="42" t="str">
        <f aca="false">Sales_Transactions!E400</f>
        <v>P006</v>
      </c>
      <c r="F400" s="42" t="str">
        <f aca="false">IFERROR(INDEX(Customer_Master!$C$2:$C$49,MATCH(D400,Customer_Master!$A$2:$A$49,0)),"UNMATCHED")</f>
        <v>East</v>
      </c>
      <c r="G400" s="42" t="str">
        <f aca="false">IFERROR(INDEX(Customer_Master!$D$2:$D$49,MATCH(D400,Customer_Master!$A$2:$A$49,0)),"UNMATCHED")</f>
        <v>Retail</v>
      </c>
      <c r="H400" s="42" t="str">
        <f aca="false">IFERROR(INDEX(Product_Master!$C$2:$C$9,MATCH(E400,Product_Master!$A$2:$A$9,0)),"UNMATCHED")</f>
        <v>Foods</v>
      </c>
      <c r="I400" s="42" t="str">
        <f aca="false">IFERROR(INDEX(Product_Master!$B$2:$B$9,MATCH(E400,Product_Master!$A$2:$A$9,0)),"UNMATCHED")</f>
        <v>Breakfast Cereal</v>
      </c>
      <c r="J400" s="42" t="n">
        <f aca="false">IFERROR(INDEX(Calendar!$B$2:$B$25,MATCH(B400,Calendar!$A$2:$A$25,0)),0)</f>
        <v>2025</v>
      </c>
      <c r="K400" s="42" t="n">
        <f aca="false">IFERROR(VALUE(RIGHT(B400,2)),0)</f>
        <v>12</v>
      </c>
      <c r="L400" s="42" t="str">
        <f aca="false">IFERROR(INDEX(Calendar!$E$2:$E$25,MATCH(B400,Calendar!$A$2:$A$25,0)),"UNMATCHED")</f>
        <v>Actual</v>
      </c>
      <c r="M400" s="42" t="n">
        <f aca="false">Sales_Transactions!F400</f>
        <v>449</v>
      </c>
      <c r="N400" s="52" t="n">
        <f aca="false">Sales_Transactions!I400</f>
        <v>115442.39</v>
      </c>
      <c r="O400" s="52" t="n">
        <f aca="false">Sales_Transactions!J400</f>
        <v>67861.86</v>
      </c>
      <c r="P400" s="52" t="n">
        <f aca="false">Sales_Transactions!K400</f>
        <v>47580.53</v>
      </c>
      <c r="Q400" s="42" t="n">
        <f aca="false">IF(ISNUMBER(MATCH(E400,Product_Master!$A$2:$A$9,0)),0,1)</f>
        <v>0</v>
      </c>
      <c r="R400" s="42" t="n">
        <f aca="false">IF(ISNUMBER(MATCH(D400,Customer_Master!$A$2:$A$49,0)),0,1)</f>
        <v>0</v>
      </c>
      <c r="S400" s="42" t="n">
        <f aca="false">IF(ISNUMBER(MATCH(B400,Calendar!$A$2:$A$25,0)),0,1)</f>
        <v>0</v>
      </c>
      <c r="T400" s="42" t="n">
        <f aca="false">IF(COUNTIF(Sales_Transactions!$A$2:$A$865,A400)&gt;1,1,0)</f>
        <v>0</v>
      </c>
      <c r="U400" s="42" t="n">
        <f aca="false">IF(OR(ABS(Sales_Transactions!F400*Sales_Transactions!G400-Sales_Transactions!I400)&gt;0.01,ABS(Sales_Transactions!F400*Sales_Transactions!H400-Sales_Transactions!J400)&gt;0.01,ABS(Sales_Transactions!I400-Sales_Transactions!J400-Sales_Transactions!K400)&gt;0.01),1,0)</f>
        <v>0</v>
      </c>
      <c r="V400" s="42" t="n">
        <f aca="false">IF(C400&lt;&gt;L400,1,0)</f>
        <v>0</v>
      </c>
      <c r="W400" s="42" t="n">
        <f aca="false">IF(SUM(Q400:V400)&gt;0,1,0)</f>
        <v>0</v>
      </c>
    </row>
    <row r="401" customFormat="false" ht="15" hidden="false" customHeight="false" outlineLevel="0" collapsed="false">
      <c r="A401" s="42" t="str">
        <f aca="false">Sales_Transactions!A401</f>
        <v>INV-12-004</v>
      </c>
      <c r="B401" s="42" t="str">
        <f aca="false">Sales_Transactions!B401</f>
        <v>2025-12</v>
      </c>
      <c r="C401" s="42" t="str">
        <f aca="false">Sales_Transactions!C401</f>
        <v>Actual</v>
      </c>
      <c r="D401" s="42" t="str">
        <f aca="false">Sales_Transactions!D401</f>
        <v>C007</v>
      </c>
      <c r="E401" s="42" t="str">
        <f aca="false">Sales_Transactions!E401</f>
        <v>P003</v>
      </c>
      <c r="F401" s="42" t="str">
        <f aca="false">IFERROR(INDEX(Customer_Master!$C$2:$C$49,MATCH(D401,Customer_Master!$A$2:$A$49,0)),"UNMATCHED")</f>
        <v>West</v>
      </c>
      <c r="G401" s="42" t="str">
        <f aca="false">IFERROR(INDEX(Customer_Master!$D$2:$D$49,MATCH(D401,Customer_Master!$A$2:$A$49,0)),"UNMATCHED")</f>
        <v>Distributor</v>
      </c>
      <c r="H401" s="42" t="str">
        <f aca="false">IFERROR(INDEX(Product_Master!$C$2:$C$9,MATCH(E401,Product_Master!$A$2:$A$9,0)),"UNMATCHED")</f>
        <v>Personal Care</v>
      </c>
      <c r="I401" s="42" t="str">
        <f aca="false">IFERROR(INDEX(Product_Master!$B$2:$B$9,MATCH(E401,Product_Master!$A$2:$A$9,0)),"UNMATCHED")</f>
        <v>Shampoo 400ml</v>
      </c>
      <c r="J401" s="42" t="n">
        <f aca="false">IFERROR(INDEX(Calendar!$B$2:$B$25,MATCH(B401,Calendar!$A$2:$A$25,0)),0)</f>
        <v>2025</v>
      </c>
      <c r="K401" s="42" t="n">
        <f aca="false">IFERROR(VALUE(RIGHT(B401,2)),0)</f>
        <v>12</v>
      </c>
      <c r="L401" s="42" t="str">
        <f aca="false">IFERROR(INDEX(Calendar!$E$2:$E$25,MATCH(B401,Calendar!$A$2:$A$25,0)),"UNMATCHED")</f>
        <v>Actual</v>
      </c>
      <c r="M401" s="42" t="n">
        <f aca="false">Sales_Transactions!F401</f>
        <v>126</v>
      </c>
      <c r="N401" s="52" t="n">
        <f aca="false">Sales_Transactions!I401</f>
        <v>32875.92</v>
      </c>
      <c r="O401" s="52" t="n">
        <f aca="false">Sales_Transactions!J401</f>
        <v>21067.2</v>
      </c>
      <c r="P401" s="52" t="n">
        <f aca="false">Sales_Transactions!K401</f>
        <v>11808.72</v>
      </c>
      <c r="Q401" s="42" t="n">
        <f aca="false">IF(ISNUMBER(MATCH(E401,Product_Master!$A$2:$A$9,0)),0,1)</f>
        <v>0</v>
      </c>
      <c r="R401" s="42" t="n">
        <f aca="false">IF(ISNUMBER(MATCH(D401,Customer_Master!$A$2:$A$49,0)),0,1)</f>
        <v>0</v>
      </c>
      <c r="S401" s="42" t="n">
        <f aca="false">IF(ISNUMBER(MATCH(B401,Calendar!$A$2:$A$25,0)),0,1)</f>
        <v>0</v>
      </c>
      <c r="T401" s="42" t="n">
        <f aca="false">IF(COUNTIF(Sales_Transactions!$A$2:$A$865,A401)&gt;1,1,0)</f>
        <v>0</v>
      </c>
      <c r="U401" s="42" t="n">
        <f aca="false">IF(OR(ABS(Sales_Transactions!F401*Sales_Transactions!G401-Sales_Transactions!I401)&gt;0.01,ABS(Sales_Transactions!F401*Sales_Transactions!H401-Sales_Transactions!J401)&gt;0.01,ABS(Sales_Transactions!I401-Sales_Transactions!J401-Sales_Transactions!K401)&gt;0.01),1,0)</f>
        <v>0</v>
      </c>
      <c r="V401" s="42" t="n">
        <f aca="false">IF(C401&lt;&gt;L401,1,0)</f>
        <v>0</v>
      </c>
      <c r="W401" s="42" t="n">
        <f aca="false">IF(SUM(Q401:V401)&gt;0,1,0)</f>
        <v>0</v>
      </c>
    </row>
    <row r="402" customFormat="false" ht="15" hidden="false" customHeight="false" outlineLevel="0" collapsed="false">
      <c r="A402" s="42" t="str">
        <f aca="false">Sales_Transactions!A402</f>
        <v>INV-12-005</v>
      </c>
      <c r="B402" s="42" t="str">
        <f aca="false">Sales_Transactions!B402</f>
        <v>2025-12</v>
      </c>
      <c r="C402" s="42" t="str">
        <f aca="false">Sales_Transactions!C402</f>
        <v>Actual</v>
      </c>
      <c r="D402" s="42" t="str">
        <f aca="false">Sales_Transactions!D402</f>
        <v>C014</v>
      </c>
      <c r="E402" s="42" t="str">
        <f aca="false">Sales_Transactions!E402</f>
        <v>P008</v>
      </c>
      <c r="F402" s="42" t="str">
        <f aca="false">IFERROR(INDEX(Customer_Master!$C$2:$C$49,MATCH(D402,Customer_Master!$A$2:$A$49,0)),"UNMATCHED")</f>
        <v>North</v>
      </c>
      <c r="G402" s="42" t="str">
        <f aca="false">IFERROR(INDEX(Customer_Master!$D$2:$D$49,MATCH(D402,Customer_Master!$A$2:$A$49,0)),"UNMATCHED")</f>
        <v>Modern Trade</v>
      </c>
      <c r="H402" s="42" t="str">
        <f aca="false">IFERROR(INDEX(Product_Master!$C$2:$C$9,MATCH(E402,Product_Master!$A$2:$A$9,0)),"UNMATCHED")</f>
        <v>Personal Care</v>
      </c>
      <c r="I402" s="42" t="str">
        <f aca="false">IFERROR(INDEX(Product_Master!$B$2:$B$9,MATCH(E402,Product_Master!$A$2:$A$9,0)),"UNMATCHED")</f>
        <v>Body Lotion</v>
      </c>
      <c r="J402" s="42" t="n">
        <f aca="false">IFERROR(INDEX(Calendar!$B$2:$B$25,MATCH(B402,Calendar!$A$2:$A$25,0)),0)</f>
        <v>2025</v>
      </c>
      <c r="K402" s="42" t="n">
        <f aca="false">IFERROR(VALUE(RIGHT(B402,2)),0)</f>
        <v>12</v>
      </c>
      <c r="L402" s="42" t="str">
        <f aca="false">IFERROR(INDEX(Calendar!$E$2:$E$25,MATCH(B402,Calendar!$A$2:$A$25,0)),"UNMATCHED")</f>
        <v>Actual</v>
      </c>
      <c r="M402" s="42" t="n">
        <f aca="false">Sales_Transactions!F402</f>
        <v>149</v>
      </c>
      <c r="N402" s="52" t="n">
        <f aca="false">Sales_Transactions!I402</f>
        <v>44829.63</v>
      </c>
      <c r="O402" s="52" t="n">
        <f aca="false">Sales_Transactions!J402</f>
        <v>31181.23</v>
      </c>
      <c r="P402" s="52" t="n">
        <f aca="false">Sales_Transactions!K402</f>
        <v>13648.4</v>
      </c>
      <c r="Q402" s="42" t="n">
        <f aca="false">IF(ISNUMBER(MATCH(E402,Product_Master!$A$2:$A$9,0)),0,1)</f>
        <v>0</v>
      </c>
      <c r="R402" s="42" t="n">
        <f aca="false">IF(ISNUMBER(MATCH(D402,Customer_Master!$A$2:$A$49,0)),0,1)</f>
        <v>0</v>
      </c>
      <c r="S402" s="42" t="n">
        <f aca="false">IF(ISNUMBER(MATCH(B402,Calendar!$A$2:$A$25,0)),0,1)</f>
        <v>0</v>
      </c>
      <c r="T402" s="42" t="n">
        <f aca="false">IF(COUNTIF(Sales_Transactions!$A$2:$A$865,A402)&gt;1,1,0)</f>
        <v>0</v>
      </c>
      <c r="U402" s="42" t="n">
        <f aca="false">IF(OR(ABS(Sales_Transactions!F402*Sales_Transactions!G402-Sales_Transactions!I402)&gt;0.01,ABS(Sales_Transactions!F402*Sales_Transactions!H402-Sales_Transactions!J402)&gt;0.01,ABS(Sales_Transactions!I402-Sales_Transactions!J402-Sales_Transactions!K402)&gt;0.01),1,0)</f>
        <v>0</v>
      </c>
      <c r="V402" s="42" t="n">
        <f aca="false">IF(C402&lt;&gt;L402,1,0)</f>
        <v>0</v>
      </c>
      <c r="W402" s="42" t="n">
        <f aca="false">IF(SUM(Q402:V402)&gt;0,1,0)</f>
        <v>0</v>
      </c>
    </row>
    <row r="403" customFormat="false" ht="15" hidden="false" customHeight="false" outlineLevel="0" collapsed="false">
      <c r="A403" s="42" t="str">
        <f aca="false">Sales_Transactions!A403</f>
        <v>INV-12-006</v>
      </c>
      <c r="B403" s="42" t="str">
        <f aca="false">Sales_Transactions!B403</f>
        <v>2025-12</v>
      </c>
      <c r="C403" s="42" t="str">
        <f aca="false">Sales_Transactions!C403</f>
        <v>Actual</v>
      </c>
      <c r="D403" s="42" t="str">
        <f aca="false">Sales_Transactions!D403</f>
        <v>C021</v>
      </c>
      <c r="E403" s="42" t="str">
        <f aca="false">Sales_Transactions!E403</f>
        <v>P005</v>
      </c>
      <c r="F403" s="42" t="str">
        <f aca="false">IFERROR(INDEX(Customer_Master!$C$2:$C$49,MATCH(D403,Customer_Master!$A$2:$A$49,0)),"UNMATCHED")</f>
        <v>South</v>
      </c>
      <c r="G403" s="42" t="str">
        <f aca="false">IFERROR(INDEX(Customer_Master!$D$2:$D$49,MATCH(D403,Customer_Master!$A$2:$A$49,0)),"UNMATCHED")</f>
        <v>Retail</v>
      </c>
      <c r="H403" s="42" t="str">
        <f aca="false">IFERROR(INDEX(Product_Master!$C$2:$C$9,MATCH(E403,Product_Master!$A$2:$A$9,0)),"UNMATCHED")</f>
        <v>Foods</v>
      </c>
      <c r="I403" s="42" t="str">
        <f aca="false">IFERROR(INDEX(Product_Master!$B$2:$B$9,MATCH(E403,Product_Master!$A$2:$A$9,0)),"UNMATCHED")</f>
        <v>Biscuits 500g</v>
      </c>
      <c r="J403" s="42" t="n">
        <f aca="false">IFERROR(INDEX(Calendar!$B$2:$B$25,MATCH(B403,Calendar!$A$2:$A$25,0)),0)</f>
        <v>2025</v>
      </c>
      <c r="K403" s="42" t="n">
        <f aca="false">IFERROR(VALUE(RIGHT(B403,2)),0)</f>
        <v>12</v>
      </c>
      <c r="L403" s="42" t="str">
        <f aca="false">IFERROR(INDEX(Calendar!$E$2:$E$25,MATCH(B403,Calendar!$A$2:$A$25,0)),"UNMATCHED")</f>
        <v>Actual</v>
      </c>
      <c r="M403" s="42" t="n">
        <f aca="false">Sales_Transactions!F403</f>
        <v>365</v>
      </c>
      <c r="N403" s="52" t="n">
        <f aca="false">Sales_Transactions!I403</f>
        <v>39449.2</v>
      </c>
      <c r="O403" s="52" t="n">
        <f aca="false">Sales_Transactions!J403</f>
        <v>24593.7</v>
      </c>
      <c r="P403" s="52" t="n">
        <f aca="false">Sales_Transactions!K403</f>
        <v>14855.5</v>
      </c>
      <c r="Q403" s="42" t="n">
        <f aca="false">IF(ISNUMBER(MATCH(E403,Product_Master!$A$2:$A$9,0)),0,1)</f>
        <v>0</v>
      </c>
      <c r="R403" s="42" t="n">
        <f aca="false">IF(ISNUMBER(MATCH(D403,Customer_Master!$A$2:$A$49,0)),0,1)</f>
        <v>0</v>
      </c>
      <c r="S403" s="42" t="n">
        <f aca="false">IF(ISNUMBER(MATCH(B403,Calendar!$A$2:$A$25,0)),0,1)</f>
        <v>0</v>
      </c>
      <c r="T403" s="42" t="n">
        <f aca="false">IF(COUNTIF(Sales_Transactions!$A$2:$A$865,A403)&gt;1,1,0)</f>
        <v>0</v>
      </c>
      <c r="U403" s="42" t="n">
        <f aca="false">IF(OR(ABS(Sales_Transactions!F403*Sales_Transactions!G403-Sales_Transactions!I403)&gt;0.01,ABS(Sales_Transactions!F403*Sales_Transactions!H403-Sales_Transactions!J403)&gt;0.01,ABS(Sales_Transactions!I403-Sales_Transactions!J403-Sales_Transactions!K403)&gt;0.01),1,0)</f>
        <v>0</v>
      </c>
      <c r="V403" s="42" t="n">
        <f aca="false">IF(C403&lt;&gt;L403,1,0)</f>
        <v>0</v>
      </c>
      <c r="W403" s="42" t="n">
        <f aca="false">IF(SUM(Q403:V403)&gt;0,1,0)</f>
        <v>0</v>
      </c>
    </row>
    <row r="404" customFormat="false" ht="15" hidden="false" customHeight="false" outlineLevel="0" collapsed="false">
      <c r="A404" s="42" t="str">
        <f aca="false">Sales_Transactions!A404</f>
        <v>INV-12-007</v>
      </c>
      <c r="B404" s="42" t="str">
        <f aca="false">Sales_Transactions!B404</f>
        <v>2025-12</v>
      </c>
      <c r="C404" s="42" t="str">
        <f aca="false">Sales_Transactions!C404</f>
        <v>Actual</v>
      </c>
      <c r="D404" s="42" t="str">
        <f aca="false">Sales_Transactions!D404</f>
        <v>C028</v>
      </c>
      <c r="E404" s="42" t="str">
        <f aca="false">Sales_Transactions!E404</f>
        <v>P002</v>
      </c>
      <c r="F404" s="42" t="str">
        <f aca="false">IFERROR(INDEX(Customer_Master!$C$2:$C$49,MATCH(D404,Customer_Master!$A$2:$A$49,0)),"UNMATCHED")</f>
        <v>East</v>
      </c>
      <c r="G404" s="42" t="str">
        <f aca="false">IFERROR(INDEX(Customer_Master!$D$2:$D$49,MATCH(D404,Customer_Master!$A$2:$A$49,0)),"UNMATCHED")</f>
        <v>Distributor</v>
      </c>
      <c r="H404" s="42" t="str">
        <f aca="false">IFERROR(INDEX(Product_Master!$C$2:$C$9,MATCH(E404,Product_Master!$A$2:$A$9,0)),"UNMATCHED")</f>
        <v>Home Care</v>
      </c>
      <c r="I404" s="42" t="str">
        <f aca="false">IFERROR(INDEX(Product_Master!$B$2:$B$9,MATCH(E404,Product_Master!$A$2:$A$9,0)),"UNMATCHED")</f>
        <v>Dishwash Gel</v>
      </c>
      <c r="J404" s="42" t="n">
        <f aca="false">IFERROR(INDEX(Calendar!$B$2:$B$25,MATCH(B404,Calendar!$A$2:$A$25,0)),0)</f>
        <v>2025</v>
      </c>
      <c r="K404" s="42" t="n">
        <f aca="false">IFERROR(VALUE(RIGHT(B404,2)),0)</f>
        <v>12</v>
      </c>
      <c r="L404" s="42" t="str">
        <f aca="false">IFERROR(INDEX(Calendar!$E$2:$E$25,MATCH(B404,Calendar!$A$2:$A$25,0)),"UNMATCHED")</f>
        <v>Actual</v>
      </c>
      <c r="M404" s="42" t="n">
        <f aca="false">Sales_Transactions!F404</f>
        <v>390</v>
      </c>
      <c r="N404" s="52" t="n">
        <f aca="false">Sales_Transactions!I404</f>
        <v>54229.5</v>
      </c>
      <c r="O404" s="52" t="n">
        <f aca="false">Sales_Transactions!J404</f>
        <v>32440.2</v>
      </c>
      <c r="P404" s="52" t="n">
        <f aca="false">Sales_Transactions!K404</f>
        <v>21789.3</v>
      </c>
      <c r="Q404" s="42" t="n">
        <f aca="false">IF(ISNUMBER(MATCH(E404,Product_Master!$A$2:$A$9,0)),0,1)</f>
        <v>0</v>
      </c>
      <c r="R404" s="42" t="n">
        <f aca="false">IF(ISNUMBER(MATCH(D404,Customer_Master!$A$2:$A$49,0)),0,1)</f>
        <v>0</v>
      </c>
      <c r="S404" s="42" t="n">
        <f aca="false">IF(ISNUMBER(MATCH(B404,Calendar!$A$2:$A$25,0)),0,1)</f>
        <v>0</v>
      </c>
      <c r="T404" s="42" t="n">
        <f aca="false">IF(COUNTIF(Sales_Transactions!$A$2:$A$865,A404)&gt;1,1,0)</f>
        <v>0</v>
      </c>
      <c r="U404" s="42" t="n">
        <f aca="false">IF(OR(ABS(Sales_Transactions!F404*Sales_Transactions!G404-Sales_Transactions!I404)&gt;0.01,ABS(Sales_Transactions!F404*Sales_Transactions!H404-Sales_Transactions!J404)&gt;0.01,ABS(Sales_Transactions!I404-Sales_Transactions!J404-Sales_Transactions!K404)&gt;0.01),1,0)</f>
        <v>0</v>
      </c>
      <c r="V404" s="42" t="n">
        <f aca="false">IF(C404&lt;&gt;L404,1,0)</f>
        <v>0</v>
      </c>
      <c r="W404" s="42" t="n">
        <f aca="false">IF(SUM(Q404:V404)&gt;0,1,0)</f>
        <v>0</v>
      </c>
    </row>
    <row r="405" customFormat="false" ht="15" hidden="false" customHeight="false" outlineLevel="0" collapsed="false">
      <c r="A405" s="42" t="str">
        <f aca="false">Sales_Transactions!A405</f>
        <v>INV-12-008</v>
      </c>
      <c r="B405" s="42" t="str">
        <f aca="false">Sales_Transactions!B405</f>
        <v>2025-12</v>
      </c>
      <c r="C405" s="42" t="str">
        <f aca="false">Sales_Transactions!C405</f>
        <v>Actual</v>
      </c>
      <c r="D405" s="42" t="str">
        <f aca="false">Sales_Transactions!D405</f>
        <v>C035</v>
      </c>
      <c r="E405" s="42" t="str">
        <f aca="false">Sales_Transactions!E405</f>
        <v>P007</v>
      </c>
      <c r="F405" s="42" t="str">
        <f aca="false">IFERROR(INDEX(Customer_Master!$C$2:$C$49,MATCH(D405,Customer_Master!$A$2:$A$49,0)),"UNMATCHED")</f>
        <v>West</v>
      </c>
      <c r="G405" s="42" t="str">
        <f aca="false">IFERROR(INDEX(Customer_Master!$D$2:$D$49,MATCH(D405,Customer_Master!$A$2:$A$49,0)),"UNMATCHED")</f>
        <v>Modern Trade</v>
      </c>
      <c r="H405" s="42" t="str">
        <f aca="false">IFERROR(INDEX(Product_Master!$C$2:$C$9,MATCH(E405,Product_Master!$A$2:$A$9,0)),"UNMATCHED")</f>
        <v>Home Care</v>
      </c>
      <c r="I405" s="42" t="str">
        <f aca="false">IFERROR(INDEX(Product_Master!$B$2:$B$9,MATCH(E405,Product_Master!$A$2:$A$9,0)),"UNMATCHED")</f>
        <v>Floor Cleaner</v>
      </c>
      <c r="J405" s="42" t="n">
        <f aca="false">IFERROR(INDEX(Calendar!$B$2:$B$25,MATCH(B405,Calendar!$A$2:$A$25,0)),0)</f>
        <v>2025</v>
      </c>
      <c r="K405" s="42" t="n">
        <f aca="false">IFERROR(VALUE(RIGHT(B405,2)),0)</f>
        <v>12</v>
      </c>
      <c r="L405" s="42" t="str">
        <f aca="false">IFERROR(INDEX(Calendar!$E$2:$E$25,MATCH(B405,Calendar!$A$2:$A$25,0)),"UNMATCHED")</f>
        <v>Actual</v>
      </c>
      <c r="M405" s="42" t="n">
        <f aca="false">Sales_Transactions!F405</f>
        <v>394</v>
      </c>
      <c r="N405" s="52" t="n">
        <f aca="false">Sales_Transactions!I405</f>
        <v>70813.62</v>
      </c>
      <c r="O405" s="52" t="n">
        <f aca="false">Sales_Transactions!J405</f>
        <v>46562.92</v>
      </c>
      <c r="P405" s="52" t="n">
        <f aca="false">Sales_Transactions!K405</f>
        <v>24250.7</v>
      </c>
      <c r="Q405" s="42" t="n">
        <f aca="false">IF(ISNUMBER(MATCH(E405,Product_Master!$A$2:$A$9,0)),0,1)</f>
        <v>0</v>
      </c>
      <c r="R405" s="42" t="n">
        <f aca="false">IF(ISNUMBER(MATCH(D405,Customer_Master!$A$2:$A$49,0)),0,1)</f>
        <v>0</v>
      </c>
      <c r="S405" s="42" t="n">
        <f aca="false">IF(ISNUMBER(MATCH(B405,Calendar!$A$2:$A$25,0)),0,1)</f>
        <v>0</v>
      </c>
      <c r="T405" s="42" t="n">
        <f aca="false">IF(COUNTIF(Sales_Transactions!$A$2:$A$865,A405)&gt;1,1,0)</f>
        <v>0</v>
      </c>
      <c r="U405" s="42" t="n">
        <f aca="false">IF(OR(ABS(Sales_Transactions!F405*Sales_Transactions!G405-Sales_Transactions!I405)&gt;0.01,ABS(Sales_Transactions!F405*Sales_Transactions!H405-Sales_Transactions!J405)&gt;0.01,ABS(Sales_Transactions!I405-Sales_Transactions!J405-Sales_Transactions!K405)&gt;0.01),1,0)</f>
        <v>0</v>
      </c>
      <c r="V405" s="42" t="n">
        <f aca="false">IF(C405&lt;&gt;L405,1,0)</f>
        <v>0</v>
      </c>
      <c r="W405" s="42" t="n">
        <f aca="false">IF(SUM(Q405:V405)&gt;0,1,0)</f>
        <v>0</v>
      </c>
    </row>
    <row r="406" customFormat="false" ht="15" hidden="false" customHeight="false" outlineLevel="0" collapsed="false">
      <c r="A406" s="42" t="str">
        <f aca="false">Sales_Transactions!A406</f>
        <v>INV-12-009</v>
      </c>
      <c r="B406" s="42" t="str">
        <f aca="false">Sales_Transactions!B406</f>
        <v>2025-12</v>
      </c>
      <c r="C406" s="42" t="str">
        <f aca="false">Sales_Transactions!C406</f>
        <v>Actual</v>
      </c>
      <c r="D406" s="42" t="str">
        <f aca="false">Sales_Transactions!D406</f>
        <v>C042</v>
      </c>
      <c r="E406" s="42" t="str">
        <f aca="false">Sales_Transactions!E406</f>
        <v>P004</v>
      </c>
      <c r="F406" s="42" t="str">
        <f aca="false">IFERROR(INDEX(Customer_Master!$C$2:$C$49,MATCH(D406,Customer_Master!$A$2:$A$49,0)),"UNMATCHED")</f>
        <v>North</v>
      </c>
      <c r="G406" s="42" t="str">
        <f aca="false">IFERROR(INDEX(Customer_Master!$D$2:$D$49,MATCH(D406,Customer_Master!$A$2:$A$49,0)),"UNMATCHED")</f>
        <v>Retail</v>
      </c>
      <c r="H406" s="42" t="str">
        <f aca="false">IFERROR(INDEX(Product_Master!$C$2:$C$9,MATCH(E406,Product_Master!$A$2:$A$9,0)),"UNMATCHED")</f>
        <v>Personal Care</v>
      </c>
      <c r="I406" s="42" t="str">
        <f aca="false">IFERROR(INDEX(Product_Master!$B$2:$B$9,MATCH(E406,Product_Master!$A$2:$A$9,0)),"UNMATCHED")</f>
        <v>Soap 4-pack</v>
      </c>
      <c r="J406" s="42" t="n">
        <f aca="false">IFERROR(INDEX(Calendar!$B$2:$B$25,MATCH(B406,Calendar!$A$2:$A$25,0)),0)</f>
        <v>2025</v>
      </c>
      <c r="K406" s="42" t="n">
        <f aca="false">IFERROR(VALUE(RIGHT(B406,2)),0)</f>
        <v>12</v>
      </c>
      <c r="L406" s="42" t="str">
        <f aca="false">IFERROR(INDEX(Calendar!$E$2:$E$25,MATCH(B406,Calendar!$A$2:$A$25,0)),"UNMATCHED")</f>
        <v>Actual</v>
      </c>
      <c r="M406" s="42" t="n">
        <f aca="false">Sales_Transactions!F406</f>
        <v>143</v>
      </c>
      <c r="N406" s="52" t="n">
        <f aca="false">Sales_Transactions!I406</f>
        <v>25046.45</v>
      </c>
      <c r="O406" s="52" t="n">
        <f aca="false">Sales_Transactions!J406</f>
        <v>14251.38</v>
      </c>
      <c r="P406" s="52" t="n">
        <f aca="false">Sales_Transactions!K406</f>
        <v>10795.07</v>
      </c>
      <c r="Q406" s="42" t="n">
        <f aca="false">IF(ISNUMBER(MATCH(E406,Product_Master!$A$2:$A$9,0)),0,1)</f>
        <v>0</v>
      </c>
      <c r="R406" s="42" t="n">
        <f aca="false">IF(ISNUMBER(MATCH(D406,Customer_Master!$A$2:$A$49,0)),0,1)</f>
        <v>0</v>
      </c>
      <c r="S406" s="42" t="n">
        <f aca="false">IF(ISNUMBER(MATCH(B406,Calendar!$A$2:$A$25,0)),0,1)</f>
        <v>0</v>
      </c>
      <c r="T406" s="42" t="n">
        <f aca="false">IF(COUNTIF(Sales_Transactions!$A$2:$A$865,A406)&gt;1,1,0)</f>
        <v>0</v>
      </c>
      <c r="U406" s="42" t="n">
        <f aca="false">IF(OR(ABS(Sales_Transactions!F406*Sales_Transactions!G406-Sales_Transactions!I406)&gt;0.01,ABS(Sales_Transactions!F406*Sales_Transactions!H406-Sales_Transactions!J406)&gt;0.01,ABS(Sales_Transactions!I406-Sales_Transactions!J406-Sales_Transactions!K406)&gt;0.01),1,0)</f>
        <v>0</v>
      </c>
      <c r="V406" s="42" t="n">
        <f aca="false">IF(C406&lt;&gt;L406,1,0)</f>
        <v>0</v>
      </c>
      <c r="W406" s="42" t="n">
        <f aca="false">IF(SUM(Q406:V406)&gt;0,1,0)</f>
        <v>0</v>
      </c>
    </row>
    <row r="407" customFormat="false" ht="15" hidden="false" customHeight="false" outlineLevel="0" collapsed="false">
      <c r="A407" s="42" t="str">
        <f aca="false">Sales_Transactions!A407</f>
        <v>INV-12-010</v>
      </c>
      <c r="B407" s="42" t="str">
        <f aca="false">Sales_Transactions!B407</f>
        <v>2025-12</v>
      </c>
      <c r="C407" s="42" t="str">
        <f aca="false">Sales_Transactions!C407</f>
        <v>Actual</v>
      </c>
      <c r="D407" s="42" t="str">
        <f aca="false">Sales_Transactions!D407</f>
        <v>C001</v>
      </c>
      <c r="E407" s="42" t="str">
        <f aca="false">Sales_Transactions!E407</f>
        <v>P001</v>
      </c>
      <c r="F407" s="42" t="str">
        <f aca="false">IFERROR(INDEX(Customer_Master!$C$2:$C$49,MATCH(D407,Customer_Master!$A$2:$A$49,0)),"UNMATCHED")</f>
        <v>South</v>
      </c>
      <c r="G407" s="42" t="str">
        <f aca="false">IFERROR(INDEX(Customer_Master!$D$2:$D$49,MATCH(D407,Customer_Master!$A$2:$A$49,0)),"UNMATCHED")</f>
        <v>Distributor</v>
      </c>
      <c r="H407" s="42" t="str">
        <f aca="false">IFERROR(INDEX(Product_Master!$C$2:$C$9,MATCH(E407,Product_Master!$A$2:$A$9,0)),"UNMATCHED")</f>
        <v>Home Care</v>
      </c>
      <c r="I407" s="42" t="str">
        <f aca="false">IFERROR(INDEX(Product_Master!$B$2:$B$9,MATCH(E407,Product_Master!$A$2:$A$9,0)),"UNMATCHED")</f>
        <v>Detergent 1kg</v>
      </c>
      <c r="J407" s="42" t="n">
        <f aca="false">IFERROR(INDEX(Calendar!$B$2:$B$25,MATCH(B407,Calendar!$A$2:$A$25,0)),0)</f>
        <v>2025</v>
      </c>
      <c r="K407" s="42" t="n">
        <f aca="false">IFERROR(VALUE(RIGHT(B407,2)),0)</f>
        <v>12</v>
      </c>
      <c r="L407" s="42" t="str">
        <f aca="false">IFERROR(INDEX(Calendar!$E$2:$E$25,MATCH(B407,Calendar!$A$2:$A$25,0)),"UNMATCHED")</f>
        <v>Actual</v>
      </c>
      <c r="M407" s="42" t="n">
        <f aca="false">Sales_Transactions!F407</f>
        <v>367</v>
      </c>
      <c r="N407" s="52" t="n">
        <f aca="false">Sales_Transactions!I407</f>
        <v>75814.86</v>
      </c>
      <c r="O407" s="52" t="n">
        <f aca="false">Sales_Transactions!J407</f>
        <v>47757.71</v>
      </c>
      <c r="P407" s="52" t="n">
        <f aca="false">Sales_Transactions!K407</f>
        <v>28057.15</v>
      </c>
      <c r="Q407" s="42" t="n">
        <f aca="false">IF(ISNUMBER(MATCH(E407,Product_Master!$A$2:$A$9,0)),0,1)</f>
        <v>0</v>
      </c>
      <c r="R407" s="42" t="n">
        <f aca="false">IF(ISNUMBER(MATCH(D407,Customer_Master!$A$2:$A$49,0)),0,1)</f>
        <v>0</v>
      </c>
      <c r="S407" s="42" t="n">
        <f aca="false">IF(ISNUMBER(MATCH(B407,Calendar!$A$2:$A$25,0)),0,1)</f>
        <v>0</v>
      </c>
      <c r="T407" s="42" t="n">
        <f aca="false">IF(COUNTIF(Sales_Transactions!$A$2:$A$865,A407)&gt;1,1,0)</f>
        <v>0</v>
      </c>
      <c r="U407" s="42" t="n">
        <f aca="false">IF(OR(ABS(Sales_Transactions!F407*Sales_Transactions!G407-Sales_Transactions!I407)&gt;0.01,ABS(Sales_Transactions!F407*Sales_Transactions!H407-Sales_Transactions!J407)&gt;0.01,ABS(Sales_Transactions!I407-Sales_Transactions!J407-Sales_Transactions!K407)&gt;0.01),1,0)</f>
        <v>0</v>
      </c>
      <c r="V407" s="42" t="n">
        <f aca="false">IF(C407&lt;&gt;L407,1,0)</f>
        <v>0</v>
      </c>
      <c r="W407" s="42" t="n">
        <f aca="false">IF(SUM(Q407:V407)&gt;0,1,0)</f>
        <v>0</v>
      </c>
    </row>
    <row r="408" customFormat="false" ht="15" hidden="false" customHeight="false" outlineLevel="0" collapsed="false">
      <c r="A408" s="42" t="str">
        <f aca="false">Sales_Transactions!A408</f>
        <v>INV-12-011</v>
      </c>
      <c r="B408" s="42" t="str">
        <f aca="false">Sales_Transactions!B408</f>
        <v>2025-12</v>
      </c>
      <c r="C408" s="42" t="str">
        <f aca="false">Sales_Transactions!C408</f>
        <v>Actual</v>
      </c>
      <c r="D408" s="42" t="str">
        <f aca="false">Sales_Transactions!D408</f>
        <v>C008</v>
      </c>
      <c r="E408" s="42" t="str">
        <f aca="false">Sales_Transactions!E408</f>
        <v>P006</v>
      </c>
      <c r="F408" s="42" t="str">
        <f aca="false">IFERROR(INDEX(Customer_Master!$C$2:$C$49,MATCH(D408,Customer_Master!$A$2:$A$49,0)),"UNMATCHED")</f>
        <v>East</v>
      </c>
      <c r="G408" s="42" t="str">
        <f aca="false">IFERROR(INDEX(Customer_Master!$D$2:$D$49,MATCH(D408,Customer_Master!$A$2:$A$49,0)),"UNMATCHED")</f>
        <v>Modern Trade</v>
      </c>
      <c r="H408" s="42" t="str">
        <f aca="false">IFERROR(INDEX(Product_Master!$C$2:$C$9,MATCH(E408,Product_Master!$A$2:$A$9,0)),"UNMATCHED")</f>
        <v>Foods</v>
      </c>
      <c r="I408" s="42" t="str">
        <f aca="false">IFERROR(INDEX(Product_Master!$B$2:$B$9,MATCH(E408,Product_Master!$A$2:$A$9,0)),"UNMATCHED")</f>
        <v>Breakfast Cereal</v>
      </c>
      <c r="J408" s="42" t="n">
        <f aca="false">IFERROR(INDEX(Calendar!$B$2:$B$25,MATCH(B408,Calendar!$A$2:$A$25,0)),0)</f>
        <v>2025</v>
      </c>
      <c r="K408" s="42" t="n">
        <f aca="false">IFERROR(VALUE(RIGHT(B408,2)),0)</f>
        <v>12</v>
      </c>
      <c r="L408" s="42" t="str">
        <f aca="false">IFERROR(INDEX(Calendar!$E$2:$E$25,MATCH(B408,Calendar!$A$2:$A$25,0)),"UNMATCHED")</f>
        <v>Actual</v>
      </c>
      <c r="M408" s="42" t="n">
        <f aca="false">Sales_Transactions!F408</f>
        <v>316</v>
      </c>
      <c r="N408" s="52" t="n">
        <f aca="false">Sales_Transactions!I408</f>
        <v>81019.24</v>
      </c>
      <c r="O408" s="52" t="n">
        <f aca="false">Sales_Transactions!J408</f>
        <v>49773.16</v>
      </c>
      <c r="P408" s="52" t="n">
        <f aca="false">Sales_Transactions!K408</f>
        <v>31246.08</v>
      </c>
      <c r="Q408" s="42" t="n">
        <f aca="false">IF(ISNUMBER(MATCH(E408,Product_Master!$A$2:$A$9,0)),0,1)</f>
        <v>0</v>
      </c>
      <c r="R408" s="42" t="n">
        <f aca="false">IF(ISNUMBER(MATCH(D408,Customer_Master!$A$2:$A$49,0)),0,1)</f>
        <v>0</v>
      </c>
      <c r="S408" s="42" t="n">
        <f aca="false">IF(ISNUMBER(MATCH(B408,Calendar!$A$2:$A$25,0)),0,1)</f>
        <v>0</v>
      </c>
      <c r="T408" s="42" t="n">
        <f aca="false">IF(COUNTIF(Sales_Transactions!$A$2:$A$865,A408)&gt;1,1,0)</f>
        <v>0</v>
      </c>
      <c r="U408" s="42" t="n">
        <f aca="false">IF(OR(ABS(Sales_Transactions!F408*Sales_Transactions!G408-Sales_Transactions!I408)&gt;0.01,ABS(Sales_Transactions!F408*Sales_Transactions!H408-Sales_Transactions!J408)&gt;0.01,ABS(Sales_Transactions!I408-Sales_Transactions!J408-Sales_Transactions!K408)&gt;0.01),1,0)</f>
        <v>0</v>
      </c>
      <c r="V408" s="42" t="n">
        <f aca="false">IF(C408&lt;&gt;L408,1,0)</f>
        <v>0</v>
      </c>
      <c r="W408" s="42" t="n">
        <f aca="false">IF(SUM(Q408:V408)&gt;0,1,0)</f>
        <v>0</v>
      </c>
    </row>
    <row r="409" customFormat="false" ht="15" hidden="false" customHeight="false" outlineLevel="0" collapsed="false">
      <c r="A409" s="42" t="str">
        <f aca="false">Sales_Transactions!A409</f>
        <v>INV-12-012</v>
      </c>
      <c r="B409" s="42" t="str">
        <f aca="false">Sales_Transactions!B409</f>
        <v>2025-12</v>
      </c>
      <c r="C409" s="42" t="str">
        <f aca="false">Sales_Transactions!C409</f>
        <v>Actual</v>
      </c>
      <c r="D409" s="42" t="str">
        <f aca="false">Sales_Transactions!D409</f>
        <v>C015</v>
      </c>
      <c r="E409" s="42" t="str">
        <f aca="false">Sales_Transactions!E409</f>
        <v>P003</v>
      </c>
      <c r="F409" s="42" t="str">
        <f aca="false">IFERROR(INDEX(Customer_Master!$C$2:$C$49,MATCH(D409,Customer_Master!$A$2:$A$49,0)),"UNMATCHED")</f>
        <v>West</v>
      </c>
      <c r="G409" s="42" t="str">
        <f aca="false">IFERROR(INDEX(Customer_Master!$D$2:$D$49,MATCH(D409,Customer_Master!$A$2:$A$49,0)),"UNMATCHED")</f>
        <v>Retail</v>
      </c>
      <c r="H409" s="42" t="str">
        <f aca="false">IFERROR(INDEX(Product_Master!$C$2:$C$9,MATCH(E409,Product_Master!$A$2:$A$9,0)),"UNMATCHED")</f>
        <v>Personal Care</v>
      </c>
      <c r="I409" s="42" t="str">
        <f aca="false">IFERROR(INDEX(Product_Master!$B$2:$B$9,MATCH(E409,Product_Master!$A$2:$A$9,0)),"UNMATCHED")</f>
        <v>Shampoo 400ml</v>
      </c>
      <c r="J409" s="42" t="n">
        <f aca="false">IFERROR(INDEX(Calendar!$B$2:$B$25,MATCH(B409,Calendar!$A$2:$A$25,0)),0)</f>
        <v>2025</v>
      </c>
      <c r="K409" s="42" t="n">
        <f aca="false">IFERROR(VALUE(RIGHT(B409,2)),0)</f>
        <v>12</v>
      </c>
      <c r="L409" s="42" t="str">
        <f aca="false">IFERROR(INDEX(Calendar!$E$2:$E$25,MATCH(B409,Calendar!$A$2:$A$25,0)),"UNMATCHED")</f>
        <v>Actual</v>
      </c>
      <c r="M409" s="42" t="n">
        <f aca="false">Sales_Transactions!F409</f>
        <v>317</v>
      </c>
      <c r="N409" s="52" t="n">
        <f aca="false">Sales_Transactions!I409</f>
        <v>83596.07</v>
      </c>
      <c r="O409" s="52" t="n">
        <f aca="false">Sales_Transactions!J409</f>
        <v>56784.21</v>
      </c>
      <c r="P409" s="52" t="n">
        <f aca="false">Sales_Transactions!K409</f>
        <v>26811.86</v>
      </c>
      <c r="Q409" s="42" t="n">
        <f aca="false">IF(ISNUMBER(MATCH(E409,Product_Master!$A$2:$A$9,0)),0,1)</f>
        <v>0</v>
      </c>
      <c r="R409" s="42" t="n">
        <f aca="false">IF(ISNUMBER(MATCH(D409,Customer_Master!$A$2:$A$49,0)),0,1)</f>
        <v>0</v>
      </c>
      <c r="S409" s="42" t="n">
        <f aca="false">IF(ISNUMBER(MATCH(B409,Calendar!$A$2:$A$25,0)),0,1)</f>
        <v>0</v>
      </c>
      <c r="T409" s="42" t="n">
        <f aca="false">IF(COUNTIF(Sales_Transactions!$A$2:$A$865,A409)&gt;1,1,0)</f>
        <v>0</v>
      </c>
      <c r="U409" s="42" t="n">
        <f aca="false">IF(OR(ABS(Sales_Transactions!F409*Sales_Transactions!G409-Sales_Transactions!I409)&gt;0.01,ABS(Sales_Transactions!F409*Sales_Transactions!H409-Sales_Transactions!J409)&gt;0.01,ABS(Sales_Transactions!I409-Sales_Transactions!J409-Sales_Transactions!K409)&gt;0.01),1,0)</f>
        <v>0</v>
      </c>
      <c r="V409" s="42" t="n">
        <f aca="false">IF(C409&lt;&gt;L409,1,0)</f>
        <v>0</v>
      </c>
      <c r="W409" s="42" t="n">
        <f aca="false">IF(SUM(Q409:V409)&gt;0,1,0)</f>
        <v>0</v>
      </c>
    </row>
    <row r="410" customFormat="false" ht="15" hidden="false" customHeight="false" outlineLevel="0" collapsed="false">
      <c r="A410" s="42" t="str">
        <f aca="false">Sales_Transactions!A410</f>
        <v>INV-12-013</v>
      </c>
      <c r="B410" s="42" t="str">
        <f aca="false">Sales_Transactions!B410</f>
        <v>2025-12</v>
      </c>
      <c r="C410" s="42" t="str">
        <f aca="false">Sales_Transactions!C410</f>
        <v>Actual</v>
      </c>
      <c r="D410" s="42" t="str">
        <f aca="false">Sales_Transactions!D410</f>
        <v>C022</v>
      </c>
      <c r="E410" s="42" t="str">
        <f aca="false">Sales_Transactions!E410</f>
        <v>P008</v>
      </c>
      <c r="F410" s="42" t="str">
        <f aca="false">IFERROR(INDEX(Customer_Master!$C$2:$C$49,MATCH(D410,Customer_Master!$A$2:$A$49,0)),"UNMATCHED")</f>
        <v>North</v>
      </c>
      <c r="G410" s="42" t="str">
        <f aca="false">IFERROR(INDEX(Customer_Master!$D$2:$D$49,MATCH(D410,Customer_Master!$A$2:$A$49,0)),"UNMATCHED")</f>
        <v>Distributor</v>
      </c>
      <c r="H410" s="42" t="str">
        <f aca="false">IFERROR(INDEX(Product_Master!$C$2:$C$9,MATCH(E410,Product_Master!$A$2:$A$9,0)),"UNMATCHED")</f>
        <v>Personal Care</v>
      </c>
      <c r="I410" s="42" t="str">
        <f aca="false">IFERROR(INDEX(Product_Master!$B$2:$B$9,MATCH(E410,Product_Master!$A$2:$A$9,0)),"UNMATCHED")</f>
        <v>Body Lotion</v>
      </c>
      <c r="J410" s="42" t="n">
        <f aca="false">IFERROR(INDEX(Calendar!$B$2:$B$25,MATCH(B410,Calendar!$A$2:$A$25,0)),0)</f>
        <v>2025</v>
      </c>
      <c r="K410" s="42" t="n">
        <f aca="false">IFERROR(VALUE(RIGHT(B410,2)),0)</f>
        <v>12</v>
      </c>
      <c r="L410" s="42" t="str">
        <f aca="false">IFERROR(INDEX(Calendar!$E$2:$E$25,MATCH(B410,Calendar!$A$2:$A$25,0)),"UNMATCHED")</f>
        <v>Actual</v>
      </c>
      <c r="M410" s="42" t="n">
        <f aca="false">Sales_Transactions!F410</f>
        <v>245</v>
      </c>
      <c r="N410" s="52" t="n">
        <f aca="false">Sales_Transactions!I410</f>
        <v>75283.6</v>
      </c>
      <c r="O410" s="52" t="n">
        <f aca="false">Sales_Transactions!J410</f>
        <v>51459.8</v>
      </c>
      <c r="P410" s="52" t="n">
        <f aca="false">Sales_Transactions!K410</f>
        <v>23823.8</v>
      </c>
      <c r="Q410" s="42" t="n">
        <f aca="false">IF(ISNUMBER(MATCH(E410,Product_Master!$A$2:$A$9,0)),0,1)</f>
        <v>0</v>
      </c>
      <c r="R410" s="42" t="n">
        <f aca="false">IF(ISNUMBER(MATCH(D410,Customer_Master!$A$2:$A$49,0)),0,1)</f>
        <v>0</v>
      </c>
      <c r="S410" s="42" t="n">
        <f aca="false">IF(ISNUMBER(MATCH(B410,Calendar!$A$2:$A$25,0)),0,1)</f>
        <v>0</v>
      </c>
      <c r="T410" s="42" t="n">
        <f aca="false">IF(COUNTIF(Sales_Transactions!$A$2:$A$865,A410)&gt;1,1,0)</f>
        <v>0</v>
      </c>
      <c r="U410" s="42" t="n">
        <f aca="false">IF(OR(ABS(Sales_Transactions!F410*Sales_Transactions!G410-Sales_Transactions!I410)&gt;0.01,ABS(Sales_Transactions!F410*Sales_Transactions!H410-Sales_Transactions!J410)&gt;0.01,ABS(Sales_Transactions!I410-Sales_Transactions!J410-Sales_Transactions!K410)&gt;0.01),1,0)</f>
        <v>0</v>
      </c>
      <c r="V410" s="42" t="n">
        <f aca="false">IF(C410&lt;&gt;L410,1,0)</f>
        <v>0</v>
      </c>
      <c r="W410" s="42" t="n">
        <f aca="false">IF(SUM(Q410:V410)&gt;0,1,0)</f>
        <v>0</v>
      </c>
    </row>
    <row r="411" customFormat="false" ht="15" hidden="false" customHeight="false" outlineLevel="0" collapsed="false">
      <c r="A411" s="42" t="str">
        <f aca="false">Sales_Transactions!A411</f>
        <v>INV-12-014</v>
      </c>
      <c r="B411" s="42" t="str">
        <f aca="false">Sales_Transactions!B411</f>
        <v>2025-12</v>
      </c>
      <c r="C411" s="42" t="str">
        <f aca="false">Sales_Transactions!C411</f>
        <v>Actual</v>
      </c>
      <c r="D411" s="42" t="str">
        <f aca="false">Sales_Transactions!D411</f>
        <v>C029</v>
      </c>
      <c r="E411" s="42" t="str">
        <f aca="false">Sales_Transactions!E411</f>
        <v>P005</v>
      </c>
      <c r="F411" s="42" t="str">
        <f aca="false">IFERROR(INDEX(Customer_Master!$C$2:$C$49,MATCH(D411,Customer_Master!$A$2:$A$49,0)),"UNMATCHED")</f>
        <v>South</v>
      </c>
      <c r="G411" s="42" t="str">
        <f aca="false">IFERROR(INDEX(Customer_Master!$D$2:$D$49,MATCH(D411,Customer_Master!$A$2:$A$49,0)),"UNMATCHED")</f>
        <v>Modern Trade</v>
      </c>
      <c r="H411" s="42" t="str">
        <f aca="false">IFERROR(INDEX(Product_Master!$C$2:$C$9,MATCH(E411,Product_Master!$A$2:$A$9,0)),"UNMATCHED")</f>
        <v>Foods</v>
      </c>
      <c r="I411" s="42" t="str">
        <f aca="false">IFERROR(INDEX(Product_Master!$B$2:$B$9,MATCH(E411,Product_Master!$A$2:$A$9,0)),"UNMATCHED")</f>
        <v>Biscuits 500g</v>
      </c>
      <c r="J411" s="42" t="n">
        <f aca="false">IFERROR(INDEX(Calendar!$B$2:$B$25,MATCH(B411,Calendar!$A$2:$A$25,0)),0)</f>
        <v>2025</v>
      </c>
      <c r="K411" s="42" t="n">
        <f aca="false">IFERROR(VALUE(RIGHT(B411,2)),0)</f>
        <v>12</v>
      </c>
      <c r="L411" s="42" t="str">
        <f aca="false">IFERROR(INDEX(Calendar!$E$2:$E$25,MATCH(B411,Calendar!$A$2:$A$25,0)),"UNMATCHED")</f>
        <v>Actual</v>
      </c>
      <c r="M411" s="42" t="n">
        <f aca="false">Sales_Transactions!F411</f>
        <v>276</v>
      </c>
      <c r="N411" s="52" t="n">
        <f aca="false">Sales_Transactions!I411</f>
        <v>30785.04</v>
      </c>
      <c r="O411" s="52" t="n">
        <f aca="false">Sales_Transactions!J411</f>
        <v>19275.84</v>
      </c>
      <c r="P411" s="52" t="n">
        <f aca="false">Sales_Transactions!K411</f>
        <v>11509.2</v>
      </c>
      <c r="Q411" s="42" t="n">
        <f aca="false">IF(ISNUMBER(MATCH(E411,Product_Master!$A$2:$A$9,0)),0,1)</f>
        <v>0</v>
      </c>
      <c r="R411" s="42" t="n">
        <f aca="false">IF(ISNUMBER(MATCH(D411,Customer_Master!$A$2:$A$49,0)),0,1)</f>
        <v>0</v>
      </c>
      <c r="S411" s="42" t="n">
        <f aca="false">IF(ISNUMBER(MATCH(B411,Calendar!$A$2:$A$25,0)),0,1)</f>
        <v>0</v>
      </c>
      <c r="T411" s="42" t="n">
        <f aca="false">IF(COUNTIF(Sales_Transactions!$A$2:$A$865,A411)&gt;1,1,0)</f>
        <v>0</v>
      </c>
      <c r="U411" s="42" t="n">
        <f aca="false">IF(OR(ABS(Sales_Transactions!F411*Sales_Transactions!G411-Sales_Transactions!I411)&gt;0.01,ABS(Sales_Transactions!F411*Sales_Transactions!H411-Sales_Transactions!J411)&gt;0.01,ABS(Sales_Transactions!I411-Sales_Transactions!J411-Sales_Transactions!K411)&gt;0.01),1,0)</f>
        <v>0</v>
      </c>
      <c r="V411" s="42" t="n">
        <f aca="false">IF(C411&lt;&gt;L411,1,0)</f>
        <v>0</v>
      </c>
      <c r="W411" s="42" t="n">
        <f aca="false">IF(SUM(Q411:V411)&gt;0,1,0)</f>
        <v>0</v>
      </c>
    </row>
    <row r="412" customFormat="false" ht="15" hidden="false" customHeight="false" outlineLevel="0" collapsed="false">
      <c r="A412" s="42" t="str">
        <f aca="false">Sales_Transactions!A412</f>
        <v>INV-12-015</v>
      </c>
      <c r="B412" s="42" t="str">
        <f aca="false">Sales_Transactions!B412</f>
        <v>2025-12</v>
      </c>
      <c r="C412" s="42" t="str">
        <f aca="false">Sales_Transactions!C412</f>
        <v>Actual</v>
      </c>
      <c r="D412" s="42" t="str">
        <f aca="false">Sales_Transactions!D412</f>
        <v>C036</v>
      </c>
      <c r="E412" s="42" t="str">
        <f aca="false">Sales_Transactions!E412</f>
        <v>P002</v>
      </c>
      <c r="F412" s="42" t="str">
        <f aca="false">IFERROR(INDEX(Customer_Master!$C$2:$C$49,MATCH(D412,Customer_Master!$A$2:$A$49,0)),"UNMATCHED")</f>
        <v>East</v>
      </c>
      <c r="G412" s="42" t="str">
        <f aca="false">IFERROR(INDEX(Customer_Master!$D$2:$D$49,MATCH(D412,Customer_Master!$A$2:$A$49,0)),"UNMATCHED")</f>
        <v>Retail</v>
      </c>
      <c r="H412" s="42" t="str">
        <f aca="false">IFERROR(INDEX(Product_Master!$C$2:$C$9,MATCH(E412,Product_Master!$A$2:$A$9,0)),"UNMATCHED")</f>
        <v>Home Care</v>
      </c>
      <c r="I412" s="42" t="str">
        <f aca="false">IFERROR(INDEX(Product_Master!$B$2:$B$9,MATCH(E412,Product_Master!$A$2:$A$9,0)),"UNMATCHED")</f>
        <v>Dishwash Gel</v>
      </c>
      <c r="J412" s="42" t="n">
        <f aca="false">IFERROR(INDEX(Calendar!$B$2:$B$25,MATCH(B412,Calendar!$A$2:$A$25,0)),0)</f>
        <v>2025</v>
      </c>
      <c r="K412" s="42" t="n">
        <f aca="false">IFERROR(VALUE(RIGHT(B412,2)),0)</f>
        <v>12</v>
      </c>
      <c r="L412" s="42" t="str">
        <f aca="false">IFERROR(INDEX(Calendar!$E$2:$E$25,MATCH(B412,Calendar!$A$2:$A$25,0)),"UNMATCHED")</f>
        <v>Actual</v>
      </c>
      <c r="M412" s="42" t="n">
        <f aca="false">Sales_Transactions!F412</f>
        <v>327</v>
      </c>
      <c r="N412" s="52" t="n">
        <f aca="false">Sales_Transactions!I412</f>
        <v>42614.64</v>
      </c>
      <c r="O412" s="52" t="n">
        <f aca="false">Sales_Transactions!J412</f>
        <v>28416.3</v>
      </c>
      <c r="P412" s="52" t="n">
        <f aca="false">Sales_Transactions!K412</f>
        <v>14198.34</v>
      </c>
      <c r="Q412" s="42" t="n">
        <f aca="false">IF(ISNUMBER(MATCH(E412,Product_Master!$A$2:$A$9,0)),0,1)</f>
        <v>0</v>
      </c>
      <c r="R412" s="42" t="n">
        <f aca="false">IF(ISNUMBER(MATCH(D412,Customer_Master!$A$2:$A$49,0)),0,1)</f>
        <v>0</v>
      </c>
      <c r="S412" s="42" t="n">
        <f aca="false">IF(ISNUMBER(MATCH(B412,Calendar!$A$2:$A$25,0)),0,1)</f>
        <v>0</v>
      </c>
      <c r="T412" s="42" t="n">
        <f aca="false">IF(COUNTIF(Sales_Transactions!$A$2:$A$865,A412)&gt;1,1,0)</f>
        <v>0</v>
      </c>
      <c r="U412" s="42" t="n">
        <f aca="false">IF(OR(ABS(Sales_Transactions!F412*Sales_Transactions!G412-Sales_Transactions!I412)&gt;0.01,ABS(Sales_Transactions!F412*Sales_Transactions!H412-Sales_Transactions!J412)&gt;0.01,ABS(Sales_Transactions!I412-Sales_Transactions!J412-Sales_Transactions!K412)&gt;0.01),1,0)</f>
        <v>0</v>
      </c>
      <c r="V412" s="42" t="n">
        <f aca="false">IF(C412&lt;&gt;L412,1,0)</f>
        <v>0</v>
      </c>
      <c r="W412" s="42" t="n">
        <f aca="false">IF(SUM(Q412:V412)&gt;0,1,0)</f>
        <v>0</v>
      </c>
    </row>
    <row r="413" customFormat="false" ht="15" hidden="false" customHeight="false" outlineLevel="0" collapsed="false">
      <c r="A413" s="42" t="str">
        <f aca="false">Sales_Transactions!A413</f>
        <v>INV-12-016</v>
      </c>
      <c r="B413" s="42" t="str">
        <f aca="false">Sales_Transactions!B413</f>
        <v>2025-12</v>
      </c>
      <c r="C413" s="42" t="str">
        <f aca="false">Sales_Transactions!C413</f>
        <v>Actual</v>
      </c>
      <c r="D413" s="42" t="str">
        <f aca="false">Sales_Transactions!D413</f>
        <v>C043</v>
      </c>
      <c r="E413" s="42" t="str">
        <f aca="false">Sales_Transactions!E413</f>
        <v>P007</v>
      </c>
      <c r="F413" s="42" t="str">
        <f aca="false">IFERROR(INDEX(Customer_Master!$C$2:$C$49,MATCH(D413,Customer_Master!$A$2:$A$49,0)),"UNMATCHED")</f>
        <v>West</v>
      </c>
      <c r="G413" s="42" t="str">
        <f aca="false">IFERROR(INDEX(Customer_Master!$D$2:$D$49,MATCH(D413,Customer_Master!$A$2:$A$49,0)),"UNMATCHED")</f>
        <v>Distributor</v>
      </c>
      <c r="H413" s="42" t="str">
        <f aca="false">IFERROR(INDEX(Product_Master!$C$2:$C$9,MATCH(E413,Product_Master!$A$2:$A$9,0)),"UNMATCHED")</f>
        <v>Home Care</v>
      </c>
      <c r="I413" s="42" t="str">
        <f aca="false">IFERROR(INDEX(Product_Master!$B$2:$B$9,MATCH(E413,Product_Master!$A$2:$A$9,0)),"UNMATCHED")</f>
        <v>Floor Cleaner</v>
      </c>
      <c r="J413" s="42" t="n">
        <f aca="false">IFERROR(INDEX(Calendar!$B$2:$B$25,MATCH(B413,Calendar!$A$2:$A$25,0)),0)</f>
        <v>2025</v>
      </c>
      <c r="K413" s="42" t="n">
        <f aca="false">IFERROR(VALUE(RIGHT(B413,2)),0)</f>
        <v>12</v>
      </c>
      <c r="L413" s="42" t="str">
        <f aca="false">IFERROR(INDEX(Calendar!$E$2:$E$25,MATCH(B413,Calendar!$A$2:$A$25,0)),"UNMATCHED")</f>
        <v>Actual</v>
      </c>
      <c r="M413" s="42" t="n">
        <f aca="false">Sales_Transactions!F413</f>
        <v>132</v>
      </c>
      <c r="N413" s="52" t="n">
        <f aca="false">Sales_Transactions!I413</f>
        <v>23729.64</v>
      </c>
      <c r="O413" s="52" t="n">
        <f aca="false">Sales_Transactions!J413</f>
        <v>15513.96</v>
      </c>
      <c r="P413" s="52" t="n">
        <f aca="false">Sales_Transactions!K413</f>
        <v>8215.68</v>
      </c>
      <c r="Q413" s="42" t="n">
        <f aca="false">IF(ISNUMBER(MATCH(E413,Product_Master!$A$2:$A$9,0)),0,1)</f>
        <v>0</v>
      </c>
      <c r="R413" s="42" t="n">
        <f aca="false">IF(ISNUMBER(MATCH(D413,Customer_Master!$A$2:$A$49,0)),0,1)</f>
        <v>0</v>
      </c>
      <c r="S413" s="42" t="n">
        <f aca="false">IF(ISNUMBER(MATCH(B413,Calendar!$A$2:$A$25,0)),0,1)</f>
        <v>0</v>
      </c>
      <c r="T413" s="42" t="n">
        <f aca="false">IF(COUNTIF(Sales_Transactions!$A$2:$A$865,A413)&gt;1,1,0)</f>
        <v>0</v>
      </c>
      <c r="U413" s="42" t="n">
        <f aca="false">IF(OR(ABS(Sales_Transactions!F413*Sales_Transactions!G413-Sales_Transactions!I413)&gt;0.01,ABS(Sales_Transactions!F413*Sales_Transactions!H413-Sales_Transactions!J413)&gt;0.01,ABS(Sales_Transactions!I413-Sales_Transactions!J413-Sales_Transactions!K413)&gt;0.01),1,0)</f>
        <v>0</v>
      </c>
      <c r="V413" s="42" t="n">
        <f aca="false">IF(C413&lt;&gt;L413,1,0)</f>
        <v>0</v>
      </c>
      <c r="W413" s="42" t="n">
        <f aca="false">IF(SUM(Q413:V413)&gt;0,1,0)</f>
        <v>0</v>
      </c>
    </row>
    <row r="414" customFormat="false" ht="15" hidden="false" customHeight="false" outlineLevel="0" collapsed="false">
      <c r="A414" s="42" t="str">
        <f aca="false">Sales_Transactions!A414</f>
        <v>INV-12-017</v>
      </c>
      <c r="B414" s="42" t="str">
        <f aca="false">Sales_Transactions!B414</f>
        <v>2025-12</v>
      </c>
      <c r="C414" s="42" t="str">
        <f aca="false">Sales_Transactions!C414</f>
        <v>Actual</v>
      </c>
      <c r="D414" s="42" t="str">
        <f aca="false">Sales_Transactions!D414</f>
        <v>C002</v>
      </c>
      <c r="E414" s="42" t="str">
        <f aca="false">Sales_Transactions!E414</f>
        <v>P004</v>
      </c>
      <c r="F414" s="42" t="str">
        <f aca="false">IFERROR(INDEX(Customer_Master!$C$2:$C$49,MATCH(D414,Customer_Master!$A$2:$A$49,0)),"UNMATCHED")</f>
        <v>North</v>
      </c>
      <c r="G414" s="42" t="str">
        <f aca="false">IFERROR(INDEX(Customer_Master!$D$2:$D$49,MATCH(D414,Customer_Master!$A$2:$A$49,0)),"UNMATCHED")</f>
        <v>Modern Trade</v>
      </c>
      <c r="H414" s="42" t="str">
        <f aca="false">IFERROR(INDEX(Product_Master!$C$2:$C$9,MATCH(E414,Product_Master!$A$2:$A$9,0)),"UNMATCHED")</f>
        <v>Personal Care</v>
      </c>
      <c r="I414" s="42" t="str">
        <f aca="false">IFERROR(INDEX(Product_Master!$B$2:$B$9,MATCH(E414,Product_Master!$A$2:$A$9,0)),"UNMATCHED")</f>
        <v>Soap 4-pack</v>
      </c>
      <c r="J414" s="42" t="n">
        <f aca="false">IFERROR(INDEX(Calendar!$B$2:$B$25,MATCH(B414,Calendar!$A$2:$A$25,0)),0)</f>
        <v>2025</v>
      </c>
      <c r="K414" s="42" t="n">
        <f aca="false">IFERROR(VALUE(RIGHT(B414,2)),0)</f>
        <v>12</v>
      </c>
      <c r="L414" s="42" t="str">
        <f aca="false">IFERROR(INDEX(Calendar!$E$2:$E$25,MATCH(B414,Calendar!$A$2:$A$25,0)),"UNMATCHED")</f>
        <v>Actual</v>
      </c>
      <c r="M414" s="42" t="n">
        <f aca="false">Sales_Transactions!F414</f>
        <v>275</v>
      </c>
      <c r="N414" s="52" t="n">
        <f aca="false">Sales_Transactions!I414</f>
        <v>47910.5</v>
      </c>
      <c r="O414" s="52" t="n">
        <f aca="false">Sales_Transactions!J414</f>
        <v>27106.75</v>
      </c>
      <c r="P414" s="52" t="n">
        <f aca="false">Sales_Transactions!K414</f>
        <v>20803.75</v>
      </c>
      <c r="Q414" s="42" t="n">
        <f aca="false">IF(ISNUMBER(MATCH(E414,Product_Master!$A$2:$A$9,0)),0,1)</f>
        <v>0</v>
      </c>
      <c r="R414" s="42" t="n">
        <f aca="false">IF(ISNUMBER(MATCH(D414,Customer_Master!$A$2:$A$49,0)),0,1)</f>
        <v>0</v>
      </c>
      <c r="S414" s="42" t="n">
        <f aca="false">IF(ISNUMBER(MATCH(B414,Calendar!$A$2:$A$25,0)),0,1)</f>
        <v>0</v>
      </c>
      <c r="T414" s="42" t="n">
        <f aca="false">IF(COUNTIF(Sales_Transactions!$A$2:$A$865,A414)&gt;1,1,0)</f>
        <v>0</v>
      </c>
      <c r="U414" s="42" t="n">
        <f aca="false">IF(OR(ABS(Sales_Transactions!F414*Sales_Transactions!G414-Sales_Transactions!I414)&gt;0.01,ABS(Sales_Transactions!F414*Sales_Transactions!H414-Sales_Transactions!J414)&gt;0.01,ABS(Sales_Transactions!I414-Sales_Transactions!J414-Sales_Transactions!K414)&gt;0.01),1,0)</f>
        <v>0</v>
      </c>
      <c r="V414" s="42" t="n">
        <f aca="false">IF(C414&lt;&gt;L414,1,0)</f>
        <v>0</v>
      </c>
      <c r="W414" s="42" t="n">
        <f aca="false">IF(SUM(Q414:V414)&gt;0,1,0)</f>
        <v>0</v>
      </c>
    </row>
    <row r="415" customFormat="false" ht="15" hidden="false" customHeight="false" outlineLevel="0" collapsed="false">
      <c r="A415" s="42" t="str">
        <f aca="false">Sales_Transactions!A415</f>
        <v>INV-12-018</v>
      </c>
      <c r="B415" s="42" t="str">
        <f aca="false">Sales_Transactions!B415</f>
        <v>2025-12</v>
      </c>
      <c r="C415" s="42" t="str">
        <f aca="false">Sales_Transactions!C415</f>
        <v>Actual</v>
      </c>
      <c r="D415" s="42" t="str">
        <f aca="false">Sales_Transactions!D415</f>
        <v>C009</v>
      </c>
      <c r="E415" s="42" t="str">
        <f aca="false">Sales_Transactions!E415</f>
        <v>P001</v>
      </c>
      <c r="F415" s="42" t="str">
        <f aca="false">IFERROR(INDEX(Customer_Master!$C$2:$C$49,MATCH(D415,Customer_Master!$A$2:$A$49,0)),"UNMATCHED")</f>
        <v>South</v>
      </c>
      <c r="G415" s="42" t="str">
        <f aca="false">IFERROR(INDEX(Customer_Master!$D$2:$D$49,MATCH(D415,Customer_Master!$A$2:$A$49,0)),"UNMATCHED")</f>
        <v>Retail</v>
      </c>
      <c r="H415" s="42" t="str">
        <f aca="false">IFERROR(INDEX(Product_Master!$C$2:$C$9,MATCH(E415,Product_Master!$A$2:$A$9,0)),"UNMATCHED")</f>
        <v>Home Care</v>
      </c>
      <c r="I415" s="42" t="str">
        <f aca="false">IFERROR(INDEX(Product_Master!$B$2:$B$9,MATCH(E415,Product_Master!$A$2:$A$9,0)),"UNMATCHED")</f>
        <v>Detergent 1kg</v>
      </c>
      <c r="J415" s="42" t="n">
        <f aca="false">IFERROR(INDEX(Calendar!$B$2:$B$25,MATCH(B415,Calendar!$A$2:$A$25,0)),0)</f>
        <v>2025</v>
      </c>
      <c r="K415" s="42" t="n">
        <f aca="false">IFERROR(VALUE(RIGHT(B415,2)),0)</f>
        <v>12</v>
      </c>
      <c r="L415" s="42" t="str">
        <f aca="false">IFERROR(INDEX(Calendar!$E$2:$E$25,MATCH(B415,Calendar!$A$2:$A$25,0)),"UNMATCHED")</f>
        <v>Actual</v>
      </c>
      <c r="M415" s="42" t="n">
        <f aca="false">Sales_Transactions!F415</f>
        <v>385</v>
      </c>
      <c r="N415" s="52" t="n">
        <f aca="false">Sales_Transactions!I415</f>
        <v>82012.7</v>
      </c>
      <c r="O415" s="52" t="n">
        <f aca="false">Sales_Transactions!J415</f>
        <v>52213.7</v>
      </c>
      <c r="P415" s="52" t="n">
        <f aca="false">Sales_Transactions!K415</f>
        <v>29799</v>
      </c>
      <c r="Q415" s="42" t="n">
        <f aca="false">IF(ISNUMBER(MATCH(E415,Product_Master!$A$2:$A$9,0)),0,1)</f>
        <v>0</v>
      </c>
      <c r="R415" s="42" t="n">
        <f aca="false">IF(ISNUMBER(MATCH(D415,Customer_Master!$A$2:$A$49,0)),0,1)</f>
        <v>0</v>
      </c>
      <c r="S415" s="42" t="n">
        <f aca="false">IF(ISNUMBER(MATCH(B415,Calendar!$A$2:$A$25,0)),0,1)</f>
        <v>0</v>
      </c>
      <c r="T415" s="42" t="n">
        <f aca="false">IF(COUNTIF(Sales_Transactions!$A$2:$A$865,A415)&gt;1,1,0)</f>
        <v>0</v>
      </c>
      <c r="U415" s="42" t="n">
        <f aca="false">IF(OR(ABS(Sales_Transactions!F415*Sales_Transactions!G415-Sales_Transactions!I415)&gt;0.01,ABS(Sales_Transactions!F415*Sales_Transactions!H415-Sales_Transactions!J415)&gt;0.01,ABS(Sales_Transactions!I415-Sales_Transactions!J415-Sales_Transactions!K415)&gt;0.01),1,0)</f>
        <v>0</v>
      </c>
      <c r="V415" s="42" t="n">
        <f aca="false">IF(C415&lt;&gt;L415,1,0)</f>
        <v>0</v>
      </c>
      <c r="W415" s="42" t="n">
        <f aca="false">IF(SUM(Q415:V415)&gt;0,1,0)</f>
        <v>0</v>
      </c>
    </row>
    <row r="416" customFormat="false" ht="15" hidden="false" customHeight="false" outlineLevel="0" collapsed="false">
      <c r="A416" s="42" t="str">
        <f aca="false">Sales_Transactions!A416</f>
        <v>INV-12-019</v>
      </c>
      <c r="B416" s="42" t="str">
        <f aca="false">Sales_Transactions!B416</f>
        <v>2025-12</v>
      </c>
      <c r="C416" s="42" t="str">
        <f aca="false">Sales_Transactions!C416</f>
        <v>Actual</v>
      </c>
      <c r="D416" s="42" t="str">
        <f aca="false">Sales_Transactions!D416</f>
        <v>C016</v>
      </c>
      <c r="E416" s="42" t="str">
        <f aca="false">Sales_Transactions!E416</f>
        <v>P006</v>
      </c>
      <c r="F416" s="42" t="str">
        <f aca="false">IFERROR(INDEX(Customer_Master!$C$2:$C$49,MATCH(D416,Customer_Master!$A$2:$A$49,0)),"UNMATCHED")</f>
        <v>East</v>
      </c>
      <c r="G416" s="42" t="str">
        <f aca="false">IFERROR(INDEX(Customer_Master!$D$2:$D$49,MATCH(D416,Customer_Master!$A$2:$A$49,0)),"UNMATCHED")</f>
        <v>Distributor</v>
      </c>
      <c r="H416" s="42" t="str">
        <f aca="false">IFERROR(INDEX(Product_Master!$C$2:$C$9,MATCH(E416,Product_Master!$A$2:$A$9,0)),"UNMATCHED")</f>
        <v>Foods</v>
      </c>
      <c r="I416" s="42" t="str">
        <f aca="false">IFERROR(INDEX(Product_Master!$B$2:$B$9,MATCH(E416,Product_Master!$A$2:$A$9,0)),"UNMATCHED")</f>
        <v>Breakfast Cereal</v>
      </c>
      <c r="J416" s="42" t="n">
        <f aca="false">IFERROR(INDEX(Calendar!$B$2:$B$25,MATCH(B416,Calendar!$A$2:$A$25,0)),0)</f>
        <v>2025</v>
      </c>
      <c r="K416" s="42" t="n">
        <f aca="false">IFERROR(VALUE(RIGHT(B416,2)),0)</f>
        <v>12</v>
      </c>
      <c r="L416" s="42" t="str">
        <f aca="false">IFERROR(INDEX(Calendar!$E$2:$E$25,MATCH(B416,Calendar!$A$2:$A$25,0)),"UNMATCHED")</f>
        <v>Actual</v>
      </c>
      <c r="M416" s="42" t="n">
        <f aca="false">Sales_Transactions!F416</f>
        <v>428</v>
      </c>
      <c r="N416" s="52" t="n">
        <f aca="false">Sales_Transactions!I416</f>
        <v>98868</v>
      </c>
      <c r="O416" s="52" t="n">
        <f aca="false">Sales_Transactions!J416</f>
        <v>66930.64</v>
      </c>
      <c r="P416" s="52" t="n">
        <f aca="false">Sales_Transactions!K416</f>
        <v>31937.36</v>
      </c>
      <c r="Q416" s="42" t="n">
        <f aca="false">IF(ISNUMBER(MATCH(E416,Product_Master!$A$2:$A$9,0)),0,1)</f>
        <v>0</v>
      </c>
      <c r="R416" s="42" t="n">
        <f aca="false">IF(ISNUMBER(MATCH(D416,Customer_Master!$A$2:$A$49,0)),0,1)</f>
        <v>0</v>
      </c>
      <c r="S416" s="42" t="n">
        <f aca="false">IF(ISNUMBER(MATCH(B416,Calendar!$A$2:$A$25,0)),0,1)</f>
        <v>0</v>
      </c>
      <c r="T416" s="42" t="n">
        <f aca="false">IF(COUNTIF(Sales_Transactions!$A$2:$A$865,A416)&gt;1,1,0)</f>
        <v>0</v>
      </c>
      <c r="U416" s="42" t="n">
        <f aca="false">IF(OR(ABS(Sales_Transactions!F416*Sales_Transactions!G416-Sales_Transactions!I416)&gt;0.01,ABS(Sales_Transactions!F416*Sales_Transactions!H416-Sales_Transactions!J416)&gt;0.01,ABS(Sales_Transactions!I416-Sales_Transactions!J416-Sales_Transactions!K416)&gt;0.01),1,0)</f>
        <v>0</v>
      </c>
      <c r="V416" s="42" t="n">
        <f aca="false">IF(C416&lt;&gt;L416,1,0)</f>
        <v>0</v>
      </c>
      <c r="W416" s="42" t="n">
        <f aca="false">IF(SUM(Q416:V416)&gt;0,1,0)</f>
        <v>0</v>
      </c>
    </row>
    <row r="417" customFormat="false" ht="15" hidden="false" customHeight="false" outlineLevel="0" collapsed="false">
      <c r="A417" s="42" t="str">
        <f aca="false">Sales_Transactions!A417</f>
        <v>INV-12-020</v>
      </c>
      <c r="B417" s="42" t="str">
        <f aca="false">Sales_Transactions!B417</f>
        <v>2025-12</v>
      </c>
      <c r="C417" s="42" t="str">
        <f aca="false">Sales_Transactions!C417</f>
        <v>Actual</v>
      </c>
      <c r="D417" s="42" t="str">
        <f aca="false">Sales_Transactions!D417</f>
        <v>C023</v>
      </c>
      <c r="E417" s="42" t="str">
        <f aca="false">Sales_Transactions!E417</f>
        <v>P003</v>
      </c>
      <c r="F417" s="42" t="str">
        <f aca="false">IFERROR(INDEX(Customer_Master!$C$2:$C$49,MATCH(D417,Customer_Master!$A$2:$A$49,0)),"UNMATCHED")</f>
        <v>West</v>
      </c>
      <c r="G417" s="42" t="str">
        <f aca="false">IFERROR(INDEX(Customer_Master!$D$2:$D$49,MATCH(D417,Customer_Master!$A$2:$A$49,0)),"UNMATCHED")</f>
        <v>Modern Trade</v>
      </c>
      <c r="H417" s="42" t="str">
        <f aca="false">IFERROR(INDEX(Product_Master!$C$2:$C$9,MATCH(E417,Product_Master!$A$2:$A$9,0)),"UNMATCHED")</f>
        <v>Personal Care</v>
      </c>
      <c r="I417" s="42" t="str">
        <f aca="false">IFERROR(INDEX(Product_Master!$B$2:$B$9,MATCH(E417,Product_Master!$A$2:$A$9,0)),"UNMATCHED")</f>
        <v>Shampoo 400ml</v>
      </c>
      <c r="J417" s="42" t="n">
        <f aca="false">IFERROR(INDEX(Calendar!$B$2:$B$25,MATCH(B417,Calendar!$A$2:$A$25,0)),0)</f>
        <v>2025</v>
      </c>
      <c r="K417" s="42" t="n">
        <f aca="false">IFERROR(VALUE(RIGHT(B417,2)),0)</f>
        <v>12</v>
      </c>
      <c r="L417" s="42" t="str">
        <f aca="false">IFERROR(INDEX(Calendar!$E$2:$E$25,MATCH(B417,Calendar!$A$2:$A$25,0)),"UNMATCHED")</f>
        <v>Actual</v>
      </c>
      <c r="M417" s="42" t="n">
        <f aca="false">Sales_Transactions!F417</f>
        <v>425</v>
      </c>
      <c r="N417" s="52" t="n">
        <f aca="false">Sales_Transactions!I417</f>
        <v>120470.5</v>
      </c>
      <c r="O417" s="52" t="n">
        <f aca="false">Sales_Transactions!J417</f>
        <v>73457</v>
      </c>
      <c r="P417" s="52" t="n">
        <f aca="false">Sales_Transactions!K417</f>
        <v>47013.5</v>
      </c>
      <c r="Q417" s="42" t="n">
        <f aca="false">IF(ISNUMBER(MATCH(E417,Product_Master!$A$2:$A$9,0)),0,1)</f>
        <v>0</v>
      </c>
      <c r="R417" s="42" t="n">
        <f aca="false">IF(ISNUMBER(MATCH(D417,Customer_Master!$A$2:$A$49,0)),0,1)</f>
        <v>0</v>
      </c>
      <c r="S417" s="42" t="n">
        <f aca="false">IF(ISNUMBER(MATCH(B417,Calendar!$A$2:$A$25,0)),0,1)</f>
        <v>0</v>
      </c>
      <c r="T417" s="42" t="n">
        <f aca="false">IF(COUNTIF(Sales_Transactions!$A$2:$A$865,A417)&gt;1,1,0)</f>
        <v>0</v>
      </c>
      <c r="U417" s="42" t="n">
        <f aca="false">IF(OR(ABS(Sales_Transactions!F417*Sales_Transactions!G417-Sales_Transactions!I417)&gt;0.01,ABS(Sales_Transactions!F417*Sales_Transactions!H417-Sales_Transactions!J417)&gt;0.01,ABS(Sales_Transactions!I417-Sales_Transactions!J417-Sales_Transactions!K417)&gt;0.01),1,0)</f>
        <v>0</v>
      </c>
      <c r="V417" s="42" t="n">
        <f aca="false">IF(C417&lt;&gt;L417,1,0)</f>
        <v>0</v>
      </c>
      <c r="W417" s="42" t="n">
        <f aca="false">IF(SUM(Q417:V417)&gt;0,1,0)</f>
        <v>0</v>
      </c>
    </row>
    <row r="418" customFormat="false" ht="15" hidden="false" customHeight="false" outlineLevel="0" collapsed="false">
      <c r="A418" s="42" t="str">
        <f aca="false">Sales_Transactions!A418</f>
        <v>INV-12-021</v>
      </c>
      <c r="B418" s="42" t="str">
        <f aca="false">Sales_Transactions!B418</f>
        <v>2025-12</v>
      </c>
      <c r="C418" s="42" t="str">
        <f aca="false">Sales_Transactions!C418</f>
        <v>Actual</v>
      </c>
      <c r="D418" s="42" t="str">
        <f aca="false">Sales_Transactions!D418</f>
        <v>C030</v>
      </c>
      <c r="E418" s="42" t="str">
        <f aca="false">Sales_Transactions!E418</f>
        <v>P008</v>
      </c>
      <c r="F418" s="42" t="str">
        <f aca="false">IFERROR(INDEX(Customer_Master!$C$2:$C$49,MATCH(D418,Customer_Master!$A$2:$A$49,0)),"UNMATCHED")</f>
        <v>North</v>
      </c>
      <c r="G418" s="42" t="str">
        <f aca="false">IFERROR(INDEX(Customer_Master!$D$2:$D$49,MATCH(D418,Customer_Master!$A$2:$A$49,0)),"UNMATCHED")</f>
        <v>Retail</v>
      </c>
      <c r="H418" s="42" t="str">
        <f aca="false">IFERROR(INDEX(Product_Master!$C$2:$C$9,MATCH(E418,Product_Master!$A$2:$A$9,0)),"UNMATCHED")</f>
        <v>Personal Care</v>
      </c>
      <c r="I418" s="42" t="str">
        <f aca="false">IFERROR(INDEX(Product_Master!$B$2:$B$9,MATCH(E418,Product_Master!$A$2:$A$9,0)),"UNMATCHED")</f>
        <v>Body Lotion</v>
      </c>
      <c r="J418" s="42" t="n">
        <f aca="false">IFERROR(INDEX(Calendar!$B$2:$B$25,MATCH(B418,Calendar!$A$2:$A$25,0)),0)</f>
        <v>2025</v>
      </c>
      <c r="K418" s="42" t="n">
        <f aca="false">IFERROR(VALUE(RIGHT(B418,2)),0)</f>
        <v>12</v>
      </c>
      <c r="L418" s="42" t="str">
        <f aca="false">IFERROR(INDEX(Calendar!$E$2:$E$25,MATCH(B418,Calendar!$A$2:$A$25,0)),"UNMATCHED")</f>
        <v>Actual</v>
      </c>
      <c r="M418" s="42" t="n">
        <f aca="false">Sales_Transactions!F418</f>
        <v>454</v>
      </c>
      <c r="N418" s="52" t="n">
        <f aca="false">Sales_Transactions!I418</f>
        <v>132304.68</v>
      </c>
      <c r="O418" s="52" t="n">
        <f aca="false">Sales_Transactions!J418</f>
        <v>91204.06</v>
      </c>
      <c r="P418" s="52" t="n">
        <f aca="false">Sales_Transactions!K418</f>
        <v>41100.62</v>
      </c>
      <c r="Q418" s="42" t="n">
        <f aca="false">IF(ISNUMBER(MATCH(E418,Product_Master!$A$2:$A$9,0)),0,1)</f>
        <v>0</v>
      </c>
      <c r="R418" s="42" t="n">
        <f aca="false">IF(ISNUMBER(MATCH(D418,Customer_Master!$A$2:$A$49,0)),0,1)</f>
        <v>0</v>
      </c>
      <c r="S418" s="42" t="n">
        <f aca="false">IF(ISNUMBER(MATCH(B418,Calendar!$A$2:$A$25,0)),0,1)</f>
        <v>0</v>
      </c>
      <c r="T418" s="42" t="n">
        <f aca="false">IF(COUNTIF(Sales_Transactions!$A$2:$A$865,A418)&gt;1,1,0)</f>
        <v>0</v>
      </c>
      <c r="U418" s="42" t="n">
        <f aca="false">IF(OR(ABS(Sales_Transactions!F418*Sales_Transactions!G418-Sales_Transactions!I418)&gt;0.01,ABS(Sales_Transactions!F418*Sales_Transactions!H418-Sales_Transactions!J418)&gt;0.01,ABS(Sales_Transactions!I418-Sales_Transactions!J418-Sales_Transactions!K418)&gt;0.01),1,0)</f>
        <v>0</v>
      </c>
      <c r="V418" s="42" t="n">
        <f aca="false">IF(C418&lt;&gt;L418,1,0)</f>
        <v>0</v>
      </c>
      <c r="W418" s="42" t="n">
        <f aca="false">IF(SUM(Q418:V418)&gt;0,1,0)</f>
        <v>0</v>
      </c>
    </row>
    <row r="419" customFormat="false" ht="15" hidden="false" customHeight="false" outlineLevel="0" collapsed="false">
      <c r="A419" s="42" t="str">
        <f aca="false">Sales_Transactions!A419</f>
        <v>INV-12-022</v>
      </c>
      <c r="B419" s="42" t="str">
        <f aca="false">Sales_Transactions!B419</f>
        <v>2025-12</v>
      </c>
      <c r="C419" s="42" t="str">
        <f aca="false">Sales_Transactions!C419</f>
        <v>Actual</v>
      </c>
      <c r="D419" s="42" t="str">
        <f aca="false">Sales_Transactions!D419</f>
        <v>C037</v>
      </c>
      <c r="E419" s="42" t="str">
        <f aca="false">Sales_Transactions!E419</f>
        <v>P005</v>
      </c>
      <c r="F419" s="42" t="str">
        <f aca="false">IFERROR(INDEX(Customer_Master!$C$2:$C$49,MATCH(D419,Customer_Master!$A$2:$A$49,0)),"UNMATCHED")</f>
        <v>South</v>
      </c>
      <c r="G419" s="42" t="str">
        <f aca="false">IFERROR(INDEX(Customer_Master!$D$2:$D$49,MATCH(D419,Customer_Master!$A$2:$A$49,0)),"UNMATCHED")</f>
        <v>Distributor</v>
      </c>
      <c r="H419" s="42" t="str">
        <f aca="false">IFERROR(INDEX(Product_Master!$C$2:$C$9,MATCH(E419,Product_Master!$A$2:$A$9,0)),"UNMATCHED")</f>
        <v>Foods</v>
      </c>
      <c r="I419" s="42" t="str">
        <f aca="false">IFERROR(INDEX(Product_Master!$B$2:$B$9,MATCH(E419,Product_Master!$A$2:$A$9,0)),"UNMATCHED")</f>
        <v>Biscuits 500g</v>
      </c>
      <c r="J419" s="42" t="n">
        <f aca="false">IFERROR(INDEX(Calendar!$B$2:$B$25,MATCH(B419,Calendar!$A$2:$A$25,0)),0)</f>
        <v>2025</v>
      </c>
      <c r="K419" s="42" t="n">
        <f aca="false">IFERROR(VALUE(RIGHT(B419,2)),0)</f>
        <v>12</v>
      </c>
      <c r="L419" s="42" t="str">
        <f aca="false">IFERROR(INDEX(Calendar!$E$2:$E$25,MATCH(B419,Calendar!$A$2:$A$25,0)),"UNMATCHED")</f>
        <v>Actual</v>
      </c>
      <c r="M419" s="42" t="n">
        <f aca="false">Sales_Transactions!F419</f>
        <v>244</v>
      </c>
      <c r="N419" s="52" t="n">
        <f aca="false">Sales_Transactions!I419</f>
        <v>25114.92</v>
      </c>
      <c r="O419" s="52" t="n">
        <f aca="false">Sales_Transactions!J419</f>
        <v>16828.68</v>
      </c>
      <c r="P419" s="52" t="n">
        <f aca="false">Sales_Transactions!K419</f>
        <v>8286.24</v>
      </c>
      <c r="Q419" s="42" t="n">
        <f aca="false">IF(ISNUMBER(MATCH(E419,Product_Master!$A$2:$A$9,0)),0,1)</f>
        <v>0</v>
      </c>
      <c r="R419" s="42" t="n">
        <f aca="false">IF(ISNUMBER(MATCH(D419,Customer_Master!$A$2:$A$49,0)),0,1)</f>
        <v>0</v>
      </c>
      <c r="S419" s="42" t="n">
        <f aca="false">IF(ISNUMBER(MATCH(B419,Calendar!$A$2:$A$25,0)),0,1)</f>
        <v>0</v>
      </c>
      <c r="T419" s="42" t="n">
        <f aca="false">IF(COUNTIF(Sales_Transactions!$A$2:$A$865,A419)&gt;1,1,0)</f>
        <v>0</v>
      </c>
      <c r="U419" s="42" t="n">
        <f aca="false">IF(OR(ABS(Sales_Transactions!F419*Sales_Transactions!G419-Sales_Transactions!I419)&gt;0.01,ABS(Sales_Transactions!F419*Sales_Transactions!H419-Sales_Transactions!J419)&gt;0.01,ABS(Sales_Transactions!I419-Sales_Transactions!J419-Sales_Transactions!K419)&gt;0.01),1,0)</f>
        <v>0</v>
      </c>
      <c r="V419" s="42" t="n">
        <f aca="false">IF(C419&lt;&gt;L419,1,0)</f>
        <v>0</v>
      </c>
      <c r="W419" s="42" t="n">
        <f aca="false">IF(SUM(Q419:V419)&gt;0,1,0)</f>
        <v>0</v>
      </c>
    </row>
    <row r="420" customFormat="false" ht="15" hidden="false" customHeight="false" outlineLevel="0" collapsed="false">
      <c r="A420" s="42" t="str">
        <f aca="false">Sales_Transactions!A420</f>
        <v>INV-12-023</v>
      </c>
      <c r="B420" s="42" t="str">
        <f aca="false">Sales_Transactions!B420</f>
        <v>2025-12</v>
      </c>
      <c r="C420" s="42" t="str">
        <f aca="false">Sales_Transactions!C420</f>
        <v>Actual</v>
      </c>
      <c r="D420" s="42" t="str">
        <f aca="false">Sales_Transactions!D420</f>
        <v>C044</v>
      </c>
      <c r="E420" s="42" t="str">
        <f aca="false">Sales_Transactions!E420</f>
        <v>P002</v>
      </c>
      <c r="F420" s="42" t="str">
        <f aca="false">IFERROR(INDEX(Customer_Master!$C$2:$C$49,MATCH(D420,Customer_Master!$A$2:$A$49,0)),"UNMATCHED")</f>
        <v>East</v>
      </c>
      <c r="G420" s="42" t="str">
        <f aca="false">IFERROR(INDEX(Customer_Master!$D$2:$D$49,MATCH(D420,Customer_Master!$A$2:$A$49,0)),"UNMATCHED")</f>
        <v>Modern Trade</v>
      </c>
      <c r="H420" s="42" t="str">
        <f aca="false">IFERROR(INDEX(Product_Master!$C$2:$C$9,MATCH(E420,Product_Master!$A$2:$A$9,0)),"UNMATCHED")</f>
        <v>Home Care</v>
      </c>
      <c r="I420" s="42" t="str">
        <f aca="false">IFERROR(INDEX(Product_Master!$B$2:$B$9,MATCH(E420,Product_Master!$A$2:$A$9,0)),"UNMATCHED")</f>
        <v>Dishwash Gel</v>
      </c>
      <c r="J420" s="42" t="n">
        <f aca="false">IFERROR(INDEX(Calendar!$B$2:$B$25,MATCH(B420,Calendar!$A$2:$A$25,0)),0)</f>
        <v>2025</v>
      </c>
      <c r="K420" s="42" t="n">
        <f aca="false">IFERROR(VALUE(RIGHT(B420,2)),0)</f>
        <v>12</v>
      </c>
      <c r="L420" s="42" t="str">
        <f aca="false">IFERROR(INDEX(Calendar!$E$2:$E$25,MATCH(B420,Calendar!$A$2:$A$25,0)),"UNMATCHED")</f>
        <v>Actual</v>
      </c>
      <c r="M420" s="42" t="n">
        <f aca="false">Sales_Transactions!F420</f>
        <v>193</v>
      </c>
      <c r="N420" s="52" t="n">
        <f aca="false">Sales_Transactions!I420</f>
        <v>25470.21</v>
      </c>
      <c r="O420" s="52" t="n">
        <f aca="false">Sales_Transactions!J420</f>
        <v>16107.78</v>
      </c>
      <c r="P420" s="52" t="n">
        <f aca="false">Sales_Transactions!K420</f>
        <v>9362.43</v>
      </c>
      <c r="Q420" s="42" t="n">
        <f aca="false">IF(ISNUMBER(MATCH(E420,Product_Master!$A$2:$A$9,0)),0,1)</f>
        <v>0</v>
      </c>
      <c r="R420" s="42" t="n">
        <f aca="false">IF(ISNUMBER(MATCH(D420,Customer_Master!$A$2:$A$49,0)),0,1)</f>
        <v>0</v>
      </c>
      <c r="S420" s="42" t="n">
        <f aca="false">IF(ISNUMBER(MATCH(B420,Calendar!$A$2:$A$25,0)),0,1)</f>
        <v>0</v>
      </c>
      <c r="T420" s="42" t="n">
        <f aca="false">IF(COUNTIF(Sales_Transactions!$A$2:$A$865,A420)&gt;1,1,0)</f>
        <v>0</v>
      </c>
      <c r="U420" s="42" t="n">
        <f aca="false">IF(OR(ABS(Sales_Transactions!F420*Sales_Transactions!G420-Sales_Transactions!I420)&gt;0.01,ABS(Sales_Transactions!F420*Sales_Transactions!H420-Sales_Transactions!J420)&gt;0.01,ABS(Sales_Transactions!I420-Sales_Transactions!J420-Sales_Transactions!K420)&gt;0.01),1,0)</f>
        <v>0</v>
      </c>
      <c r="V420" s="42" t="n">
        <f aca="false">IF(C420&lt;&gt;L420,1,0)</f>
        <v>0</v>
      </c>
      <c r="W420" s="42" t="n">
        <f aca="false">IF(SUM(Q420:V420)&gt;0,1,0)</f>
        <v>0</v>
      </c>
    </row>
    <row r="421" customFormat="false" ht="15" hidden="false" customHeight="false" outlineLevel="0" collapsed="false">
      <c r="A421" s="42" t="str">
        <f aca="false">Sales_Transactions!A421</f>
        <v>INV-12-024</v>
      </c>
      <c r="B421" s="42" t="str">
        <f aca="false">Sales_Transactions!B421</f>
        <v>2025-12</v>
      </c>
      <c r="C421" s="42" t="str">
        <f aca="false">Sales_Transactions!C421</f>
        <v>Actual</v>
      </c>
      <c r="D421" s="42" t="str">
        <f aca="false">Sales_Transactions!D421</f>
        <v>C003</v>
      </c>
      <c r="E421" s="42" t="str">
        <f aca="false">Sales_Transactions!E421</f>
        <v>P007</v>
      </c>
      <c r="F421" s="42" t="str">
        <f aca="false">IFERROR(INDEX(Customer_Master!$C$2:$C$49,MATCH(D421,Customer_Master!$A$2:$A$49,0)),"UNMATCHED")</f>
        <v>West</v>
      </c>
      <c r="G421" s="42" t="str">
        <f aca="false">IFERROR(INDEX(Customer_Master!$D$2:$D$49,MATCH(D421,Customer_Master!$A$2:$A$49,0)),"UNMATCHED")</f>
        <v>Retail</v>
      </c>
      <c r="H421" s="42" t="str">
        <f aca="false">IFERROR(INDEX(Product_Master!$C$2:$C$9,MATCH(E421,Product_Master!$A$2:$A$9,0)),"UNMATCHED")</f>
        <v>Home Care</v>
      </c>
      <c r="I421" s="42" t="str">
        <f aca="false">IFERROR(INDEX(Product_Master!$B$2:$B$9,MATCH(E421,Product_Master!$A$2:$A$9,0)),"UNMATCHED")</f>
        <v>Floor Cleaner</v>
      </c>
      <c r="J421" s="42" t="n">
        <f aca="false">IFERROR(INDEX(Calendar!$B$2:$B$25,MATCH(B421,Calendar!$A$2:$A$25,0)),0)</f>
        <v>2025</v>
      </c>
      <c r="K421" s="42" t="n">
        <f aca="false">IFERROR(VALUE(RIGHT(B421,2)),0)</f>
        <v>12</v>
      </c>
      <c r="L421" s="42" t="str">
        <f aca="false">IFERROR(INDEX(Calendar!$E$2:$E$25,MATCH(B421,Calendar!$A$2:$A$25,0)),"UNMATCHED")</f>
        <v>Actual</v>
      </c>
      <c r="M421" s="42" t="n">
        <f aca="false">Sales_Transactions!F421</f>
        <v>140</v>
      </c>
      <c r="N421" s="52" t="n">
        <f aca="false">Sales_Transactions!I421</f>
        <v>24885</v>
      </c>
      <c r="O421" s="52" t="n">
        <f aca="false">Sales_Transactions!J421</f>
        <v>16100</v>
      </c>
      <c r="P421" s="52" t="n">
        <f aca="false">Sales_Transactions!K421</f>
        <v>8785</v>
      </c>
      <c r="Q421" s="42" t="n">
        <f aca="false">IF(ISNUMBER(MATCH(E421,Product_Master!$A$2:$A$9,0)),0,1)</f>
        <v>0</v>
      </c>
      <c r="R421" s="42" t="n">
        <f aca="false">IF(ISNUMBER(MATCH(D421,Customer_Master!$A$2:$A$49,0)),0,1)</f>
        <v>0</v>
      </c>
      <c r="S421" s="42" t="n">
        <f aca="false">IF(ISNUMBER(MATCH(B421,Calendar!$A$2:$A$25,0)),0,1)</f>
        <v>0</v>
      </c>
      <c r="T421" s="42" t="n">
        <f aca="false">IF(COUNTIF(Sales_Transactions!$A$2:$A$865,A421)&gt;1,1,0)</f>
        <v>0</v>
      </c>
      <c r="U421" s="42" t="n">
        <f aca="false">IF(OR(ABS(Sales_Transactions!F421*Sales_Transactions!G421-Sales_Transactions!I421)&gt;0.01,ABS(Sales_Transactions!F421*Sales_Transactions!H421-Sales_Transactions!J421)&gt;0.01,ABS(Sales_Transactions!I421-Sales_Transactions!J421-Sales_Transactions!K421)&gt;0.01),1,0)</f>
        <v>0</v>
      </c>
      <c r="V421" s="42" t="n">
        <f aca="false">IF(C421&lt;&gt;L421,1,0)</f>
        <v>0</v>
      </c>
      <c r="W421" s="42" t="n">
        <f aca="false">IF(SUM(Q421:V421)&gt;0,1,0)</f>
        <v>0</v>
      </c>
    </row>
    <row r="422" customFormat="false" ht="15" hidden="false" customHeight="false" outlineLevel="0" collapsed="false">
      <c r="A422" s="42" t="str">
        <f aca="false">Sales_Transactions!A422</f>
        <v>INV-12-025</v>
      </c>
      <c r="B422" s="42" t="str">
        <f aca="false">Sales_Transactions!B422</f>
        <v>2025-12</v>
      </c>
      <c r="C422" s="42" t="str">
        <f aca="false">Sales_Transactions!C422</f>
        <v>Actual</v>
      </c>
      <c r="D422" s="42" t="str">
        <f aca="false">Sales_Transactions!D422</f>
        <v>C010</v>
      </c>
      <c r="E422" s="42" t="str">
        <f aca="false">Sales_Transactions!E422</f>
        <v>P004</v>
      </c>
      <c r="F422" s="42" t="str">
        <f aca="false">IFERROR(INDEX(Customer_Master!$C$2:$C$49,MATCH(D422,Customer_Master!$A$2:$A$49,0)),"UNMATCHED")</f>
        <v>North</v>
      </c>
      <c r="G422" s="42" t="str">
        <f aca="false">IFERROR(INDEX(Customer_Master!$D$2:$D$49,MATCH(D422,Customer_Master!$A$2:$A$49,0)),"UNMATCHED")</f>
        <v>Distributor</v>
      </c>
      <c r="H422" s="42" t="str">
        <f aca="false">IFERROR(INDEX(Product_Master!$C$2:$C$9,MATCH(E422,Product_Master!$A$2:$A$9,0)),"UNMATCHED")</f>
        <v>Personal Care</v>
      </c>
      <c r="I422" s="42" t="str">
        <f aca="false">IFERROR(INDEX(Product_Master!$B$2:$B$9,MATCH(E422,Product_Master!$A$2:$A$9,0)),"UNMATCHED")</f>
        <v>Soap 4-pack</v>
      </c>
      <c r="J422" s="42" t="n">
        <f aca="false">IFERROR(INDEX(Calendar!$B$2:$B$25,MATCH(B422,Calendar!$A$2:$A$25,0)),0)</f>
        <v>2025</v>
      </c>
      <c r="K422" s="42" t="n">
        <f aca="false">IFERROR(VALUE(RIGHT(B422,2)),0)</f>
        <v>12</v>
      </c>
      <c r="L422" s="42" t="str">
        <f aca="false">IFERROR(INDEX(Calendar!$E$2:$E$25,MATCH(B422,Calendar!$A$2:$A$25,0)),"UNMATCHED")</f>
        <v>Actual</v>
      </c>
      <c r="M422" s="42" t="n">
        <f aca="false">Sales_Transactions!F422</f>
        <v>143</v>
      </c>
      <c r="N422" s="52" t="n">
        <f aca="false">Sales_Transactions!I422</f>
        <v>24753.3</v>
      </c>
      <c r="O422" s="52" t="n">
        <f aca="false">Sales_Transactions!J422</f>
        <v>14124.11</v>
      </c>
      <c r="P422" s="52" t="n">
        <f aca="false">Sales_Transactions!K422</f>
        <v>10629.19</v>
      </c>
      <c r="Q422" s="42" t="n">
        <f aca="false">IF(ISNUMBER(MATCH(E422,Product_Master!$A$2:$A$9,0)),0,1)</f>
        <v>0</v>
      </c>
      <c r="R422" s="42" t="n">
        <f aca="false">IF(ISNUMBER(MATCH(D422,Customer_Master!$A$2:$A$49,0)),0,1)</f>
        <v>0</v>
      </c>
      <c r="S422" s="42" t="n">
        <f aca="false">IF(ISNUMBER(MATCH(B422,Calendar!$A$2:$A$25,0)),0,1)</f>
        <v>0</v>
      </c>
      <c r="T422" s="42" t="n">
        <f aca="false">IF(COUNTIF(Sales_Transactions!$A$2:$A$865,A422)&gt;1,1,0)</f>
        <v>0</v>
      </c>
      <c r="U422" s="42" t="n">
        <f aca="false">IF(OR(ABS(Sales_Transactions!F422*Sales_Transactions!G422-Sales_Transactions!I422)&gt;0.01,ABS(Sales_Transactions!F422*Sales_Transactions!H422-Sales_Transactions!J422)&gt;0.01,ABS(Sales_Transactions!I422-Sales_Transactions!J422-Sales_Transactions!K422)&gt;0.01),1,0)</f>
        <v>0</v>
      </c>
      <c r="V422" s="42" t="n">
        <f aca="false">IF(C422&lt;&gt;L422,1,0)</f>
        <v>0</v>
      </c>
      <c r="W422" s="42" t="n">
        <f aca="false">IF(SUM(Q422:V422)&gt;0,1,0)</f>
        <v>0</v>
      </c>
    </row>
    <row r="423" customFormat="false" ht="15" hidden="false" customHeight="false" outlineLevel="0" collapsed="false">
      <c r="A423" s="42" t="str">
        <f aca="false">Sales_Transactions!A423</f>
        <v>INV-12-026</v>
      </c>
      <c r="B423" s="42" t="str">
        <f aca="false">Sales_Transactions!B423</f>
        <v>2025-12</v>
      </c>
      <c r="C423" s="42" t="str">
        <f aca="false">Sales_Transactions!C423</f>
        <v>Actual</v>
      </c>
      <c r="D423" s="42" t="str">
        <f aca="false">Sales_Transactions!D423</f>
        <v>C017</v>
      </c>
      <c r="E423" s="42" t="str">
        <f aca="false">Sales_Transactions!E423</f>
        <v>P001</v>
      </c>
      <c r="F423" s="42" t="str">
        <f aca="false">IFERROR(INDEX(Customer_Master!$C$2:$C$49,MATCH(D423,Customer_Master!$A$2:$A$49,0)),"UNMATCHED")</f>
        <v>South</v>
      </c>
      <c r="G423" s="42" t="str">
        <f aca="false">IFERROR(INDEX(Customer_Master!$D$2:$D$49,MATCH(D423,Customer_Master!$A$2:$A$49,0)),"UNMATCHED")</f>
        <v>Modern Trade</v>
      </c>
      <c r="H423" s="42" t="str">
        <f aca="false">IFERROR(INDEX(Product_Master!$C$2:$C$9,MATCH(E423,Product_Master!$A$2:$A$9,0)),"UNMATCHED")</f>
        <v>Home Care</v>
      </c>
      <c r="I423" s="42" t="str">
        <f aca="false">IFERROR(INDEX(Product_Master!$B$2:$B$9,MATCH(E423,Product_Master!$A$2:$A$9,0)),"UNMATCHED")</f>
        <v>Detergent 1kg</v>
      </c>
      <c r="J423" s="42" t="n">
        <f aca="false">IFERROR(INDEX(Calendar!$B$2:$B$25,MATCH(B423,Calendar!$A$2:$A$25,0)),0)</f>
        <v>2025</v>
      </c>
      <c r="K423" s="42" t="n">
        <f aca="false">IFERROR(VALUE(RIGHT(B423,2)),0)</f>
        <v>12</v>
      </c>
      <c r="L423" s="42" t="str">
        <f aca="false">IFERROR(INDEX(Calendar!$E$2:$E$25,MATCH(B423,Calendar!$A$2:$A$25,0)),"UNMATCHED")</f>
        <v>Actual</v>
      </c>
      <c r="M423" s="42" t="n">
        <f aca="false">Sales_Transactions!F423</f>
        <v>304</v>
      </c>
      <c r="N423" s="52" t="n">
        <f aca="false">Sales_Transactions!I423</f>
        <v>63830.88</v>
      </c>
      <c r="O423" s="52" t="n">
        <f aca="false">Sales_Transactions!J423</f>
        <v>43216.64</v>
      </c>
      <c r="P423" s="52" t="n">
        <f aca="false">Sales_Transactions!K423</f>
        <v>20614.24</v>
      </c>
      <c r="Q423" s="42" t="n">
        <f aca="false">IF(ISNUMBER(MATCH(E423,Product_Master!$A$2:$A$9,0)),0,1)</f>
        <v>0</v>
      </c>
      <c r="R423" s="42" t="n">
        <f aca="false">IF(ISNUMBER(MATCH(D423,Customer_Master!$A$2:$A$49,0)),0,1)</f>
        <v>0</v>
      </c>
      <c r="S423" s="42" t="n">
        <f aca="false">IF(ISNUMBER(MATCH(B423,Calendar!$A$2:$A$25,0)),0,1)</f>
        <v>0</v>
      </c>
      <c r="T423" s="42" t="n">
        <f aca="false">IF(COUNTIF(Sales_Transactions!$A$2:$A$865,A423)&gt;1,1,0)</f>
        <v>0</v>
      </c>
      <c r="U423" s="42" t="n">
        <f aca="false">IF(OR(ABS(Sales_Transactions!F423*Sales_Transactions!G423-Sales_Transactions!I423)&gt;0.01,ABS(Sales_Transactions!F423*Sales_Transactions!H423-Sales_Transactions!J423)&gt;0.01,ABS(Sales_Transactions!I423-Sales_Transactions!J423-Sales_Transactions!K423)&gt;0.01),1,0)</f>
        <v>0</v>
      </c>
      <c r="V423" s="42" t="n">
        <f aca="false">IF(C423&lt;&gt;L423,1,0)</f>
        <v>0</v>
      </c>
      <c r="W423" s="42" t="n">
        <f aca="false">IF(SUM(Q423:V423)&gt;0,1,0)</f>
        <v>0</v>
      </c>
    </row>
    <row r="424" customFormat="false" ht="15" hidden="false" customHeight="false" outlineLevel="0" collapsed="false">
      <c r="A424" s="42" t="str">
        <f aca="false">Sales_Transactions!A424</f>
        <v>INV-12-027</v>
      </c>
      <c r="B424" s="42" t="str">
        <f aca="false">Sales_Transactions!B424</f>
        <v>2025-12</v>
      </c>
      <c r="C424" s="42" t="str">
        <f aca="false">Sales_Transactions!C424</f>
        <v>Actual</v>
      </c>
      <c r="D424" s="42" t="str">
        <f aca="false">Sales_Transactions!D424</f>
        <v>C024</v>
      </c>
      <c r="E424" s="42" t="str">
        <f aca="false">Sales_Transactions!E424</f>
        <v>P006</v>
      </c>
      <c r="F424" s="42" t="str">
        <f aca="false">IFERROR(INDEX(Customer_Master!$C$2:$C$49,MATCH(D424,Customer_Master!$A$2:$A$49,0)),"UNMATCHED")</f>
        <v>East</v>
      </c>
      <c r="G424" s="42" t="str">
        <f aca="false">IFERROR(INDEX(Customer_Master!$D$2:$D$49,MATCH(D424,Customer_Master!$A$2:$A$49,0)),"UNMATCHED")</f>
        <v>Retail</v>
      </c>
      <c r="H424" s="42" t="str">
        <f aca="false">IFERROR(INDEX(Product_Master!$C$2:$C$9,MATCH(E424,Product_Master!$A$2:$A$9,0)),"UNMATCHED")</f>
        <v>Foods</v>
      </c>
      <c r="I424" s="42" t="str">
        <f aca="false">IFERROR(INDEX(Product_Master!$B$2:$B$9,MATCH(E424,Product_Master!$A$2:$A$9,0)),"UNMATCHED")</f>
        <v>Breakfast Cereal</v>
      </c>
      <c r="J424" s="42" t="n">
        <f aca="false">IFERROR(INDEX(Calendar!$B$2:$B$25,MATCH(B424,Calendar!$A$2:$A$25,0)),0)</f>
        <v>2025</v>
      </c>
      <c r="K424" s="42" t="n">
        <f aca="false">IFERROR(VALUE(RIGHT(B424,2)),0)</f>
        <v>12</v>
      </c>
      <c r="L424" s="42" t="str">
        <f aca="false">IFERROR(INDEX(Calendar!$E$2:$E$25,MATCH(B424,Calendar!$A$2:$A$25,0)),"UNMATCHED")</f>
        <v>Actual</v>
      </c>
      <c r="M424" s="42" t="n">
        <f aca="false">Sales_Transactions!F424</f>
        <v>403</v>
      </c>
      <c r="N424" s="52" t="n">
        <f aca="false">Sales_Transactions!I424</f>
        <v>99657.87</v>
      </c>
      <c r="O424" s="52" t="n">
        <f aca="false">Sales_Transactions!J424</f>
        <v>65201.37</v>
      </c>
      <c r="P424" s="52" t="n">
        <f aca="false">Sales_Transactions!K424</f>
        <v>34456.5</v>
      </c>
      <c r="Q424" s="42" t="n">
        <f aca="false">IF(ISNUMBER(MATCH(E424,Product_Master!$A$2:$A$9,0)),0,1)</f>
        <v>0</v>
      </c>
      <c r="R424" s="42" t="n">
        <f aca="false">IF(ISNUMBER(MATCH(D424,Customer_Master!$A$2:$A$49,0)),0,1)</f>
        <v>0</v>
      </c>
      <c r="S424" s="42" t="n">
        <f aca="false">IF(ISNUMBER(MATCH(B424,Calendar!$A$2:$A$25,0)),0,1)</f>
        <v>0</v>
      </c>
      <c r="T424" s="42" t="n">
        <f aca="false">IF(COUNTIF(Sales_Transactions!$A$2:$A$865,A424)&gt;1,1,0)</f>
        <v>0</v>
      </c>
      <c r="U424" s="42" t="n">
        <f aca="false">IF(OR(ABS(Sales_Transactions!F424*Sales_Transactions!G424-Sales_Transactions!I424)&gt;0.01,ABS(Sales_Transactions!F424*Sales_Transactions!H424-Sales_Transactions!J424)&gt;0.01,ABS(Sales_Transactions!I424-Sales_Transactions!J424-Sales_Transactions!K424)&gt;0.01),1,0)</f>
        <v>0</v>
      </c>
      <c r="V424" s="42" t="n">
        <f aca="false">IF(C424&lt;&gt;L424,1,0)</f>
        <v>0</v>
      </c>
      <c r="W424" s="42" t="n">
        <f aca="false">IF(SUM(Q424:V424)&gt;0,1,0)</f>
        <v>0</v>
      </c>
    </row>
    <row r="425" customFormat="false" ht="15" hidden="false" customHeight="false" outlineLevel="0" collapsed="false">
      <c r="A425" s="42" t="str">
        <f aca="false">Sales_Transactions!A425</f>
        <v>INV-12-028</v>
      </c>
      <c r="B425" s="42" t="str">
        <f aca="false">Sales_Transactions!B425</f>
        <v>2025-12</v>
      </c>
      <c r="C425" s="42" t="str">
        <f aca="false">Sales_Transactions!C425</f>
        <v>Actual</v>
      </c>
      <c r="D425" s="42" t="str">
        <f aca="false">Sales_Transactions!D425</f>
        <v>C031</v>
      </c>
      <c r="E425" s="42" t="str">
        <f aca="false">Sales_Transactions!E425</f>
        <v>P003</v>
      </c>
      <c r="F425" s="42" t="str">
        <f aca="false">IFERROR(INDEX(Customer_Master!$C$2:$C$49,MATCH(D425,Customer_Master!$A$2:$A$49,0)),"UNMATCHED")</f>
        <v>West</v>
      </c>
      <c r="G425" s="42" t="str">
        <f aca="false">IFERROR(INDEX(Customer_Master!$D$2:$D$49,MATCH(D425,Customer_Master!$A$2:$A$49,0)),"UNMATCHED")</f>
        <v>Distributor</v>
      </c>
      <c r="H425" s="42" t="str">
        <f aca="false">IFERROR(INDEX(Product_Master!$C$2:$C$9,MATCH(E425,Product_Master!$A$2:$A$9,0)),"UNMATCHED")</f>
        <v>Personal Care</v>
      </c>
      <c r="I425" s="42" t="str">
        <f aca="false">IFERROR(INDEX(Product_Master!$B$2:$B$9,MATCH(E425,Product_Master!$A$2:$A$9,0)),"UNMATCHED")</f>
        <v>Shampoo 400ml</v>
      </c>
      <c r="J425" s="42" t="n">
        <f aca="false">IFERROR(INDEX(Calendar!$B$2:$B$25,MATCH(B425,Calendar!$A$2:$A$25,0)),0)</f>
        <v>2025</v>
      </c>
      <c r="K425" s="42" t="n">
        <f aca="false">IFERROR(VALUE(RIGHT(B425,2)),0)</f>
        <v>12</v>
      </c>
      <c r="L425" s="42" t="str">
        <f aca="false">IFERROR(INDEX(Calendar!$E$2:$E$25,MATCH(B425,Calendar!$A$2:$A$25,0)),"UNMATCHED")</f>
        <v>Actual</v>
      </c>
      <c r="M425" s="42" t="n">
        <f aca="false">Sales_Transactions!F425</f>
        <v>98</v>
      </c>
      <c r="N425" s="52" t="n">
        <f aca="false">Sales_Transactions!I425</f>
        <v>26594.26</v>
      </c>
      <c r="O425" s="52" t="n">
        <f aca="false">Sales_Transactions!J425</f>
        <v>17410.68</v>
      </c>
      <c r="P425" s="52" t="n">
        <f aca="false">Sales_Transactions!K425</f>
        <v>9183.58</v>
      </c>
      <c r="Q425" s="42" t="n">
        <f aca="false">IF(ISNUMBER(MATCH(E425,Product_Master!$A$2:$A$9,0)),0,1)</f>
        <v>0</v>
      </c>
      <c r="R425" s="42" t="n">
        <f aca="false">IF(ISNUMBER(MATCH(D425,Customer_Master!$A$2:$A$49,0)),0,1)</f>
        <v>0</v>
      </c>
      <c r="S425" s="42" t="n">
        <f aca="false">IF(ISNUMBER(MATCH(B425,Calendar!$A$2:$A$25,0)),0,1)</f>
        <v>0</v>
      </c>
      <c r="T425" s="42" t="n">
        <f aca="false">IF(COUNTIF(Sales_Transactions!$A$2:$A$865,A425)&gt;1,1,0)</f>
        <v>0</v>
      </c>
      <c r="U425" s="42" t="n">
        <f aca="false">IF(OR(ABS(Sales_Transactions!F425*Sales_Transactions!G425-Sales_Transactions!I425)&gt;0.01,ABS(Sales_Transactions!F425*Sales_Transactions!H425-Sales_Transactions!J425)&gt;0.01,ABS(Sales_Transactions!I425-Sales_Transactions!J425-Sales_Transactions!K425)&gt;0.01),1,0)</f>
        <v>0</v>
      </c>
      <c r="V425" s="42" t="n">
        <f aca="false">IF(C425&lt;&gt;L425,1,0)</f>
        <v>0</v>
      </c>
      <c r="W425" s="42" t="n">
        <f aca="false">IF(SUM(Q425:V425)&gt;0,1,0)</f>
        <v>0</v>
      </c>
    </row>
    <row r="426" customFormat="false" ht="15" hidden="false" customHeight="false" outlineLevel="0" collapsed="false">
      <c r="A426" s="42" t="str">
        <f aca="false">Sales_Transactions!A426</f>
        <v>INV-12-029</v>
      </c>
      <c r="B426" s="42" t="str">
        <f aca="false">Sales_Transactions!B426</f>
        <v>2025-12</v>
      </c>
      <c r="C426" s="42" t="str">
        <f aca="false">Sales_Transactions!C426</f>
        <v>Actual</v>
      </c>
      <c r="D426" s="42" t="str">
        <f aca="false">Sales_Transactions!D426</f>
        <v>C038</v>
      </c>
      <c r="E426" s="42" t="str">
        <f aca="false">Sales_Transactions!E426</f>
        <v>P008</v>
      </c>
      <c r="F426" s="42" t="str">
        <f aca="false">IFERROR(INDEX(Customer_Master!$C$2:$C$49,MATCH(D426,Customer_Master!$A$2:$A$49,0)),"UNMATCHED")</f>
        <v>North</v>
      </c>
      <c r="G426" s="42" t="str">
        <f aca="false">IFERROR(INDEX(Customer_Master!$D$2:$D$49,MATCH(D426,Customer_Master!$A$2:$A$49,0)),"UNMATCHED")</f>
        <v>Modern Trade</v>
      </c>
      <c r="H426" s="42" t="str">
        <f aca="false">IFERROR(INDEX(Product_Master!$C$2:$C$9,MATCH(E426,Product_Master!$A$2:$A$9,0)),"UNMATCHED")</f>
        <v>Personal Care</v>
      </c>
      <c r="I426" s="42" t="str">
        <f aca="false">IFERROR(INDEX(Product_Master!$B$2:$B$9,MATCH(E426,Product_Master!$A$2:$A$9,0)),"UNMATCHED")</f>
        <v>Body Lotion</v>
      </c>
      <c r="J426" s="42" t="n">
        <f aca="false">IFERROR(INDEX(Calendar!$B$2:$B$25,MATCH(B426,Calendar!$A$2:$A$25,0)),0)</f>
        <v>2025</v>
      </c>
      <c r="K426" s="42" t="n">
        <f aca="false">IFERROR(VALUE(RIGHT(B426,2)),0)</f>
        <v>12</v>
      </c>
      <c r="L426" s="42" t="str">
        <f aca="false">IFERROR(INDEX(Calendar!$E$2:$E$25,MATCH(B426,Calendar!$A$2:$A$25,0)),"UNMATCHED")</f>
        <v>Actual</v>
      </c>
      <c r="M426" s="42" t="n">
        <f aca="false">Sales_Transactions!F426</f>
        <v>440</v>
      </c>
      <c r="N426" s="52" t="n">
        <f aca="false">Sales_Transactions!I426</f>
        <v>132242</v>
      </c>
      <c r="O426" s="52" t="n">
        <f aca="false">Sales_Transactions!J426</f>
        <v>87247.6</v>
      </c>
      <c r="P426" s="52" t="n">
        <f aca="false">Sales_Transactions!K426</f>
        <v>44994.4</v>
      </c>
      <c r="Q426" s="42" t="n">
        <f aca="false">IF(ISNUMBER(MATCH(E426,Product_Master!$A$2:$A$9,0)),0,1)</f>
        <v>0</v>
      </c>
      <c r="R426" s="42" t="n">
        <f aca="false">IF(ISNUMBER(MATCH(D426,Customer_Master!$A$2:$A$49,0)),0,1)</f>
        <v>0</v>
      </c>
      <c r="S426" s="42" t="n">
        <f aca="false">IF(ISNUMBER(MATCH(B426,Calendar!$A$2:$A$25,0)),0,1)</f>
        <v>0</v>
      </c>
      <c r="T426" s="42" t="n">
        <f aca="false">IF(COUNTIF(Sales_Transactions!$A$2:$A$865,A426)&gt;1,1,0)</f>
        <v>0</v>
      </c>
      <c r="U426" s="42" t="n">
        <f aca="false">IF(OR(ABS(Sales_Transactions!F426*Sales_Transactions!G426-Sales_Transactions!I426)&gt;0.01,ABS(Sales_Transactions!F426*Sales_Transactions!H426-Sales_Transactions!J426)&gt;0.01,ABS(Sales_Transactions!I426-Sales_Transactions!J426-Sales_Transactions!K426)&gt;0.01),1,0)</f>
        <v>0</v>
      </c>
      <c r="V426" s="42" t="n">
        <f aca="false">IF(C426&lt;&gt;L426,1,0)</f>
        <v>0</v>
      </c>
      <c r="W426" s="42" t="n">
        <f aca="false">IF(SUM(Q426:V426)&gt;0,1,0)</f>
        <v>0</v>
      </c>
    </row>
    <row r="427" customFormat="false" ht="15" hidden="false" customHeight="false" outlineLevel="0" collapsed="false">
      <c r="A427" s="42" t="str">
        <f aca="false">Sales_Transactions!A427</f>
        <v>INV-12-030</v>
      </c>
      <c r="B427" s="42" t="str">
        <f aca="false">Sales_Transactions!B427</f>
        <v>2025-12</v>
      </c>
      <c r="C427" s="42" t="str">
        <f aca="false">Sales_Transactions!C427</f>
        <v>Actual</v>
      </c>
      <c r="D427" s="42" t="str">
        <f aca="false">Sales_Transactions!D427</f>
        <v>C045</v>
      </c>
      <c r="E427" s="42" t="str">
        <f aca="false">Sales_Transactions!E427</f>
        <v>P005</v>
      </c>
      <c r="F427" s="42" t="str">
        <f aca="false">IFERROR(INDEX(Customer_Master!$C$2:$C$49,MATCH(D427,Customer_Master!$A$2:$A$49,0)),"UNMATCHED")</f>
        <v>South</v>
      </c>
      <c r="G427" s="42" t="str">
        <f aca="false">IFERROR(INDEX(Customer_Master!$D$2:$D$49,MATCH(D427,Customer_Master!$A$2:$A$49,0)),"UNMATCHED")</f>
        <v>Retail</v>
      </c>
      <c r="H427" s="42" t="str">
        <f aca="false">IFERROR(INDEX(Product_Master!$C$2:$C$9,MATCH(E427,Product_Master!$A$2:$A$9,0)),"UNMATCHED")</f>
        <v>Foods</v>
      </c>
      <c r="I427" s="42" t="str">
        <f aca="false">IFERROR(INDEX(Product_Master!$B$2:$B$9,MATCH(E427,Product_Master!$A$2:$A$9,0)),"UNMATCHED")</f>
        <v>Biscuits 500g</v>
      </c>
      <c r="J427" s="42" t="n">
        <f aca="false">IFERROR(INDEX(Calendar!$B$2:$B$25,MATCH(B427,Calendar!$A$2:$A$25,0)),0)</f>
        <v>2025</v>
      </c>
      <c r="K427" s="42" t="n">
        <f aca="false">IFERROR(VALUE(RIGHT(B427,2)),0)</f>
        <v>12</v>
      </c>
      <c r="L427" s="42" t="str">
        <f aca="false">IFERROR(INDEX(Calendar!$E$2:$E$25,MATCH(B427,Calendar!$A$2:$A$25,0)),"UNMATCHED")</f>
        <v>Actual</v>
      </c>
      <c r="M427" s="42" t="n">
        <f aca="false">Sales_Transactions!F427</f>
        <v>444</v>
      </c>
      <c r="N427" s="52" t="n">
        <f aca="false">Sales_Transactions!I427</f>
        <v>48307.2</v>
      </c>
      <c r="O427" s="52" t="n">
        <f aca="false">Sales_Transactions!J427</f>
        <v>31848.12</v>
      </c>
      <c r="P427" s="52" t="n">
        <f aca="false">Sales_Transactions!K427</f>
        <v>16459.08</v>
      </c>
      <c r="Q427" s="42" t="n">
        <f aca="false">IF(ISNUMBER(MATCH(E427,Product_Master!$A$2:$A$9,0)),0,1)</f>
        <v>0</v>
      </c>
      <c r="R427" s="42" t="n">
        <f aca="false">IF(ISNUMBER(MATCH(D427,Customer_Master!$A$2:$A$49,0)),0,1)</f>
        <v>0</v>
      </c>
      <c r="S427" s="42" t="n">
        <f aca="false">IF(ISNUMBER(MATCH(B427,Calendar!$A$2:$A$25,0)),0,1)</f>
        <v>0</v>
      </c>
      <c r="T427" s="42" t="n">
        <f aca="false">IF(COUNTIF(Sales_Transactions!$A$2:$A$865,A427)&gt;1,1,0)</f>
        <v>0</v>
      </c>
      <c r="U427" s="42" t="n">
        <f aca="false">IF(OR(ABS(Sales_Transactions!F427*Sales_Transactions!G427-Sales_Transactions!I427)&gt;0.01,ABS(Sales_Transactions!F427*Sales_Transactions!H427-Sales_Transactions!J427)&gt;0.01,ABS(Sales_Transactions!I427-Sales_Transactions!J427-Sales_Transactions!K427)&gt;0.01),1,0)</f>
        <v>0</v>
      </c>
      <c r="V427" s="42" t="n">
        <f aca="false">IF(C427&lt;&gt;L427,1,0)</f>
        <v>0</v>
      </c>
      <c r="W427" s="42" t="n">
        <f aca="false">IF(SUM(Q427:V427)&gt;0,1,0)</f>
        <v>0</v>
      </c>
    </row>
    <row r="428" customFormat="false" ht="15" hidden="false" customHeight="false" outlineLevel="0" collapsed="false">
      <c r="A428" s="42" t="str">
        <f aca="false">Sales_Transactions!A428</f>
        <v>INV-12-031</v>
      </c>
      <c r="B428" s="42" t="str">
        <f aca="false">Sales_Transactions!B428</f>
        <v>2025-12</v>
      </c>
      <c r="C428" s="42" t="str">
        <f aca="false">Sales_Transactions!C428</f>
        <v>Actual</v>
      </c>
      <c r="D428" s="42" t="str">
        <f aca="false">Sales_Transactions!D428</f>
        <v>C004</v>
      </c>
      <c r="E428" s="42" t="str">
        <f aca="false">Sales_Transactions!E428</f>
        <v>P002</v>
      </c>
      <c r="F428" s="42" t="str">
        <f aca="false">IFERROR(INDEX(Customer_Master!$C$2:$C$49,MATCH(D428,Customer_Master!$A$2:$A$49,0)),"UNMATCHED")</f>
        <v>East</v>
      </c>
      <c r="G428" s="42" t="str">
        <f aca="false">IFERROR(INDEX(Customer_Master!$D$2:$D$49,MATCH(D428,Customer_Master!$A$2:$A$49,0)),"UNMATCHED")</f>
        <v>Distributor</v>
      </c>
      <c r="H428" s="42" t="str">
        <f aca="false">IFERROR(INDEX(Product_Master!$C$2:$C$9,MATCH(E428,Product_Master!$A$2:$A$9,0)),"UNMATCHED")</f>
        <v>Home Care</v>
      </c>
      <c r="I428" s="42" t="str">
        <f aca="false">IFERROR(INDEX(Product_Master!$B$2:$B$9,MATCH(E428,Product_Master!$A$2:$A$9,0)),"UNMATCHED")</f>
        <v>Dishwash Gel</v>
      </c>
      <c r="J428" s="42" t="n">
        <f aca="false">IFERROR(INDEX(Calendar!$B$2:$B$25,MATCH(B428,Calendar!$A$2:$A$25,0)),0)</f>
        <v>2025</v>
      </c>
      <c r="K428" s="42" t="n">
        <f aca="false">IFERROR(VALUE(RIGHT(B428,2)),0)</f>
        <v>12</v>
      </c>
      <c r="L428" s="42" t="str">
        <f aca="false">IFERROR(INDEX(Calendar!$E$2:$E$25,MATCH(B428,Calendar!$A$2:$A$25,0)),"UNMATCHED")</f>
        <v>Actual</v>
      </c>
      <c r="M428" s="42" t="n">
        <f aca="false">Sales_Transactions!F428</f>
        <v>264</v>
      </c>
      <c r="N428" s="52" t="n">
        <f aca="false">Sales_Transactions!I428</f>
        <v>34100.88</v>
      </c>
      <c r="O428" s="52" t="n">
        <f aca="false">Sales_Transactions!J428</f>
        <v>23041.92</v>
      </c>
      <c r="P428" s="52" t="n">
        <f aca="false">Sales_Transactions!K428</f>
        <v>11058.96</v>
      </c>
      <c r="Q428" s="42" t="n">
        <f aca="false">IF(ISNUMBER(MATCH(E428,Product_Master!$A$2:$A$9,0)),0,1)</f>
        <v>0</v>
      </c>
      <c r="R428" s="42" t="n">
        <f aca="false">IF(ISNUMBER(MATCH(D428,Customer_Master!$A$2:$A$49,0)),0,1)</f>
        <v>0</v>
      </c>
      <c r="S428" s="42" t="n">
        <f aca="false">IF(ISNUMBER(MATCH(B428,Calendar!$A$2:$A$25,0)),0,1)</f>
        <v>0</v>
      </c>
      <c r="T428" s="42" t="n">
        <f aca="false">IF(COUNTIF(Sales_Transactions!$A$2:$A$865,A428)&gt;1,1,0)</f>
        <v>0</v>
      </c>
      <c r="U428" s="42" t="n">
        <f aca="false">IF(OR(ABS(Sales_Transactions!F428*Sales_Transactions!G428-Sales_Transactions!I428)&gt;0.01,ABS(Sales_Transactions!F428*Sales_Transactions!H428-Sales_Transactions!J428)&gt;0.01,ABS(Sales_Transactions!I428-Sales_Transactions!J428-Sales_Transactions!K428)&gt;0.01),1,0)</f>
        <v>0</v>
      </c>
      <c r="V428" s="42" t="n">
        <f aca="false">IF(C428&lt;&gt;L428,1,0)</f>
        <v>0</v>
      </c>
      <c r="W428" s="42" t="n">
        <f aca="false">IF(SUM(Q428:V428)&gt;0,1,0)</f>
        <v>0</v>
      </c>
    </row>
    <row r="429" customFormat="false" ht="15" hidden="false" customHeight="false" outlineLevel="0" collapsed="false">
      <c r="A429" s="42" t="str">
        <f aca="false">Sales_Transactions!A429</f>
        <v>INV-12-032</v>
      </c>
      <c r="B429" s="42" t="str">
        <f aca="false">Sales_Transactions!B429</f>
        <v>2025-12</v>
      </c>
      <c r="C429" s="42" t="str">
        <f aca="false">Sales_Transactions!C429</f>
        <v>Actual</v>
      </c>
      <c r="D429" s="42" t="str">
        <f aca="false">Sales_Transactions!D429</f>
        <v>C011</v>
      </c>
      <c r="E429" s="42" t="str">
        <f aca="false">Sales_Transactions!E429</f>
        <v>P007</v>
      </c>
      <c r="F429" s="42" t="str">
        <f aca="false">IFERROR(INDEX(Customer_Master!$C$2:$C$49,MATCH(D429,Customer_Master!$A$2:$A$49,0)),"UNMATCHED")</f>
        <v>West</v>
      </c>
      <c r="G429" s="42" t="str">
        <f aca="false">IFERROR(INDEX(Customer_Master!$D$2:$D$49,MATCH(D429,Customer_Master!$A$2:$A$49,0)),"UNMATCHED")</f>
        <v>Modern Trade</v>
      </c>
      <c r="H429" s="42" t="str">
        <f aca="false">IFERROR(INDEX(Product_Master!$C$2:$C$9,MATCH(E429,Product_Master!$A$2:$A$9,0)),"UNMATCHED")</f>
        <v>Home Care</v>
      </c>
      <c r="I429" s="42" t="str">
        <f aca="false">IFERROR(INDEX(Product_Master!$B$2:$B$9,MATCH(E429,Product_Master!$A$2:$A$9,0)),"UNMATCHED")</f>
        <v>Floor Cleaner</v>
      </c>
      <c r="J429" s="42" t="n">
        <f aca="false">IFERROR(INDEX(Calendar!$B$2:$B$25,MATCH(B429,Calendar!$A$2:$A$25,0)),0)</f>
        <v>2025</v>
      </c>
      <c r="K429" s="42" t="n">
        <f aca="false">IFERROR(VALUE(RIGHT(B429,2)),0)</f>
        <v>12</v>
      </c>
      <c r="L429" s="42" t="str">
        <f aca="false">IFERROR(INDEX(Calendar!$E$2:$E$25,MATCH(B429,Calendar!$A$2:$A$25,0)),"UNMATCHED")</f>
        <v>Actual</v>
      </c>
      <c r="M429" s="42" t="n">
        <f aca="false">Sales_Transactions!F429</f>
        <v>374</v>
      </c>
      <c r="N429" s="52" t="n">
        <f aca="false">Sales_Transactions!I429</f>
        <v>69317.16</v>
      </c>
      <c r="O429" s="52" t="n">
        <f aca="false">Sales_Transactions!J429</f>
        <v>40564.04</v>
      </c>
      <c r="P429" s="52" t="n">
        <f aca="false">Sales_Transactions!K429</f>
        <v>28753.12</v>
      </c>
      <c r="Q429" s="42" t="n">
        <f aca="false">IF(ISNUMBER(MATCH(E429,Product_Master!$A$2:$A$9,0)),0,1)</f>
        <v>0</v>
      </c>
      <c r="R429" s="42" t="n">
        <f aca="false">IF(ISNUMBER(MATCH(D429,Customer_Master!$A$2:$A$49,0)),0,1)</f>
        <v>0</v>
      </c>
      <c r="S429" s="42" t="n">
        <f aca="false">IF(ISNUMBER(MATCH(B429,Calendar!$A$2:$A$25,0)),0,1)</f>
        <v>0</v>
      </c>
      <c r="T429" s="42" t="n">
        <f aca="false">IF(COUNTIF(Sales_Transactions!$A$2:$A$865,A429)&gt;1,1,0)</f>
        <v>0</v>
      </c>
      <c r="U429" s="42" t="n">
        <f aca="false">IF(OR(ABS(Sales_Transactions!F429*Sales_Transactions!G429-Sales_Transactions!I429)&gt;0.01,ABS(Sales_Transactions!F429*Sales_Transactions!H429-Sales_Transactions!J429)&gt;0.01,ABS(Sales_Transactions!I429-Sales_Transactions!J429-Sales_Transactions!K429)&gt;0.01),1,0)</f>
        <v>0</v>
      </c>
      <c r="V429" s="42" t="n">
        <f aca="false">IF(C429&lt;&gt;L429,1,0)</f>
        <v>0</v>
      </c>
      <c r="W429" s="42" t="n">
        <f aca="false">IF(SUM(Q429:V429)&gt;0,1,0)</f>
        <v>0</v>
      </c>
    </row>
    <row r="430" customFormat="false" ht="15" hidden="false" customHeight="false" outlineLevel="0" collapsed="false">
      <c r="A430" s="42" t="str">
        <f aca="false">Sales_Transactions!A430</f>
        <v>INV-12-033</v>
      </c>
      <c r="B430" s="42" t="str">
        <f aca="false">Sales_Transactions!B430</f>
        <v>2025-12</v>
      </c>
      <c r="C430" s="42" t="str">
        <f aca="false">Sales_Transactions!C430</f>
        <v>Actual</v>
      </c>
      <c r="D430" s="42" t="str">
        <f aca="false">Sales_Transactions!D430</f>
        <v>C018</v>
      </c>
      <c r="E430" s="42" t="str">
        <f aca="false">Sales_Transactions!E430</f>
        <v>P004</v>
      </c>
      <c r="F430" s="42" t="str">
        <f aca="false">IFERROR(INDEX(Customer_Master!$C$2:$C$49,MATCH(D430,Customer_Master!$A$2:$A$49,0)),"UNMATCHED")</f>
        <v>North</v>
      </c>
      <c r="G430" s="42" t="str">
        <f aca="false">IFERROR(INDEX(Customer_Master!$D$2:$D$49,MATCH(D430,Customer_Master!$A$2:$A$49,0)),"UNMATCHED")</f>
        <v>Retail</v>
      </c>
      <c r="H430" s="42" t="str">
        <f aca="false">IFERROR(INDEX(Product_Master!$C$2:$C$9,MATCH(E430,Product_Master!$A$2:$A$9,0)),"UNMATCHED")</f>
        <v>Personal Care</v>
      </c>
      <c r="I430" s="42" t="str">
        <f aca="false">IFERROR(INDEX(Product_Master!$B$2:$B$9,MATCH(E430,Product_Master!$A$2:$A$9,0)),"UNMATCHED")</f>
        <v>Soap 4-pack</v>
      </c>
      <c r="J430" s="42" t="n">
        <f aca="false">IFERROR(INDEX(Calendar!$B$2:$B$25,MATCH(B430,Calendar!$A$2:$A$25,0)),0)</f>
        <v>2025</v>
      </c>
      <c r="K430" s="42" t="n">
        <f aca="false">IFERROR(VALUE(RIGHT(B430,2)),0)</f>
        <v>12</v>
      </c>
      <c r="L430" s="42" t="str">
        <f aca="false">IFERROR(INDEX(Calendar!$E$2:$E$25,MATCH(B430,Calendar!$A$2:$A$25,0)),"UNMATCHED")</f>
        <v>Actual</v>
      </c>
      <c r="M430" s="42" t="n">
        <f aca="false">Sales_Transactions!F430</f>
        <v>409</v>
      </c>
      <c r="N430" s="52" t="n">
        <f aca="false">Sales_Transactions!I430</f>
        <v>72744.74</v>
      </c>
      <c r="O430" s="52" t="n">
        <f aca="false">Sales_Transactions!J430</f>
        <v>38126.98</v>
      </c>
      <c r="P430" s="52" t="n">
        <f aca="false">Sales_Transactions!K430</f>
        <v>34617.76</v>
      </c>
      <c r="Q430" s="42" t="n">
        <f aca="false">IF(ISNUMBER(MATCH(E430,Product_Master!$A$2:$A$9,0)),0,1)</f>
        <v>0</v>
      </c>
      <c r="R430" s="42" t="n">
        <f aca="false">IF(ISNUMBER(MATCH(D430,Customer_Master!$A$2:$A$49,0)),0,1)</f>
        <v>0</v>
      </c>
      <c r="S430" s="42" t="n">
        <f aca="false">IF(ISNUMBER(MATCH(B430,Calendar!$A$2:$A$25,0)),0,1)</f>
        <v>0</v>
      </c>
      <c r="T430" s="42" t="n">
        <f aca="false">IF(COUNTIF(Sales_Transactions!$A$2:$A$865,A430)&gt;1,1,0)</f>
        <v>0</v>
      </c>
      <c r="U430" s="42" t="n">
        <f aca="false">IF(OR(ABS(Sales_Transactions!F430*Sales_Transactions!G430-Sales_Transactions!I430)&gt;0.01,ABS(Sales_Transactions!F430*Sales_Transactions!H430-Sales_Transactions!J430)&gt;0.01,ABS(Sales_Transactions!I430-Sales_Transactions!J430-Sales_Transactions!K430)&gt;0.01),1,0)</f>
        <v>0</v>
      </c>
      <c r="V430" s="42" t="n">
        <f aca="false">IF(C430&lt;&gt;L430,1,0)</f>
        <v>0</v>
      </c>
      <c r="W430" s="42" t="n">
        <f aca="false">IF(SUM(Q430:V430)&gt;0,1,0)</f>
        <v>0</v>
      </c>
    </row>
    <row r="431" customFormat="false" ht="15" hidden="false" customHeight="false" outlineLevel="0" collapsed="false">
      <c r="A431" s="42" t="str">
        <f aca="false">Sales_Transactions!A431</f>
        <v>INV-12-034</v>
      </c>
      <c r="B431" s="42" t="str">
        <f aca="false">Sales_Transactions!B431</f>
        <v>2025-12</v>
      </c>
      <c r="C431" s="42" t="str">
        <f aca="false">Sales_Transactions!C431</f>
        <v>Actual</v>
      </c>
      <c r="D431" s="42" t="str">
        <f aca="false">Sales_Transactions!D431</f>
        <v>C025</v>
      </c>
      <c r="E431" s="42" t="str">
        <f aca="false">Sales_Transactions!E431</f>
        <v>P001</v>
      </c>
      <c r="F431" s="42" t="str">
        <f aca="false">IFERROR(INDEX(Customer_Master!$C$2:$C$49,MATCH(D431,Customer_Master!$A$2:$A$49,0)),"UNMATCHED")</f>
        <v>South</v>
      </c>
      <c r="G431" s="42" t="str">
        <f aca="false">IFERROR(INDEX(Customer_Master!$D$2:$D$49,MATCH(D431,Customer_Master!$A$2:$A$49,0)),"UNMATCHED")</f>
        <v>Distributor</v>
      </c>
      <c r="H431" s="42" t="str">
        <f aca="false">IFERROR(INDEX(Product_Master!$C$2:$C$9,MATCH(E431,Product_Master!$A$2:$A$9,0)),"UNMATCHED")</f>
        <v>Home Care</v>
      </c>
      <c r="I431" s="42" t="str">
        <f aca="false">IFERROR(INDEX(Product_Master!$B$2:$B$9,MATCH(E431,Product_Master!$A$2:$A$9,0)),"UNMATCHED")</f>
        <v>Detergent 1kg</v>
      </c>
      <c r="J431" s="42" t="n">
        <f aca="false">IFERROR(INDEX(Calendar!$B$2:$B$25,MATCH(B431,Calendar!$A$2:$A$25,0)),0)</f>
        <v>2025</v>
      </c>
      <c r="K431" s="42" t="n">
        <f aca="false">IFERROR(VALUE(RIGHT(B431,2)),0)</f>
        <v>12</v>
      </c>
      <c r="L431" s="42" t="str">
        <f aca="false">IFERROR(INDEX(Calendar!$E$2:$E$25,MATCH(B431,Calendar!$A$2:$A$25,0)),"UNMATCHED")</f>
        <v>Actual</v>
      </c>
      <c r="M431" s="42" t="n">
        <f aca="false">Sales_Transactions!F431</f>
        <v>356</v>
      </c>
      <c r="N431" s="52" t="n">
        <f aca="false">Sales_Transactions!I431</f>
        <v>68626.12</v>
      </c>
      <c r="O431" s="52" t="n">
        <f aca="false">Sales_Transactions!J431</f>
        <v>47479.72</v>
      </c>
      <c r="P431" s="52" t="n">
        <f aca="false">Sales_Transactions!K431</f>
        <v>21146.4</v>
      </c>
      <c r="Q431" s="42" t="n">
        <f aca="false">IF(ISNUMBER(MATCH(E431,Product_Master!$A$2:$A$9,0)),0,1)</f>
        <v>0</v>
      </c>
      <c r="R431" s="42" t="n">
        <f aca="false">IF(ISNUMBER(MATCH(D431,Customer_Master!$A$2:$A$49,0)),0,1)</f>
        <v>0</v>
      </c>
      <c r="S431" s="42" t="n">
        <f aca="false">IF(ISNUMBER(MATCH(B431,Calendar!$A$2:$A$25,0)),0,1)</f>
        <v>0</v>
      </c>
      <c r="T431" s="42" t="n">
        <f aca="false">IF(COUNTIF(Sales_Transactions!$A$2:$A$865,A431)&gt;1,1,0)</f>
        <v>0</v>
      </c>
      <c r="U431" s="42" t="n">
        <f aca="false">IF(OR(ABS(Sales_Transactions!F431*Sales_Transactions!G431-Sales_Transactions!I431)&gt;0.01,ABS(Sales_Transactions!F431*Sales_Transactions!H431-Sales_Transactions!J431)&gt;0.01,ABS(Sales_Transactions!I431-Sales_Transactions!J431-Sales_Transactions!K431)&gt;0.01),1,0)</f>
        <v>0</v>
      </c>
      <c r="V431" s="42" t="n">
        <f aca="false">IF(C431&lt;&gt;L431,1,0)</f>
        <v>0</v>
      </c>
      <c r="W431" s="42" t="n">
        <f aca="false">IF(SUM(Q431:V431)&gt;0,1,0)</f>
        <v>0</v>
      </c>
    </row>
    <row r="432" customFormat="false" ht="15" hidden="false" customHeight="false" outlineLevel="0" collapsed="false">
      <c r="A432" s="42" t="str">
        <f aca="false">Sales_Transactions!A432</f>
        <v>INV-12-035</v>
      </c>
      <c r="B432" s="42" t="str">
        <f aca="false">Sales_Transactions!B432</f>
        <v>2025-12</v>
      </c>
      <c r="C432" s="42" t="str">
        <f aca="false">Sales_Transactions!C432</f>
        <v>Actual</v>
      </c>
      <c r="D432" s="42" t="str">
        <f aca="false">Sales_Transactions!D432</f>
        <v>C032</v>
      </c>
      <c r="E432" s="42" t="str">
        <f aca="false">Sales_Transactions!E432</f>
        <v>P006</v>
      </c>
      <c r="F432" s="42" t="str">
        <f aca="false">IFERROR(INDEX(Customer_Master!$C$2:$C$49,MATCH(D432,Customer_Master!$A$2:$A$49,0)),"UNMATCHED")</f>
        <v>East</v>
      </c>
      <c r="G432" s="42" t="str">
        <f aca="false">IFERROR(INDEX(Customer_Master!$D$2:$D$49,MATCH(D432,Customer_Master!$A$2:$A$49,0)),"UNMATCHED")</f>
        <v>Modern Trade</v>
      </c>
      <c r="H432" s="42" t="str">
        <f aca="false">IFERROR(INDEX(Product_Master!$C$2:$C$9,MATCH(E432,Product_Master!$A$2:$A$9,0)),"UNMATCHED")</f>
        <v>Foods</v>
      </c>
      <c r="I432" s="42" t="str">
        <f aca="false">IFERROR(INDEX(Product_Master!$B$2:$B$9,MATCH(E432,Product_Master!$A$2:$A$9,0)),"UNMATCHED")</f>
        <v>Breakfast Cereal</v>
      </c>
      <c r="J432" s="42" t="n">
        <f aca="false">IFERROR(INDEX(Calendar!$B$2:$B$25,MATCH(B432,Calendar!$A$2:$A$25,0)),0)</f>
        <v>2025</v>
      </c>
      <c r="K432" s="42" t="n">
        <f aca="false">IFERROR(VALUE(RIGHT(B432,2)),0)</f>
        <v>12</v>
      </c>
      <c r="L432" s="42" t="str">
        <f aca="false">IFERROR(INDEX(Calendar!$E$2:$E$25,MATCH(B432,Calendar!$A$2:$A$25,0)),"UNMATCHED")</f>
        <v>Actual</v>
      </c>
      <c r="M432" s="42" t="n">
        <f aca="false">Sales_Transactions!F432</f>
        <v>259</v>
      </c>
      <c r="N432" s="52" t="n">
        <f aca="false">Sales_Transactions!I432</f>
        <v>60132.03</v>
      </c>
      <c r="O432" s="52" t="n">
        <f aca="false">Sales_Transactions!J432</f>
        <v>40297.81</v>
      </c>
      <c r="P432" s="52" t="n">
        <f aca="false">Sales_Transactions!K432</f>
        <v>19834.22</v>
      </c>
      <c r="Q432" s="42" t="n">
        <f aca="false">IF(ISNUMBER(MATCH(E432,Product_Master!$A$2:$A$9,0)),0,1)</f>
        <v>0</v>
      </c>
      <c r="R432" s="42" t="n">
        <f aca="false">IF(ISNUMBER(MATCH(D432,Customer_Master!$A$2:$A$49,0)),0,1)</f>
        <v>0</v>
      </c>
      <c r="S432" s="42" t="n">
        <f aca="false">IF(ISNUMBER(MATCH(B432,Calendar!$A$2:$A$25,0)),0,1)</f>
        <v>0</v>
      </c>
      <c r="T432" s="42" t="n">
        <f aca="false">IF(COUNTIF(Sales_Transactions!$A$2:$A$865,A432)&gt;1,1,0)</f>
        <v>0</v>
      </c>
      <c r="U432" s="42" t="n">
        <f aca="false">IF(OR(ABS(Sales_Transactions!F432*Sales_Transactions!G432-Sales_Transactions!I432)&gt;0.01,ABS(Sales_Transactions!F432*Sales_Transactions!H432-Sales_Transactions!J432)&gt;0.01,ABS(Sales_Transactions!I432-Sales_Transactions!J432-Sales_Transactions!K432)&gt;0.01),1,0)</f>
        <v>0</v>
      </c>
      <c r="V432" s="42" t="n">
        <f aca="false">IF(C432&lt;&gt;L432,1,0)</f>
        <v>0</v>
      </c>
      <c r="W432" s="42" t="n">
        <f aca="false">IF(SUM(Q432:V432)&gt;0,1,0)</f>
        <v>0</v>
      </c>
    </row>
    <row r="433" customFormat="false" ht="15" hidden="false" customHeight="false" outlineLevel="0" collapsed="false">
      <c r="A433" s="42" t="str">
        <f aca="false">Sales_Transactions!A433</f>
        <v>INV-12-036</v>
      </c>
      <c r="B433" s="42" t="str">
        <f aca="false">Sales_Transactions!B433</f>
        <v>2025-12</v>
      </c>
      <c r="C433" s="42" t="str">
        <f aca="false">Sales_Transactions!C433</f>
        <v>Actual</v>
      </c>
      <c r="D433" s="42" t="str">
        <f aca="false">Sales_Transactions!D433</f>
        <v>C039</v>
      </c>
      <c r="E433" s="42" t="str">
        <f aca="false">Sales_Transactions!E433</f>
        <v>P003</v>
      </c>
      <c r="F433" s="42" t="str">
        <f aca="false">IFERROR(INDEX(Customer_Master!$C$2:$C$49,MATCH(D433,Customer_Master!$A$2:$A$49,0)),"UNMATCHED")</f>
        <v>West</v>
      </c>
      <c r="G433" s="42" t="str">
        <f aca="false">IFERROR(INDEX(Customer_Master!$D$2:$D$49,MATCH(D433,Customer_Master!$A$2:$A$49,0)),"UNMATCHED")</f>
        <v>Retail</v>
      </c>
      <c r="H433" s="42" t="str">
        <f aca="false">IFERROR(INDEX(Product_Master!$C$2:$C$9,MATCH(E433,Product_Master!$A$2:$A$9,0)),"UNMATCHED")</f>
        <v>Personal Care</v>
      </c>
      <c r="I433" s="42" t="str">
        <f aca="false">IFERROR(INDEX(Product_Master!$B$2:$B$9,MATCH(E433,Product_Master!$A$2:$A$9,0)),"UNMATCHED")</f>
        <v>Shampoo 400ml</v>
      </c>
      <c r="J433" s="42" t="n">
        <f aca="false">IFERROR(INDEX(Calendar!$B$2:$B$25,MATCH(B433,Calendar!$A$2:$A$25,0)),0)</f>
        <v>2025</v>
      </c>
      <c r="K433" s="42" t="n">
        <f aca="false">IFERROR(VALUE(RIGHT(B433,2)),0)</f>
        <v>12</v>
      </c>
      <c r="L433" s="42" t="str">
        <f aca="false">IFERROR(INDEX(Calendar!$E$2:$E$25,MATCH(B433,Calendar!$A$2:$A$25,0)),"UNMATCHED")</f>
        <v>Actual</v>
      </c>
      <c r="M433" s="42" t="n">
        <f aca="false">Sales_Transactions!F433</f>
        <v>251</v>
      </c>
      <c r="N433" s="52" t="n">
        <f aca="false">Sales_Transactions!I433</f>
        <v>69647.48</v>
      </c>
      <c r="O433" s="52" t="n">
        <f aca="false">Sales_Transactions!J433</f>
        <v>44128.31</v>
      </c>
      <c r="P433" s="52" t="n">
        <f aca="false">Sales_Transactions!K433</f>
        <v>25519.17</v>
      </c>
      <c r="Q433" s="42" t="n">
        <f aca="false">IF(ISNUMBER(MATCH(E433,Product_Master!$A$2:$A$9,0)),0,1)</f>
        <v>0</v>
      </c>
      <c r="R433" s="42" t="n">
        <f aca="false">IF(ISNUMBER(MATCH(D433,Customer_Master!$A$2:$A$49,0)),0,1)</f>
        <v>0</v>
      </c>
      <c r="S433" s="42" t="n">
        <f aca="false">IF(ISNUMBER(MATCH(B433,Calendar!$A$2:$A$25,0)),0,1)</f>
        <v>0</v>
      </c>
      <c r="T433" s="42" t="n">
        <f aca="false">IF(COUNTIF(Sales_Transactions!$A$2:$A$865,A433)&gt;1,1,0)</f>
        <v>0</v>
      </c>
      <c r="U433" s="42" t="n">
        <f aca="false">IF(OR(ABS(Sales_Transactions!F433*Sales_Transactions!G433-Sales_Transactions!I433)&gt;0.01,ABS(Sales_Transactions!F433*Sales_Transactions!H433-Sales_Transactions!J433)&gt;0.01,ABS(Sales_Transactions!I433-Sales_Transactions!J433-Sales_Transactions!K433)&gt;0.01),1,0)</f>
        <v>0</v>
      </c>
      <c r="V433" s="42" t="n">
        <f aca="false">IF(C433&lt;&gt;L433,1,0)</f>
        <v>0</v>
      </c>
      <c r="W433" s="42" t="n">
        <f aca="false">IF(SUM(Q433:V433)&gt;0,1,0)</f>
        <v>0</v>
      </c>
    </row>
    <row r="434" customFormat="false" ht="15" hidden="false" customHeight="false" outlineLevel="0" collapsed="false">
      <c r="A434" s="42" t="str">
        <f aca="false">Sales_Transactions!A434</f>
        <v>INV-13-001</v>
      </c>
      <c r="B434" s="42" t="str">
        <f aca="false">Sales_Transactions!B434</f>
        <v>2026-01</v>
      </c>
      <c r="C434" s="42" t="str">
        <f aca="false">Sales_Transactions!C434</f>
        <v>Actual</v>
      </c>
      <c r="D434" s="42" t="str">
        <f aca="false">Sales_Transactions!D434</f>
        <v>C037</v>
      </c>
      <c r="E434" s="42" t="str">
        <f aca="false">Sales_Transactions!E434</f>
        <v>P005</v>
      </c>
      <c r="F434" s="42" t="str">
        <f aca="false">IFERROR(INDEX(Customer_Master!$C$2:$C$49,MATCH(D434,Customer_Master!$A$2:$A$49,0)),"UNMATCHED")</f>
        <v>South</v>
      </c>
      <c r="G434" s="42" t="str">
        <f aca="false">IFERROR(INDEX(Customer_Master!$D$2:$D$49,MATCH(D434,Customer_Master!$A$2:$A$49,0)),"UNMATCHED")</f>
        <v>Distributor</v>
      </c>
      <c r="H434" s="42" t="str">
        <f aca="false">IFERROR(INDEX(Product_Master!$C$2:$C$9,MATCH(E434,Product_Master!$A$2:$A$9,0)),"UNMATCHED")</f>
        <v>Foods</v>
      </c>
      <c r="I434" s="42" t="str">
        <f aca="false">IFERROR(INDEX(Product_Master!$B$2:$B$9,MATCH(E434,Product_Master!$A$2:$A$9,0)),"UNMATCHED")</f>
        <v>Biscuits 500g</v>
      </c>
      <c r="J434" s="42" t="n">
        <f aca="false">IFERROR(INDEX(Calendar!$B$2:$B$25,MATCH(B434,Calendar!$A$2:$A$25,0)),0)</f>
        <v>2026</v>
      </c>
      <c r="K434" s="42" t="n">
        <f aca="false">IFERROR(VALUE(RIGHT(B434,2)),0)</f>
        <v>1</v>
      </c>
      <c r="L434" s="42" t="str">
        <f aca="false">IFERROR(INDEX(Calendar!$E$2:$E$25,MATCH(B434,Calendar!$A$2:$A$25,0)),"UNMATCHED")</f>
        <v>Actual</v>
      </c>
      <c r="M434" s="42" t="n">
        <f aca="false">Sales_Transactions!F434</f>
        <v>128</v>
      </c>
      <c r="N434" s="52" t="n">
        <f aca="false">Sales_Transactions!I434</f>
        <v>14147.84</v>
      </c>
      <c r="O434" s="52" t="n">
        <f aca="false">Sales_Transactions!J434</f>
        <v>8392.96</v>
      </c>
      <c r="P434" s="52" t="n">
        <f aca="false">Sales_Transactions!K434</f>
        <v>5754.88</v>
      </c>
      <c r="Q434" s="42" t="n">
        <f aca="false">IF(ISNUMBER(MATCH(E434,Product_Master!$A$2:$A$9,0)),0,1)</f>
        <v>0</v>
      </c>
      <c r="R434" s="42" t="n">
        <f aca="false">IF(ISNUMBER(MATCH(D434,Customer_Master!$A$2:$A$49,0)),0,1)</f>
        <v>0</v>
      </c>
      <c r="S434" s="42" t="n">
        <f aca="false">IF(ISNUMBER(MATCH(B434,Calendar!$A$2:$A$25,0)),0,1)</f>
        <v>0</v>
      </c>
      <c r="T434" s="42" t="n">
        <f aca="false">IF(COUNTIF(Sales_Transactions!$A$2:$A$865,A434)&gt;1,1,0)</f>
        <v>0</v>
      </c>
      <c r="U434" s="42" t="n">
        <f aca="false">IF(OR(ABS(Sales_Transactions!F434*Sales_Transactions!G434-Sales_Transactions!I434)&gt;0.01,ABS(Sales_Transactions!F434*Sales_Transactions!H434-Sales_Transactions!J434)&gt;0.01,ABS(Sales_Transactions!I434-Sales_Transactions!J434-Sales_Transactions!K434)&gt;0.01),1,0)</f>
        <v>0</v>
      </c>
      <c r="V434" s="42" t="n">
        <f aca="false">IF(C434&lt;&gt;L434,1,0)</f>
        <v>0</v>
      </c>
      <c r="W434" s="42" t="n">
        <f aca="false">IF(SUM(Q434:V434)&gt;0,1,0)</f>
        <v>0</v>
      </c>
    </row>
    <row r="435" customFormat="false" ht="15" hidden="false" customHeight="false" outlineLevel="0" collapsed="false">
      <c r="A435" s="42" t="str">
        <f aca="false">Sales_Transactions!A435</f>
        <v>INV-13-002</v>
      </c>
      <c r="B435" s="42" t="str">
        <f aca="false">Sales_Transactions!B435</f>
        <v>2026-01</v>
      </c>
      <c r="C435" s="42" t="str">
        <f aca="false">Sales_Transactions!C435</f>
        <v>Actual</v>
      </c>
      <c r="D435" s="42" t="str">
        <f aca="false">Sales_Transactions!D435</f>
        <v>C044</v>
      </c>
      <c r="E435" s="42" t="str">
        <f aca="false">Sales_Transactions!E435</f>
        <v>P002</v>
      </c>
      <c r="F435" s="42" t="str">
        <f aca="false">IFERROR(INDEX(Customer_Master!$C$2:$C$49,MATCH(D435,Customer_Master!$A$2:$A$49,0)),"UNMATCHED")</f>
        <v>East</v>
      </c>
      <c r="G435" s="42" t="str">
        <f aca="false">IFERROR(INDEX(Customer_Master!$D$2:$D$49,MATCH(D435,Customer_Master!$A$2:$A$49,0)),"UNMATCHED")</f>
        <v>Modern Trade</v>
      </c>
      <c r="H435" s="42" t="str">
        <f aca="false">IFERROR(INDEX(Product_Master!$C$2:$C$9,MATCH(E435,Product_Master!$A$2:$A$9,0)),"UNMATCHED")</f>
        <v>Home Care</v>
      </c>
      <c r="I435" s="42" t="str">
        <f aca="false">IFERROR(INDEX(Product_Master!$B$2:$B$9,MATCH(E435,Product_Master!$A$2:$A$9,0)),"UNMATCHED")</f>
        <v>Dishwash Gel</v>
      </c>
      <c r="J435" s="42" t="n">
        <f aca="false">IFERROR(INDEX(Calendar!$B$2:$B$25,MATCH(B435,Calendar!$A$2:$A$25,0)),0)</f>
        <v>2026</v>
      </c>
      <c r="K435" s="42" t="n">
        <f aca="false">IFERROR(VALUE(RIGHT(B435,2)),0)</f>
        <v>1</v>
      </c>
      <c r="L435" s="42" t="str">
        <f aca="false">IFERROR(INDEX(Calendar!$E$2:$E$25,MATCH(B435,Calendar!$A$2:$A$25,0)),"UNMATCHED")</f>
        <v>Actual</v>
      </c>
      <c r="M435" s="42" t="n">
        <f aca="false">Sales_Transactions!F435</f>
        <v>401</v>
      </c>
      <c r="N435" s="52" t="n">
        <f aca="false">Sales_Transactions!I435</f>
        <v>52125.99</v>
      </c>
      <c r="O435" s="52" t="n">
        <f aca="false">Sales_Transactions!J435</f>
        <v>31887.52</v>
      </c>
      <c r="P435" s="52" t="n">
        <f aca="false">Sales_Transactions!K435</f>
        <v>20238.47</v>
      </c>
      <c r="Q435" s="42" t="n">
        <f aca="false">IF(ISNUMBER(MATCH(E435,Product_Master!$A$2:$A$9,0)),0,1)</f>
        <v>0</v>
      </c>
      <c r="R435" s="42" t="n">
        <f aca="false">IF(ISNUMBER(MATCH(D435,Customer_Master!$A$2:$A$49,0)),0,1)</f>
        <v>0</v>
      </c>
      <c r="S435" s="42" t="n">
        <f aca="false">IF(ISNUMBER(MATCH(B435,Calendar!$A$2:$A$25,0)),0,1)</f>
        <v>0</v>
      </c>
      <c r="T435" s="42" t="n">
        <f aca="false">IF(COUNTIF(Sales_Transactions!$A$2:$A$865,A435)&gt;1,1,0)</f>
        <v>0</v>
      </c>
      <c r="U435" s="42" t="n">
        <f aca="false">IF(OR(ABS(Sales_Transactions!F435*Sales_Transactions!G435-Sales_Transactions!I435)&gt;0.01,ABS(Sales_Transactions!F435*Sales_Transactions!H435-Sales_Transactions!J435)&gt;0.01,ABS(Sales_Transactions!I435-Sales_Transactions!J435-Sales_Transactions!K435)&gt;0.01),1,0)</f>
        <v>0</v>
      </c>
      <c r="V435" s="42" t="n">
        <f aca="false">IF(C435&lt;&gt;L435,1,0)</f>
        <v>0</v>
      </c>
      <c r="W435" s="42" t="n">
        <f aca="false">IF(SUM(Q435:V435)&gt;0,1,0)</f>
        <v>0</v>
      </c>
    </row>
    <row r="436" customFormat="false" ht="15" hidden="false" customHeight="false" outlineLevel="0" collapsed="false">
      <c r="A436" s="42" t="str">
        <f aca="false">Sales_Transactions!A436</f>
        <v>INV-13-003</v>
      </c>
      <c r="B436" s="42" t="str">
        <f aca="false">Sales_Transactions!B436</f>
        <v>2026-01</v>
      </c>
      <c r="C436" s="42" t="str">
        <f aca="false">Sales_Transactions!C436</f>
        <v>Actual</v>
      </c>
      <c r="D436" s="42" t="str">
        <f aca="false">Sales_Transactions!D436</f>
        <v>C003</v>
      </c>
      <c r="E436" s="42" t="str">
        <f aca="false">Sales_Transactions!E436</f>
        <v>P007</v>
      </c>
      <c r="F436" s="42" t="str">
        <f aca="false">IFERROR(INDEX(Customer_Master!$C$2:$C$49,MATCH(D436,Customer_Master!$A$2:$A$49,0)),"UNMATCHED")</f>
        <v>West</v>
      </c>
      <c r="G436" s="42" t="str">
        <f aca="false">IFERROR(INDEX(Customer_Master!$D$2:$D$49,MATCH(D436,Customer_Master!$A$2:$A$49,0)),"UNMATCHED")</f>
        <v>Retail</v>
      </c>
      <c r="H436" s="42" t="str">
        <f aca="false">IFERROR(INDEX(Product_Master!$C$2:$C$9,MATCH(E436,Product_Master!$A$2:$A$9,0)),"UNMATCHED")</f>
        <v>Home Care</v>
      </c>
      <c r="I436" s="42" t="str">
        <f aca="false">IFERROR(INDEX(Product_Master!$B$2:$B$9,MATCH(E436,Product_Master!$A$2:$A$9,0)),"UNMATCHED")</f>
        <v>Floor Cleaner</v>
      </c>
      <c r="J436" s="42" t="n">
        <f aca="false">IFERROR(INDEX(Calendar!$B$2:$B$25,MATCH(B436,Calendar!$A$2:$A$25,0)),0)</f>
        <v>2026</v>
      </c>
      <c r="K436" s="42" t="n">
        <f aca="false">IFERROR(VALUE(RIGHT(B436,2)),0)</f>
        <v>1</v>
      </c>
      <c r="L436" s="42" t="str">
        <f aca="false">IFERROR(INDEX(Calendar!$E$2:$E$25,MATCH(B436,Calendar!$A$2:$A$25,0)),"UNMATCHED")</f>
        <v>Actual</v>
      </c>
      <c r="M436" s="42" t="n">
        <f aca="false">Sales_Transactions!F436</f>
        <v>311</v>
      </c>
      <c r="N436" s="52" t="n">
        <f aca="false">Sales_Transactions!I436</f>
        <v>57674.95</v>
      </c>
      <c r="O436" s="52" t="n">
        <f aca="false">Sales_Transactions!J436</f>
        <v>35469.55</v>
      </c>
      <c r="P436" s="52" t="n">
        <f aca="false">Sales_Transactions!K436</f>
        <v>22205.4</v>
      </c>
      <c r="Q436" s="42" t="n">
        <f aca="false">IF(ISNUMBER(MATCH(E436,Product_Master!$A$2:$A$9,0)),0,1)</f>
        <v>0</v>
      </c>
      <c r="R436" s="42" t="n">
        <f aca="false">IF(ISNUMBER(MATCH(D436,Customer_Master!$A$2:$A$49,0)),0,1)</f>
        <v>0</v>
      </c>
      <c r="S436" s="42" t="n">
        <f aca="false">IF(ISNUMBER(MATCH(B436,Calendar!$A$2:$A$25,0)),0,1)</f>
        <v>0</v>
      </c>
      <c r="T436" s="42" t="n">
        <f aca="false">IF(COUNTIF(Sales_Transactions!$A$2:$A$865,A436)&gt;1,1,0)</f>
        <v>0</v>
      </c>
      <c r="U436" s="42" t="n">
        <f aca="false">IF(OR(ABS(Sales_Transactions!F436*Sales_Transactions!G436-Sales_Transactions!I436)&gt;0.01,ABS(Sales_Transactions!F436*Sales_Transactions!H436-Sales_Transactions!J436)&gt;0.01,ABS(Sales_Transactions!I436-Sales_Transactions!J436-Sales_Transactions!K436)&gt;0.01),1,0)</f>
        <v>0</v>
      </c>
      <c r="V436" s="42" t="n">
        <f aca="false">IF(C436&lt;&gt;L436,1,0)</f>
        <v>0</v>
      </c>
      <c r="W436" s="42" t="n">
        <f aca="false">IF(SUM(Q436:V436)&gt;0,1,0)</f>
        <v>0</v>
      </c>
    </row>
    <row r="437" customFormat="false" ht="15" hidden="false" customHeight="false" outlineLevel="0" collapsed="false">
      <c r="A437" s="42" t="str">
        <f aca="false">Sales_Transactions!A437</f>
        <v>INV-13-004</v>
      </c>
      <c r="B437" s="42" t="str">
        <f aca="false">Sales_Transactions!B437</f>
        <v>2026-01</v>
      </c>
      <c r="C437" s="42" t="str">
        <f aca="false">Sales_Transactions!C437</f>
        <v>Actual</v>
      </c>
      <c r="D437" s="42" t="str">
        <f aca="false">Sales_Transactions!D437</f>
        <v>C010</v>
      </c>
      <c r="E437" s="42" t="str">
        <f aca="false">Sales_Transactions!E437</f>
        <v>P004</v>
      </c>
      <c r="F437" s="42" t="str">
        <f aca="false">IFERROR(INDEX(Customer_Master!$C$2:$C$49,MATCH(D437,Customer_Master!$A$2:$A$49,0)),"UNMATCHED")</f>
        <v>North</v>
      </c>
      <c r="G437" s="42" t="str">
        <f aca="false">IFERROR(INDEX(Customer_Master!$D$2:$D$49,MATCH(D437,Customer_Master!$A$2:$A$49,0)),"UNMATCHED")</f>
        <v>Distributor</v>
      </c>
      <c r="H437" s="42" t="str">
        <f aca="false">IFERROR(INDEX(Product_Master!$C$2:$C$9,MATCH(E437,Product_Master!$A$2:$A$9,0)),"UNMATCHED")</f>
        <v>Personal Care</v>
      </c>
      <c r="I437" s="42" t="str">
        <f aca="false">IFERROR(INDEX(Product_Master!$B$2:$B$9,MATCH(E437,Product_Master!$A$2:$A$9,0)),"UNMATCHED")</f>
        <v>Soap 4-pack</v>
      </c>
      <c r="J437" s="42" t="n">
        <f aca="false">IFERROR(INDEX(Calendar!$B$2:$B$25,MATCH(B437,Calendar!$A$2:$A$25,0)),0)</f>
        <v>2026</v>
      </c>
      <c r="K437" s="42" t="n">
        <f aca="false">IFERROR(VALUE(RIGHT(B437,2)),0)</f>
        <v>1</v>
      </c>
      <c r="L437" s="42" t="str">
        <f aca="false">IFERROR(INDEX(Calendar!$E$2:$E$25,MATCH(B437,Calendar!$A$2:$A$25,0)),"UNMATCHED")</f>
        <v>Actual</v>
      </c>
      <c r="M437" s="42" t="n">
        <f aca="false">Sales_Transactions!F437</f>
        <v>311</v>
      </c>
      <c r="N437" s="52" t="n">
        <f aca="false">Sales_Transactions!I437</f>
        <v>51367.87</v>
      </c>
      <c r="O437" s="52" t="n">
        <f aca="false">Sales_Transactions!J437</f>
        <v>29433.04</v>
      </c>
      <c r="P437" s="52" t="n">
        <f aca="false">Sales_Transactions!K437</f>
        <v>21934.83</v>
      </c>
      <c r="Q437" s="42" t="n">
        <f aca="false">IF(ISNUMBER(MATCH(E437,Product_Master!$A$2:$A$9,0)),0,1)</f>
        <v>0</v>
      </c>
      <c r="R437" s="42" t="n">
        <f aca="false">IF(ISNUMBER(MATCH(D437,Customer_Master!$A$2:$A$49,0)),0,1)</f>
        <v>0</v>
      </c>
      <c r="S437" s="42" t="n">
        <f aca="false">IF(ISNUMBER(MATCH(B437,Calendar!$A$2:$A$25,0)),0,1)</f>
        <v>0</v>
      </c>
      <c r="T437" s="42" t="n">
        <f aca="false">IF(COUNTIF(Sales_Transactions!$A$2:$A$865,A437)&gt;1,1,0)</f>
        <v>0</v>
      </c>
      <c r="U437" s="42" t="n">
        <f aca="false">IF(OR(ABS(Sales_Transactions!F437*Sales_Transactions!G437-Sales_Transactions!I437)&gt;0.01,ABS(Sales_Transactions!F437*Sales_Transactions!H437-Sales_Transactions!J437)&gt;0.01,ABS(Sales_Transactions!I437-Sales_Transactions!J437-Sales_Transactions!K437)&gt;0.01),1,0)</f>
        <v>0</v>
      </c>
      <c r="V437" s="42" t="n">
        <f aca="false">IF(C437&lt;&gt;L437,1,0)</f>
        <v>0</v>
      </c>
      <c r="W437" s="42" t="n">
        <f aca="false">IF(SUM(Q437:V437)&gt;0,1,0)</f>
        <v>0</v>
      </c>
    </row>
    <row r="438" customFormat="false" ht="15" hidden="false" customHeight="false" outlineLevel="0" collapsed="false">
      <c r="A438" s="42" t="str">
        <f aca="false">Sales_Transactions!A438</f>
        <v>INV-13-005</v>
      </c>
      <c r="B438" s="42" t="str">
        <f aca="false">Sales_Transactions!B438</f>
        <v>2026-01</v>
      </c>
      <c r="C438" s="42" t="str">
        <f aca="false">Sales_Transactions!C438</f>
        <v>Actual</v>
      </c>
      <c r="D438" s="42" t="str">
        <f aca="false">Sales_Transactions!D438</f>
        <v>C017</v>
      </c>
      <c r="E438" s="42" t="str">
        <f aca="false">Sales_Transactions!E438</f>
        <v>P001</v>
      </c>
      <c r="F438" s="42" t="str">
        <f aca="false">IFERROR(INDEX(Customer_Master!$C$2:$C$49,MATCH(D438,Customer_Master!$A$2:$A$49,0)),"UNMATCHED")</f>
        <v>South</v>
      </c>
      <c r="G438" s="42" t="str">
        <f aca="false">IFERROR(INDEX(Customer_Master!$D$2:$D$49,MATCH(D438,Customer_Master!$A$2:$A$49,0)),"UNMATCHED")</f>
        <v>Modern Trade</v>
      </c>
      <c r="H438" s="42" t="str">
        <f aca="false">IFERROR(INDEX(Product_Master!$C$2:$C$9,MATCH(E438,Product_Master!$A$2:$A$9,0)),"UNMATCHED")</f>
        <v>Home Care</v>
      </c>
      <c r="I438" s="42" t="str">
        <f aca="false">IFERROR(INDEX(Product_Master!$B$2:$B$9,MATCH(E438,Product_Master!$A$2:$A$9,0)),"UNMATCHED")</f>
        <v>Detergent 1kg</v>
      </c>
      <c r="J438" s="42" t="n">
        <f aca="false">IFERROR(INDEX(Calendar!$B$2:$B$25,MATCH(B438,Calendar!$A$2:$A$25,0)),0)</f>
        <v>2026</v>
      </c>
      <c r="K438" s="42" t="n">
        <f aca="false">IFERROR(VALUE(RIGHT(B438,2)),0)</f>
        <v>1</v>
      </c>
      <c r="L438" s="42" t="str">
        <f aca="false">IFERROR(INDEX(Calendar!$E$2:$E$25,MATCH(B438,Calendar!$A$2:$A$25,0)),"UNMATCHED")</f>
        <v>Actual</v>
      </c>
      <c r="M438" s="42" t="n">
        <f aca="false">Sales_Transactions!F438</f>
        <v>347</v>
      </c>
      <c r="N438" s="52" t="n">
        <f aca="false">Sales_Transactions!I438</f>
        <v>65933.47</v>
      </c>
      <c r="O438" s="52" t="n">
        <f aca="false">Sales_Transactions!J438</f>
        <v>46334.91</v>
      </c>
      <c r="P438" s="52" t="n">
        <f aca="false">Sales_Transactions!K438</f>
        <v>19598.56</v>
      </c>
      <c r="Q438" s="42" t="n">
        <f aca="false">IF(ISNUMBER(MATCH(E438,Product_Master!$A$2:$A$9,0)),0,1)</f>
        <v>0</v>
      </c>
      <c r="R438" s="42" t="n">
        <f aca="false">IF(ISNUMBER(MATCH(D438,Customer_Master!$A$2:$A$49,0)),0,1)</f>
        <v>0</v>
      </c>
      <c r="S438" s="42" t="n">
        <f aca="false">IF(ISNUMBER(MATCH(B438,Calendar!$A$2:$A$25,0)),0,1)</f>
        <v>0</v>
      </c>
      <c r="T438" s="42" t="n">
        <f aca="false">IF(COUNTIF(Sales_Transactions!$A$2:$A$865,A438)&gt;1,1,0)</f>
        <v>0</v>
      </c>
      <c r="U438" s="42" t="n">
        <f aca="false">IF(OR(ABS(Sales_Transactions!F438*Sales_Transactions!G438-Sales_Transactions!I438)&gt;0.01,ABS(Sales_Transactions!F438*Sales_Transactions!H438-Sales_Transactions!J438)&gt;0.01,ABS(Sales_Transactions!I438-Sales_Transactions!J438-Sales_Transactions!K438)&gt;0.01),1,0)</f>
        <v>0</v>
      </c>
      <c r="V438" s="42" t="n">
        <f aca="false">IF(C438&lt;&gt;L438,1,0)</f>
        <v>0</v>
      </c>
      <c r="W438" s="42" t="n">
        <f aca="false">IF(SUM(Q438:V438)&gt;0,1,0)</f>
        <v>0</v>
      </c>
    </row>
    <row r="439" customFormat="false" ht="15" hidden="false" customHeight="false" outlineLevel="0" collapsed="false">
      <c r="A439" s="42" t="str">
        <f aca="false">Sales_Transactions!A439</f>
        <v>INV-13-006</v>
      </c>
      <c r="B439" s="42" t="str">
        <f aca="false">Sales_Transactions!B439</f>
        <v>2026-01</v>
      </c>
      <c r="C439" s="42" t="str">
        <f aca="false">Sales_Transactions!C439</f>
        <v>Actual</v>
      </c>
      <c r="D439" s="42" t="str">
        <f aca="false">Sales_Transactions!D439</f>
        <v>C024</v>
      </c>
      <c r="E439" s="42" t="str">
        <f aca="false">Sales_Transactions!E439</f>
        <v>P006</v>
      </c>
      <c r="F439" s="42" t="str">
        <f aca="false">IFERROR(INDEX(Customer_Master!$C$2:$C$49,MATCH(D439,Customer_Master!$A$2:$A$49,0)),"UNMATCHED")</f>
        <v>East</v>
      </c>
      <c r="G439" s="42" t="str">
        <f aca="false">IFERROR(INDEX(Customer_Master!$D$2:$D$49,MATCH(D439,Customer_Master!$A$2:$A$49,0)),"UNMATCHED")</f>
        <v>Retail</v>
      </c>
      <c r="H439" s="42" t="str">
        <f aca="false">IFERROR(INDEX(Product_Master!$C$2:$C$9,MATCH(E439,Product_Master!$A$2:$A$9,0)),"UNMATCHED")</f>
        <v>Foods</v>
      </c>
      <c r="I439" s="42" t="str">
        <f aca="false">IFERROR(INDEX(Product_Master!$B$2:$B$9,MATCH(E439,Product_Master!$A$2:$A$9,0)),"UNMATCHED")</f>
        <v>Breakfast Cereal</v>
      </c>
      <c r="J439" s="42" t="n">
        <f aca="false">IFERROR(INDEX(Calendar!$B$2:$B$25,MATCH(B439,Calendar!$A$2:$A$25,0)),0)</f>
        <v>2026</v>
      </c>
      <c r="K439" s="42" t="n">
        <f aca="false">IFERROR(VALUE(RIGHT(B439,2)),0)</f>
        <v>1</v>
      </c>
      <c r="L439" s="42" t="str">
        <f aca="false">IFERROR(INDEX(Calendar!$E$2:$E$25,MATCH(B439,Calendar!$A$2:$A$25,0)),"UNMATCHED")</f>
        <v>Actual</v>
      </c>
      <c r="M439" s="42" t="n">
        <f aca="false">Sales_Transactions!F439</f>
        <v>230</v>
      </c>
      <c r="N439" s="52" t="n">
        <f aca="false">Sales_Transactions!I439</f>
        <v>57368.9</v>
      </c>
      <c r="O439" s="52" t="n">
        <f aca="false">Sales_Transactions!J439</f>
        <v>36997.8</v>
      </c>
      <c r="P439" s="52" t="n">
        <f aca="false">Sales_Transactions!K439</f>
        <v>20371.1</v>
      </c>
      <c r="Q439" s="42" t="n">
        <f aca="false">IF(ISNUMBER(MATCH(E439,Product_Master!$A$2:$A$9,0)),0,1)</f>
        <v>0</v>
      </c>
      <c r="R439" s="42" t="n">
        <f aca="false">IF(ISNUMBER(MATCH(D439,Customer_Master!$A$2:$A$49,0)),0,1)</f>
        <v>0</v>
      </c>
      <c r="S439" s="42" t="n">
        <f aca="false">IF(ISNUMBER(MATCH(B439,Calendar!$A$2:$A$25,0)),0,1)</f>
        <v>0</v>
      </c>
      <c r="T439" s="42" t="n">
        <f aca="false">IF(COUNTIF(Sales_Transactions!$A$2:$A$865,A439)&gt;1,1,0)</f>
        <v>0</v>
      </c>
      <c r="U439" s="42" t="n">
        <f aca="false">IF(OR(ABS(Sales_Transactions!F439*Sales_Transactions!G439-Sales_Transactions!I439)&gt;0.01,ABS(Sales_Transactions!F439*Sales_Transactions!H439-Sales_Transactions!J439)&gt;0.01,ABS(Sales_Transactions!I439-Sales_Transactions!J439-Sales_Transactions!K439)&gt;0.01),1,0)</f>
        <v>0</v>
      </c>
      <c r="V439" s="42" t="n">
        <f aca="false">IF(C439&lt;&gt;L439,1,0)</f>
        <v>0</v>
      </c>
      <c r="W439" s="42" t="n">
        <f aca="false">IF(SUM(Q439:V439)&gt;0,1,0)</f>
        <v>0</v>
      </c>
    </row>
    <row r="440" customFormat="false" ht="15" hidden="false" customHeight="false" outlineLevel="0" collapsed="false">
      <c r="A440" s="42" t="str">
        <f aca="false">Sales_Transactions!A440</f>
        <v>INV-13-007</v>
      </c>
      <c r="B440" s="42" t="str">
        <f aca="false">Sales_Transactions!B440</f>
        <v>2026-01</v>
      </c>
      <c r="C440" s="42" t="str">
        <f aca="false">Sales_Transactions!C440</f>
        <v>Actual</v>
      </c>
      <c r="D440" s="42" t="str">
        <f aca="false">Sales_Transactions!D440</f>
        <v>C031</v>
      </c>
      <c r="E440" s="42" t="str">
        <f aca="false">Sales_Transactions!E440</f>
        <v>P003</v>
      </c>
      <c r="F440" s="42" t="str">
        <f aca="false">IFERROR(INDEX(Customer_Master!$C$2:$C$49,MATCH(D440,Customer_Master!$A$2:$A$49,0)),"UNMATCHED")</f>
        <v>West</v>
      </c>
      <c r="G440" s="42" t="str">
        <f aca="false">IFERROR(INDEX(Customer_Master!$D$2:$D$49,MATCH(D440,Customer_Master!$A$2:$A$49,0)),"UNMATCHED")</f>
        <v>Distributor</v>
      </c>
      <c r="H440" s="42" t="str">
        <f aca="false">IFERROR(INDEX(Product_Master!$C$2:$C$9,MATCH(E440,Product_Master!$A$2:$A$9,0)),"UNMATCHED")</f>
        <v>Personal Care</v>
      </c>
      <c r="I440" s="42" t="str">
        <f aca="false">IFERROR(INDEX(Product_Master!$B$2:$B$9,MATCH(E440,Product_Master!$A$2:$A$9,0)),"UNMATCHED")</f>
        <v>Shampoo 400ml</v>
      </c>
      <c r="J440" s="42" t="n">
        <f aca="false">IFERROR(INDEX(Calendar!$B$2:$B$25,MATCH(B440,Calendar!$A$2:$A$25,0)),0)</f>
        <v>2026</v>
      </c>
      <c r="K440" s="42" t="n">
        <f aca="false">IFERROR(VALUE(RIGHT(B440,2)),0)</f>
        <v>1</v>
      </c>
      <c r="L440" s="42" t="str">
        <f aca="false">IFERROR(INDEX(Calendar!$E$2:$E$25,MATCH(B440,Calendar!$A$2:$A$25,0)),"UNMATCHED")</f>
        <v>Actual</v>
      </c>
      <c r="M440" s="42" t="n">
        <f aca="false">Sales_Transactions!F440</f>
        <v>354</v>
      </c>
      <c r="N440" s="52" t="n">
        <f aca="false">Sales_Transactions!I440</f>
        <v>96811.92</v>
      </c>
      <c r="O440" s="52" t="n">
        <f aca="false">Sales_Transactions!J440</f>
        <v>58441.86</v>
      </c>
      <c r="P440" s="52" t="n">
        <f aca="false">Sales_Transactions!K440</f>
        <v>38370.06</v>
      </c>
      <c r="Q440" s="42" t="n">
        <f aca="false">IF(ISNUMBER(MATCH(E440,Product_Master!$A$2:$A$9,0)),0,1)</f>
        <v>0</v>
      </c>
      <c r="R440" s="42" t="n">
        <f aca="false">IF(ISNUMBER(MATCH(D440,Customer_Master!$A$2:$A$49,0)),0,1)</f>
        <v>0</v>
      </c>
      <c r="S440" s="42" t="n">
        <f aca="false">IF(ISNUMBER(MATCH(B440,Calendar!$A$2:$A$25,0)),0,1)</f>
        <v>0</v>
      </c>
      <c r="T440" s="42" t="n">
        <f aca="false">IF(COUNTIF(Sales_Transactions!$A$2:$A$865,A440)&gt;1,1,0)</f>
        <v>0</v>
      </c>
      <c r="U440" s="42" t="n">
        <f aca="false">IF(OR(ABS(Sales_Transactions!F440*Sales_Transactions!G440-Sales_Transactions!I440)&gt;0.01,ABS(Sales_Transactions!F440*Sales_Transactions!H440-Sales_Transactions!J440)&gt;0.01,ABS(Sales_Transactions!I440-Sales_Transactions!J440-Sales_Transactions!K440)&gt;0.01),1,0)</f>
        <v>0</v>
      </c>
      <c r="V440" s="42" t="n">
        <f aca="false">IF(C440&lt;&gt;L440,1,0)</f>
        <v>0</v>
      </c>
      <c r="W440" s="42" t="n">
        <f aca="false">IF(SUM(Q440:V440)&gt;0,1,0)</f>
        <v>0</v>
      </c>
    </row>
    <row r="441" customFormat="false" ht="15" hidden="false" customHeight="false" outlineLevel="0" collapsed="false">
      <c r="A441" s="42" t="str">
        <f aca="false">Sales_Transactions!A441</f>
        <v>INV-13-008</v>
      </c>
      <c r="B441" s="42" t="str">
        <f aca="false">Sales_Transactions!B441</f>
        <v>2026-01</v>
      </c>
      <c r="C441" s="42" t="str">
        <f aca="false">Sales_Transactions!C441</f>
        <v>Actual</v>
      </c>
      <c r="D441" s="42" t="str">
        <f aca="false">Sales_Transactions!D441</f>
        <v>C038</v>
      </c>
      <c r="E441" s="42" t="str">
        <f aca="false">Sales_Transactions!E441</f>
        <v>P008</v>
      </c>
      <c r="F441" s="42" t="str">
        <f aca="false">IFERROR(INDEX(Customer_Master!$C$2:$C$49,MATCH(D441,Customer_Master!$A$2:$A$49,0)),"UNMATCHED")</f>
        <v>North</v>
      </c>
      <c r="G441" s="42" t="str">
        <f aca="false">IFERROR(INDEX(Customer_Master!$D$2:$D$49,MATCH(D441,Customer_Master!$A$2:$A$49,0)),"UNMATCHED")</f>
        <v>Modern Trade</v>
      </c>
      <c r="H441" s="42" t="str">
        <f aca="false">IFERROR(INDEX(Product_Master!$C$2:$C$9,MATCH(E441,Product_Master!$A$2:$A$9,0)),"UNMATCHED")</f>
        <v>Personal Care</v>
      </c>
      <c r="I441" s="42" t="str">
        <f aca="false">IFERROR(INDEX(Product_Master!$B$2:$B$9,MATCH(E441,Product_Master!$A$2:$A$9,0)),"UNMATCHED")</f>
        <v>Body Lotion</v>
      </c>
      <c r="J441" s="42" t="n">
        <f aca="false">IFERROR(INDEX(Calendar!$B$2:$B$25,MATCH(B441,Calendar!$A$2:$A$25,0)),0)</f>
        <v>2026</v>
      </c>
      <c r="K441" s="42" t="n">
        <f aca="false">IFERROR(VALUE(RIGHT(B441,2)),0)</f>
        <v>1</v>
      </c>
      <c r="L441" s="42" t="str">
        <f aca="false">IFERROR(INDEX(Calendar!$E$2:$E$25,MATCH(B441,Calendar!$A$2:$A$25,0)),"UNMATCHED")</f>
        <v>Actual</v>
      </c>
      <c r="M441" s="42" t="n">
        <f aca="false">Sales_Transactions!F441</f>
        <v>287</v>
      </c>
      <c r="N441" s="52" t="n">
        <f aca="false">Sales_Transactions!I441</f>
        <v>94951.08</v>
      </c>
      <c r="O441" s="52" t="n">
        <f aca="false">Sales_Transactions!J441</f>
        <v>56036.75</v>
      </c>
      <c r="P441" s="52" t="n">
        <f aca="false">Sales_Transactions!K441</f>
        <v>38914.33</v>
      </c>
      <c r="Q441" s="42" t="n">
        <f aca="false">IF(ISNUMBER(MATCH(E441,Product_Master!$A$2:$A$9,0)),0,1)</f>
        <v>0</v>
      </c>
      <c r="R441" s="42" t="n">
        <f aca="false">IF(ISNUMBER(MATCH(D441,Customer_Master!$A$2:$A$49,0)),0,1)</f>
        <v>0</v>
      </c>
      <c r="S441" s="42" t="n">
        <f aca="false">IF(ISNUMBER(MATCH(B441,Calendar!$A$2:$A$25,0)),0,1)</f>
        <v>0</v>
      </c>
      <c r="T441" s="42" t="n">
        <f aca="false">IF(COUNTIF(Sales_Transactions!$A$2:$A$865,A441)&gt;1,1,0)</f>
        <v>0</v>
      </c>
      <c r="U441" s="42" t="n">
        <f aca="false">IF(OR(ABS(Sales_Transactions!F441*Sales_Transactions!G441-Sales_Transactions!I441)&gt;0.01,ABS(Sales_Transactions!F441*Sales_Transactions!H441-Sales_Transactions!J441)&gt;0.01,ABS(Sales_Transactions!I441-Sales_Transactions!J441-Sales_Transactions!K441)&gt;0.01),1,0)</f>
        <v>0</v>
      </c>
      <c r="V441" s="42" t="n">
        <f aca="false">IF(C441&lt;&gt;L441,1,0)</f>
        <v>0</v>
      </c>
      <c r="W441" s="42" t="n">
        <f aca="false">IF(SUM(Q441:V441)&gt;0,1,0)</f>
        <v>0</v>
      </c>
    </row>
    <row r="442" customFormat="false" ht="15" hidden="false" customHeight="false" outlineLevel="0" collapsed="false">
      <c r="A442" s="42" t="str">
        <f aca="false">Sales_Transactions!A442</f>
        <v>INV-13-009</v>
      </c>
      <c r="B442" s="42" t="str">
        <f aca="false">Sales_Transactions!B442</f>
        <v>2026-01</v>
      </c>
      <c r="C442" s="42" t="str">
        <f aca="false">Sales_Transactions!C442</f>
        <v>Actual</v>
      </c>
      <c r="D442" s="42" t="str">
        <f aca="false">Sales_Transactions!D442</f>
        <v>C045</v>
      </c>
      <c r="E442" s="42" t="str">
        <f aca="false">Sales_Transactions!E442</f>
        <v>P005</v>
      </c>
      <c r="F442" s="42" t="str">
        <f aca="false">IFERROR(INDEX(Customer_Master!$C$2:$C$49,MATCH(D442,Customer_Master!$A$2:$A$49,0)),"UNMATCHED")</f>
        <v>South</v>
      </c>
      <c r="G442" s="42" t="str">
        <f aca="false">IFERROR(INDEX(Customer_Master!$D$2:$D$49,MATCH(D442,Customer_Master!$A$2:$A$49,0)),"UNMATCHED")</f>
        <v>Retail</v>
      </c>
      <c r="H442" s="42" t="str">
        <f aca="false">IFERROR(INDEX(Product_Master!$C$2:$C$9,MATCH(E442,Product_Master!$A$2:$A$9,0)),"UNMATCHED")</f>
        <v>Foods</v>
      </c>
      <c r="I442" s="42" t="str">
        <f aca="false">IFERROR(INDEX(Product_Master!$B$2:$B$9,MATCH(E442,Product_Master!$A$2:$A$9,0)),"UNMATCHED")</f>
        <v>Biscuits 500g</v>
      </c>
      <c r="J442" s="42" t="n">
        <f aca="false">IFERROR(INDEX(Calendar!$B$2:$B$25,MATCH(B442,Calendar!$A$2:$A$25,0)),0)</f>
        <v>2026</v>
      </c>
      <c r="K442" s="42" t="n">
        <f aca="false">IFERROR(VALUE(RIGHT(B442,2)),0)</f>
        <v>1</v>
      </c>
      <c r="L442" s="42" t="str">
        <f aca="false">IFERROR(INDEX(Calendar!$E$2:$E$25,MATCH(B442,Calendar!$A$2:$A$25,0)),"UNMATCHED")</f>
        <v>Actual</v>
      </c>
      <c r="M442" s="42" t="n">
        <f aca="false">Sales_Transactions!F442</f>
        <v>189</v>
      </c>
      <c r="N442" s="52" t="n">
        <f aca="false">Sales_Transactions!I442</f>
        <v>19317.69</v>
      </c>
      <c r="O442" s="52" t="n">
        <f aca="false">Sales_Transactions!J442</f>
        <v>12477.78</v>
      </c>
      <c r="P442" s="52" t="n">
        <f aca="false">Sales_Transactions!K442</f>
        <v>6839.91</v>
      </c>
      <c r="Q442" s="42" t="n">
        <f aca="false">IF(ISNUMBER(MATCH(E442,Product_Master!$A$2:$A$9,0)),0,1)</f>
        <v>0</v>
      </c>
      <c r="R442" s="42" t="n">
        <f aca="false">IF(ISNUMBER(MATCH(D442,Customer_Master!$A$2:$A$49,0)),0,1)</f>
        <v>0</v>
      </c>
      <c r="S442" s="42" t="n">
        <f aca="false">IF(ISNUMBER(MATCH(B442,Calendar!$A$2:$A$25,0)),0,1)</f>
        <v>0</v>
      </c>
      <c r="T442" s="42" t="n">
        <f aca="false">IF(COUNTIF(Sales_Transactions!$A$2:$A$865,A442)&gt;1,1,0)</f>
        <v>0</v>
      </c>
      <c r="U442" s="42" t="n">
        <f aca="false">IF(OR(ABS(Sales_Transactions!F442*Sales_Transactions!G442-Sales_Transactions!I442)&gt;0.01,ABS(Sales_Transactions!F442*Sales_Transactions!H442-Sales_Transactions!J442)&gt;0.01,ABS(Sales_Transactions!I442-Sales_Transactions!J442-Sales_Transactions!K442)&gt;0.01),1,0)</f>
        <v>0</v>
      </c>
      <c r="V442" s="42" t="n">
        <f aca="false">IF(C442&lt;&gt;L442,1,0)</f>
        <v>0</v>
      </c>
      <c r="W442" s="42" t="n">
        <f aca="false">IF(SUM(Q442:V442)&gt;0,1,0)</f>
        <v>0</v>
      </c>
    </row>
    <row r="443" customFormat="false" ht="15" hidden="false" customHeight="false" outlineLevel="0" collapsed="false">
      <c r="A443" s="42" t="str">
        <f aca="false">Sales_Transactions!A443</f>
        <v>INV-13-010</v>
      </c>
      <c r="B443" s="42" t="str">
        <f aca="false">Sales_Transactions!B443</f>
        <v>2026-01</v>
      </c>
      <c r="C443" s="42" t="str">
        <f aca="false">Sales_Transactions!C443</f>
        <v>Actual</v>
      </c>
      <c r="D443" s="42" t="str">
        <f aca="false">Sales_Transactions!D443</f>
        <v>C004</v>
      </c>
      <c r="E443" s="42" t="str">
        <f aca="false">Sales_Transactions!E443</f>
        <v>P002</v>
      </c>
      <c r="F443" s="42" t="str">
        <f aca="false">IFERROR(INDEX(Customer_Master!$C$2:$C$49,MATCH(D443,Customer_Master!$A$2:$A$49,0)),"UNMATCHED")</f>
        <v>East</v>
      </c>
      <c r="G443" s="42" t="str">
        <f aca="false">IFERROR(INDEX(Customer_Master!$D$2:$D$49,MATCH(D443,Customer_Master!$A$2:$A$49,0)),"UNMATCHED")</f>
        <v>Distributor</v>
      </c>
      <c r="H443" s="42" t="str">
        <f aca="false">IFERROR(INDEX(Product_Master!$C$2:$C$9,MATCH(E443,Product_Master!$A$2:$A$9,0)),"UNMATCHED")</f>
        <v>Home Care</v>
      </c>
      <c r="I443" s="42" t="str">
        <f aca="false">IFERROR(INDEX(Product_Master!$B$2:$B$9,MATCH(E443,Product_Master!$A$2:$A$9,0)),"UNMATCHED")</f>
        <v>Dishwash Gel</v>
      </c>
      <c r="J443" s="42" t="n">
        <f aca="false">IFERROR(INDEX(Calendar!$B$2:$B$25,MATCH(B443,Calendar!$A$2:$A$25,0)),0)</f>
        <v>2026</v>
      </c>
      <c r="K443" s="42" t="n">
        <f aca="false">IFERROR(VALUE(RIGHT(B443,2)),0)</f>
        <v>1</v>
      </c>
      <c r="L443" s="42" t="str">
        <f aca="false">IFERROR(INDEX(Calendar!$E$2:$E$25,MATCH(B443,Calendar!$A$2:$A$25,0)),"UNMATCHED")</f>
        <v>Actual</v>
      </c>
      <c r="M443" s="42" t="n">
        <f aca="false">Sales_Transactions!F443</f>
        <v>155</v>
      </c>
      <c r="N443" s="52" t="n">
        <f aca="false">Sales_Transactions!I443</f>
        <v>22234.75</v>
      </c>
      <c r="O443" s="52" t="n">
        <f aca="false">Sales_Transactions!J443</f>
        <v>12643.35</v>
      </c>
      <c r="P443" s="52" t="n">
        <f aca="false">Sales_Transactions!K443</f>
        <v>9591.4</v>
      </c>
      <c r="Q443" s="42" t="n">
        <f aca="false">IF(ISNUMBER(MATCH(E443,Product_Master!$A$2:$A$9,0)),0,1)</f>
        <v>0</v>
      </c>
      <c r="R443" s="42" t="n">
        <f aca="false">IF(ISNUMBER(MATCH(D443,Customer_Master!$A$2:$A$49,0)),0,1)</f>
        <v>0</v>
      </c>
      <c r="S443" s="42" t="n">
        <f aca="false">IF(ISNUMBER(MATCH(B443,Calendar!$A$2:$A$25,0)),0,1)</f>
        <v>0</v>
      </c>
      <c r="T443" s="42" t="n">
        <f aca="false">IF(COUNTIF(Sales_Transactions!$A$2:$A$865,A443)&gt;1,1,0)</f>
        <v>0</v>
      </c>
      <c r="U443" s="42" t="n">
        <f aca="false">IF(OR(ABS(Sales_Transactions!F443*Sales_Transactions!G443-Sales_Transactions!I443)&gt;0.01,ABS(Sales_Transactions!F443*Sales_Transactions!H443-Sales_Transactions!J443)&gt;0.01,ABS(Sales_Transactions!I443-Sales_Transactions!J443-Sales_Transactions!K443)&gt;0.01),1,0)</f>
        <v>0</v>
      </c>
      <c r="V443" s="42" t="n">
        <f aca="false">IF(C443&lt;&gt;L443,1,0)</f>
        <v>0</v>
      </c>
      <c r="W443" s="42" t="n">
        <f aca="false">IF(SUM(Q443:V443)&gt;0,1,0)</f>
        <v>0</v>
      </c>
    </row>
    <row r="444" customFormat="false" ht="15" hidden="false" customHeight="false" outlineLevel="0" collapsed="false">
      <c r="A444" s="42" t="str">
        <f aca="false">Sales_Transactions!A444</f>
        <v>INV-13-011</v>
      </c>
      <c r="B444" s="42" t="str">
        <f aca="false">Sales_Transactions!B444</f>
        <v>2026-01</v>
      </c>
      <c r="C444" s="42" t="str">
        <f aca="false">Sales_Transactions!C444</f>
        <v>Actual</v>
      </c>
      <c r="D444" s="42" t="str">
        <f aca="false">Sales_Transactions!D444</f>
        <v>C011</v>
      </c>
      <c r="E444" s="42" t="str">
        <f aca="false">Sales_Transactions!E444</f>
        <v>P007</v>
      </c>
      <c r="F444" s="42" t="str">
        <f aca="false">IFERROR(INDEX(Customer_Master!$C$2:$C$49,MATCH(D444,Customer_Master!$A$2:$A$49,0)),"UNMATCHED")</f>
        <v>West</v>
      </c>
      <c r="G444" s="42" t="str">
        <f aca="false">IFERROR(INDEX(Customer_Master!$D$2:$D$49,MATCH(D444,Customer_Master!$A$2:$A$49,0)),"UNMATCHED")</f>
        <v>Modern Trade</v>
      </c>
      <c r="H444" s="42" t="str">
        <f aca="false">IFERROR(INDEX(Product_Master!$C$2:$C$9,MATCH(E444,Product_Master!$A$2:$A$9,0)),"UNMATCHED")</f>
        <v>Home Care</v>
      </c>
      <c r="I444" s="42" t="str">
        <f aca="false">IFERROR(INDEX(Product_Master!$B$2:$B$9,MATCH(E444,Product_Master!$A$2:$A$9,0)),"UNMATCHED")</f>
        <v>Floor Cleaner</v>
      </c>
      <c r="J444" s="42" t="n">
        <f aca="false">IFERROR(INDEX(Calendar!$B$2:$B$25,MATCH(B444,Calendar!$A$2:$A$25,0)),0)</f>
        <v>2026</v>
      </c>
      <c r="K444" s="42" t="n">
        <f aca="false">IFERROR(VALUE(RIGHT(B444,2)),0)</f>
        <v>1</v>
      </c>
      <c r="L444" s="42" t="str">
        <f aca="false">IFERROR(INDEX(Calendar!$E$2:$E$25,MATCH(B444,Calendar!$A$2:$A$25,0)),"UNMATCHED")</f>
        <v>Actual</v>
      </c>
      <c r="M444" s="42" t="n">
        <f aca="false">Sales_Transactions!F444</f>
        <v>146</v>
      </c>
      <c r="N444" s="52" t="n">
        <f aca="false">Sales_Transactions!I444</f>
        <v>24716.34</v>
      </c>
      <c r="O444" s="52" t="n">
        <f aca="false">Sales_Transactions!J444</f>
        <v>17163.76</v>
      </c>
      <c r="P444" s="52" t="n">
        <f aca="false">Sales_Transactions!K444</f>
        <v>7552.58</v>
      </c>
      <c r="Q444" s="42" t="n">
        <f aca="false">IF(ISNUMBER(MATCH(E444,Product_Master!$A$2:$A$9,0)),0,1)</f>
        <v>0</v>
      </c>
      <c r="R444" s="42" t="n">
        <f aca="false">IF(ISNUMBER(MATCH(D444,Customer_Master!$A$2:$A$49,0)),0,1)</f>
        <v>0</v>
      </c>
      <c r="S444" s="42" t="n">
        <f aca="false">IF(ISNUMBER(MATCH(B444,Calendar!$A$2:$A$25,0)),0,1)</f>
        <v>0</v>
      </c>
      <c r="T444" s="42" t="n">
        <f aca="false">IF(COUNTIF(Sales_Transactions!$A$2:$A$865,A444)&gt;1,1,0)</f>
        <v>0</v>
      </c>
      <c r="U444" s="42" t="n">
        <f aca="false">IF(OR(ABS(Sales_Transactions!F444*Sales_Transactions!G444-Sales_Transactions!I444)&gt;0.01,ABS(Sales_Transactions!F444*Sales_Transactions!H444-Sales_Transactions!J444)&gt;0.01,ABS(Sales_Transactions!I444-Sales_Transactions!J444-Sales_Transactions!K444)&gt;0.01),1,0)</f>
        <v>0</v>
      </c>
      <c r="V444" s="42" t="n">
        <f aca="false">IF(C444&lt;&gt;L444,1,0)</f>
        <v>0</v>
      </c>
      <c r="W444" s="42" t="n">
        <f aca="false">IF(SUM(Q444:V444)&gt;0,1,0)</f>
        <v>0</v>
      </c>
    </row>
    <row r="445" customFormat="false" ht="15" hidden="false" customHeight="false" outlineLevel="0" collapsed="false">
      <c r="A445" s="42" t="str">
        <f aca="false">Sales_Transactions!A445</f>
        <v>INV-13-012</v>
      </c>
      <c r="B445" s="42" t="str">
        <f aca="false">Sales_Transactions!B445</f>
        <v>2026-01</v>
      </c>
      <c r="C445" s="42" t="str">
        <f aca="false">Sales_Transactions!C445</f>
        <v>Actual</v>
      </c>
      <c r="D445" s="42" t="str">
        <f aca="false">Sales_Transactions!D445</f>
        <v>C018</v>
      </c>
      <c r="E445" s="42" t="str">
        <f aca="false">Sales_Transactions!E445</f>
        <v>P004</v>
      </c>
      <c r="F445" s="42" t="str">
        <f aca="false">IFERROR(INDEX(Customer_Master!$C$2:$C$49,MATCH(D445,Customer_Master!$A$2:$A$49,0)),"UNMATCHED")</f>
        <v>North</v>
      </c>
      <c r="G445" s="42" t="str">
        <f aca="false">IFERROR(INDEX(Customer_Master!$D$2:$D$49,MATCH(D445,Customer_Master!$A$2:$A$49,0)),"UNMATCHED")</f>
        <v>Retail</v>
      </c>
      <c r="H445" s="42" t="str">
        <f aca="false">IFERROR(INDEX(Product_Master!$C$2:$C$9,MATCH(E445,Product_Master!$A$2:$A$9,0)),"UNMATCHED")</f>
        <v>Personal Care</v>
      </c>
      <c r="I445" s="42" t="str">
        <f aca="false">IFERROR(INDEX(Product_Master!$B$2:$B$9,MATCH(E445,Product_Master!$A$2:$A$9,0)),"UNMATCHED")</f>
        <v>Soap 4-pack</v>
      </c>
      <c r="J445" s="42" t="n">
        <f aca="false">IFERROR(INDEX(Calendar!$B$2:$B$25,MATCH(B445,Calendar!$A$2:$A$25,0)),0)</f>
        <v>2026</v>
      </c>
      <c r="K445" s="42" t="n">
        <f aca="false">IFERROR(VALUE(RIGHT(B445,2)),0)</f>
        <v>1</v>
      </c>
      <c r="L445" s="42" t="str">
        <f aca="false">IFERROR(INDEX(Calendar!$E$2:$E$25,MATCH(B445,Calendar!$A$2:$A$25,0)),"UNMATCHED")</f>
        <v>Actual</v>
      </c>
      <c r="M445" s="42" t="n">
        <f aca="false">Sales_Transactions!F445</f>
        <v>174</v>
      </c>
      <c r="N445" s="52" t="n">
        <f aca="false">Sales_Transactions!I445</f>
        <v>27612.06</v>
      </c>
      <c r="O445" s="52" t="n">
        <f aca="false">Sales_Transactions!J445</f>
        <v>17104.2</v>
      </c>
      <c r="P445" s="52" t="n">
        <f aca="false">Sales_Transactions!K445</f>
        <v>10507.86</v>
      </c>
      <c r="Q445" s="42" t="n">
        <f aca="false">IF(ISNUMBER(MATCH(E445,Product_Master!$A$2:$A$9,0)),0,1)</f>
        <v>0</v>
      </c>
      <c r="R445" s="42" t="n">
        <f aca="false">IF(ISNUMBER(MATCH(D445,Customer_Master!$A$2:$A$49,0)),0,1)</f>
        <v>0</v>
      </c>
      <c r="S445" s="42" t="n">
        <f aca="false">IF(ISNUMBER(MATCH(B445,Calendar!$A$2:$A$25,0)),0,1)</f>
        <v>0</v>
      </c>
      <c r="T445" s="42" t="n">
        <f aca="false">IF(COUNTIF(Sales_Transactions!$A$2:$A$865,A445)&gt;1,1,0)</f>
        <v>0</v>
      </c>
      <c r="U445" s="42" t="n">
        <f aca="false">IF(OR(ABS(Sales_Transactions!F445*Sales_Transactions!G445-Sales_Transactions!I445)&gt;0.01,ABS(Sales_Transactions!F445*Sales_Transactions!H445-Sales_Transactions!J445)&gt;0.01,ABS(Sales_Transactions!I445-Sales_Transactions!J445-Sales_Transactions!K445)&gt;0.01),1,0)</f>
        <v>0</v>
      </c>
      <c r="V445" s="42" t="n">
        <f aca="false">IF(C445&lt;&gt;L445,1,0)</f>
        <v>0</v>
      </c>
      <c r="W445" s="42" t="n">
        <f aca="false">IF(SUM(Q445:V445)&gt;0,1,0)</f>
        <v>0</v>
      </c>
    </row>
    <row r="446" customFormat="false" ht="15" hidden="false" customHeight="false" outlineLevel="0" collapsed="false">
      <c r="A446" s="42" t="str">
        <f aca="false">Sales_Transactions!A446</f>
        <v>INV-13-013</v>
      </c>
      <c r="B446" s="42" t="str">
        <f aca="false">Sales_Transactions!B446</f>
        <v>2026-01</v>
      </c>
      <c r="C446" s="42" t="str">
        <f aca="false">Sales_Transactions!C446</f>
        <v>Actual</v>
      </c>
      <c r="D446" s="42" t="str">
        <f aca="false">Sales_Transactions!D446</f>
        <v>C025</v>
      </c>
      <c r="E446" s="42" t="str">
        <f aca="false">Sales_Transactions!E446</f>
        <v>P001</v>
      </c>
      <c r="F446" s="42" t="str">
        <f aca="false">IFERROR(INDEX(Customer_Master!$C$2:$C$49,MATCH(D446,Customer_Master!$A$2:$A$49,0)),"UNMATCHED")</f>
        <v>South</v>
      </c>
      <c r="G446" s="42" t="str">
        <f aca="false">IFERROR(INDEX(Customer_Master!$D$2:$D$49,MATCH(D446,Customer_Master!$A$2:$A$49,0)),"UNMATCHED")</f>
        <v>Distributor</v>
      </c>
      <c r="H446" s="42" t="str">
        <f aca="false">IFERROR(INDEX(Product_Master!$C$2:$C$9,MATCH(E446,Product_Master!$A$2:$A$9,0)),"UNMATCHED")</f>
        <v>Home Care</v>
      </c>
      <c r="I446" s="42" t="str">
        <f aca="false">IFERROR(INDEX(Product_Master!$B$2:$B$9,MATCH(E446,Product_Master!$A$2:$A$9,0)),"UNMATCHED")</f>
        <v>Detergent 1kg</v>
      </c>
      <c r="J446" s="42" t="n">
        <f aca="false">IFERROR(INDEX(Calendar!$B$2:$B$25,MATCH(B446,Calendar!$A$2:$A$25,0)),0)</f>
        <v>2026</v>
      </c>
      <c r="K446" s="42" t="n">
        <f aca="false">IFERROR(VALUE(RIGHT(B446,2)),0)</f>
        <v>1</v>
      </c>
      <c r="L446" s="42" t="str">
        <f aca="false">IFERROR(INDEX(Calendar!$E$2:$E$25,MATCH(B446,Calendar!$A$2:$A$25,0)),"UNMATCHED")</f>
        <v>Actual</v>
      </c>
      <c r="M446" s="42" t="n">
        <f aca="false">Sales_Transactions!F446</f>
        <v>202</v>
      </c>
      <c r="N446" s="52" t="n">
        <f aca="false">Sales_Transactions!I446</f>
        <v>40513.12</v>
      </c>
      <c r="O446" s="52" t="n">
        <f aca="false">Sales_Transactions!J446</f>
        <v>28263.84</v>
      </c>
      <c r="P446" s="52" t="n">
        <f aca="false">Sales_Transactions!K446</f>
        <v>12249.28</v>
      </c>
      <c r="Q446" s="42" t="n">
        <f aca="false">IF(ISNUMBER(MATCH(E446,Product_Master!$A$2:$A$9,0)),0,1)</f>
        <v>0</v>
      </c>
      <c r="R446" s="42" t="n">
        <f aca="false">IF(ISNUMBER(MATCH(D446,Customer_Master!$A$2:$A$49,0)),0,1)</f>
        <v>0</v>
      </c>
      <c r="S446" s="42" t="n">
        <f aca="false">IF(ISNUMBER(MATCH(B446,Calendar!$A$2:$A$25,0)),0,1)</f>
        <v>0</v>
      </c>
      <c r="T446" s="42" t="n">
        <f aca="false">IF(COUNTIF(Sales_Transactions!$A$2:$A$865,A446)&gt;1,1,0)</f>
        <v>0</v>
      </c>
      <c r="U446" s="42" t="n">
        <f aca="false">IF(OR(ABS(Sales_Transactions!F446*Sales_Transactions!G446-Sales_Transactions!I446)&gt;0.01,ABS(Sales_Transactions!F446*Sales_Transactions!H446-Sales_Transactions!J446)&gt;0.01,ABS(Sales_Transactions!I446-Sales_Transactions!J446-Sales_Transactions!K446)&gt;0.01),1,0)</f>
        <v>0</v>
      </c>
      <c r="V446" s="42" t="n">
        <f aca="false">IF(C446&lt;&gt;L446,1,0)</f>
        <v>0</v>
      </c>
      <c r="W446" s="42" t="n">
        <f aca="false">IF(SUM(Q446:V446)&gt;0,1,0)</f>
        <v>0</v>
      </c>
    </row>
    <row r="447" customFormat="false" ht="15" hidden="false" customHeight="false" outlineLevel="0" collapsed="false">
      <c r="A447" s="42" t="str">
        <f aca="false">Sales_Transactions!A447</f>
        <v>INV-13-014</v>
      </c>
      <c r="B447" s="42" t="str">
        <f aca="false">Sales_Transactions!B447</f>
        <v>2026-01</v>
      </c>
      <c r="C447" s="42" t="str">
        <f aca="false">Sales_Transactions!C447</f>
        <v>Actual</v>
      </c>
      <c r="D447" s="42" t="str">
        <f aca="false">Sales_Transactions!D447</f>
        <v>C032</v>
      </c>
      <c r="E447" s="42" t="str">
        <f aca="false">Sales_Transactions!E447</f>
        <v>P006</v>
      </c>
      <c r="F447" s="42" t="str">
        <f aca="false">IFERROR(INDEX(Customer_Master!$C$2:$C$49,MATCH(D447,Customer_Master!$A$2:$A$49,0)),"UNMATCHED")</f>
        <v>East</v>
      </c>
      <c r="G447" s="42" t="str">
        <f aca="false">IFERROR(INDEX(Customer_Master!$D$2:$D$49,MATCH(D447,Customer_Master!$A$2:$A$49,0)),"UNMATCHED")</f>
        <v>Modern Trade</v>
      </c>
      <c r="H447" s="42" t="str">
        <f aca="false">IFERROR(INDEX(Product_Master!$C$2:$C$9,MATCH(E447,Product_Master!$A$2:$A$9,0)),"UNMATCHED")</f>
        <v>Foods</v>
      </c>
      <c r="I447" s="42" t="str">
        <f aca="false">IFERROR(INDEX(Product_Master!$B$2:$B$9,MATCH(E447,Product_Master!$A$2:$A$9,0)),"UNMATCHED")</f>
        <v>Breakfast Cereal</v>
      </c>
      <c r="J447" s="42" t="n">
        <f aca="false">IFERROR(INDEX(Calendar!$B$2:$B$25,MATCH(B447,Calendar!$A$2:$A$25,0)),0)</f>
        <v>2026</v>
      </c>
      <c r="K447" s="42" t="n">
        <f aca="false">IFERROR(VALUE(RIGHT(B447,2)),0)</f>
        <v>1</v>
      </c>
      <c r="L447" s="42" t="str">
        <f aca="false">IFERROR(INDEX(Calendar!$E$2:$E$25,MATCH(B447,Calendar!$A$2:$A$25,0)),"UNMATCHED")</f>
        <v>Actual</v>
      </c>
      <c r="M447" s="42" t="n">
        <f aca="false">Sales_Transactions!F447</f>
        <v>266</v>
      </c>
      <c r="N447" s="52" t="n">
        <f aca="false">Sales_Transactions!I447</f>
        <v>61004.44</v>
      </c>
      <c r="O447" s="52" t="n">
        <f aca="false">Sales_Transactions!J447</f>
        <v>44126.74</v>
      </c>
      <c r="P447" s="52" t="n">
        <f aca="false">Sales_Transactions!K447</f>
        <v>16877.7</v>
      </c>
      <c r="Q447" s="42" t="n">
        <f aca="false">IF(ISNUMBER(MATCH(E447,Product_Master!$A$2:$A$9,0)),0,1)</f>
        <v>0</v>
      </c>
      <c r="R447" s="42" t="n">
        <f aca="false">IF(ISNUMBER(MATCH(D447,Customer_Master!$A$2:$A$49,0)),0,1)</f>
        <v>0</v>
      </c>
      <c r="S447" s="42" t="n">
        <f aca="false">IF(ISNUMBER(MATCH(B447,Calendar!$A$2:$A$25,0)),0,1)</f>
        <v>0</v>
      </c>
      <c r="T447" s="42" t="n">
        <f aca="false">IF(COUNTIF(Sales_Transactions!$A$2:$A$865,A447)&gt;1,1,0)</f>
        <v>0</v>
      </c>
      <c r="U447" s="42" t="n">
        <f aca="false">IF(OR(ABS(Sales_Transactions!F447*Sales_Transactions!G447-Sales_Transactions!I447)&gt;0.01,ABS(Sales_Transactions!F447*Sales_Transactions!H447-Sales_Transactions!J447)&gt;0.01,ABS(Sales_Transactions!I447-Sales_Transactions!J447-Sales_Transactions!K447)&gt;0.01),1,0)</f>
        <v>0</v>
      </c>
      <c r="V447" s="42" t="n">
        <f aca="false">IF(C447&lt;&gt;L447,1,0)</f>
        <v>0</v>
      </c>
      <c r="W447" s="42" t="n">
        <f aca="false">IF(SUM(Q447:V447)&gt;0,1,0)</f>
        <v>0</v>
      </c>
    </row>
    <row r="448" customFormat="false" ht="15" hidden="false" customHeight="false" outlineLevel="0" collapsed="false">
      <c r="A448" s="42" t="str">
        <f aca="false">Sales_Transactions!A448</f>
        <v>INV-13-015</v>
      </c>
      <c r="B448" s="42" t="str">
        <f aca="false">Sales_Transactions!B448</f>
        <v>2026-01</v>
      </c>
      <c r="C448" s="42" t="str">
        <f aca="false">Sales_Transactions!C448</f>
        <v>Actual</v>
      </c>
      <c r="D448" s="42" t="str">
        <f aca="false">Sales_Transactions!D448</f>
        <v>C039</v>
      </c>
      <c r="E448" s="42" t="str">
        <f aca="false">Sales_Transactions!E448</f>
        <v>P003</v>
      </c>
      <c r="F448" s="42" t="str">
        <f aca="false">IFERROR(INDEX(Customer_Master!$C$2:$C$49,MATCH(D448,Customer_Master!$A$2:$A$49,0)),"UNMATCHED")</f>
        <v>West</v>
      </c>
      <c r="G448" s="42" t="str">
        <f aca="false">IFERROR(INDEX(Customer_Master!$D$2:$D$49,MATCH(D448,Customer_Master!$A$2:$A$49,0)),"UNMATCHED")</f>
        <v>Retail</v>
      </c>
      <c r="H448" s="42" t="str">
        <f aca="false">IFERROR(INDEX(Product_Master!$C$2:$C$9,MATCH(E448,Product_Master!$A$2:$A$9,0)),"UNMATCHED")</f>
        <v>Personal Care</v>
      </c>
      <c r="I448" s="42" t="str">
        <f aca="false">IFERROR(INDEX(Product_Master!$B$2:$B$9,MATCH(E448,Product_Master!$A$2:$A$9,0)),"UNMATCHED")</f>
        <v>Shampoo 400ml</v>
      </c>
      <c r="J448" s="42" t="n">
        <f aca="false">IFERROR(INDEX(Calendar!$B$2:$B$25,MATCH(B448,Calendar!$A$2:$A$25,0)),0)</f>
        <v>2026</v>
      </c>
      <c r="K448" s="42" t="n">
        <f aca="false">IFERROR(VALUE(RIGHT(B448,2)),0)</f>
        <v>1</v>
      </c>
      <c r="L448" s="42" t="str">
        <f aca="false">IFERROR(INDEX(Calendar!$E$2:$E$25,MATCH(B448,Calendar!$A$2:$A$25,0)),"UNMATCHED")</f>
        <v>Actual</v>
      </c>
      <c r="M448" s="42" t="n">
        <f aca="false">Sales_Transactions!F448</f>
        <v>106</v>
      </c>
      <c r="N448" s="52" t="n">
        <f aca="false">Sales_Transactions!I448</f>
        <v>28098.48</v>
      </c>
      <c r="O448" s="52" t="n">
        <f aca="false">Sales_Transactions!J448</f>
        <v>18400.54</v>
      </c>
      <c r="P448" s="52" t="n">
        <f aca="false">Sales_Transactions!K448</f>
        <v>9697.94</v>
      </c>
      <c r="Q448" s="42" t="n">
        <f aca="false">IF(ISNUMBER(MATCH(E448,Product_Master!$A$2:$A$9,0)),0,1)</f>
        <v>0</v>
      </c>
      <c r="R448" s="42" t="n">
        <f aca="false">IF(ISNUMBER(MATCH(D448,Customer_Master!$A$2:$A$49,0)),0,1)</f>
        <v>0</v>
      </c>
      <c r="S448" s="42" t="n">
        <f aca="false">IF(ISNUMBER(MATCH(B448,Calendar!$A$2:$A$25,0)),0,1)</f>
        <v>0</v>
      </c>
      <c r="T448" s="42" t="n">
        <f aca="false">IF(COUNTIF(Sales_Transactions!$A$2:$A$865,A448)&gt;1,1,0)</f>
        <v>0</v>
      </c>
      <c r="U448" s="42" t="n">
        <f aca="false">IF(OR(ABS(Sales_Transactions!F448*Sales_Transactions!G448-Sales_Transactions!I448)&gt;0.01,ABS(Sales_Transactions!F448*Sales_Transactions!H448-Sales_Transactions!J448)&gt;0.01,ABS(Sales_Transactions!I448-Sales_Transactions!J448-Sales_Transactions!K448)&gt;0.01),1,0)</f>
        <v>0</v>
      </c>
      <c r="V448" s="42" t="n">
        <f aca="false">IF(C448&lt;&gt;L448,1,0)</f>
        <v>0</v>
      </c>
      <c r="W448" s="42" t="n">
        <f aca="false">IF(SUM(Q448:V448)&gt;0,1,0)</f>
        <v>0</v>
      </c>
    </row>
    <row r="449" customFormat="false" ht="15" hidden="false" customHeight="false" outlineLevel="0" collapsed="false">
      <c r="A449" s="42" t="str">
        <f aca="false">Sales_Transactions!A449</f>
        <v>INV-13-016</v>
      </c>
      <c r="B449" s="42" t="str">
        <f aca="false">Sales_Transactions!B449</f>
        <v>2026-01</v>
      </c>
      <c r="C449" s="42" t="str">
        <f aca="false">Sales_Transactions!C449</f>
        <v>Actual</v>
      </c>
      <c r="D449" s="42" t="str">
        <f aca="false">Sales_Transactions!D449</f>
        <v>C046</v>
      </c>
      <c r="E449" s="42" t="str">
        <f aca="false">Sales_Transactions!E449</f>
        <v>P008</v>
      </c>
      <c r="F449" s="42" t="str">
        <f aca="false">IFERROR(INDEX(Customer_Master!$C$2:$C$49,MATCH(D449,Customer_Master!$A$2:$A$49,0)),"UNMATCHED")</f>
        <v>North</v>
      </c>
      <c r="G449" s="42" t="str">
        <f aca="false">IFERROR(INDEX(Customer_Master!$D$2:$D$49,MATCH(D449,Customer_Master!$A$2:$A$49,0)),"UNMATCHED")</f>
        <v>Distributor</v>
      </c>
      <c r="H449" s="42" t="str">
        <f aca="false">IFERROR(INDEX(Product_Master!$C$2:$C$9,MATCH(E449,Product_Master!$A$2:$A$9,0)),"UNMATCHED")</f>
        <v>Personal Care</v>
      </c>
      <c r="I449" s="42" t="str">
        <f aca="false">IFERROR(INDEX(Product_Master!$B$2:$B$9,MATCH(E449,Product_Master!$A$2:$A$9,0)),"UNMATCHED")</f>
        <v>Body Lotion</v>
      </c>
      <c r="J449" s="42" t="n">
        <f aca="false">IFERROR(INDEX(Calendar!$B$2:$B$25,MATCH(B449,Calendar!$A$2:$A$25,0)),0)</f>
        <v>2026</v>
      </c>
      <c r="K449" s="42" t="n">
        <f aca="false">IFERROR(VALUE(RIGHT(B449,2)),0)</f>
        <v>1</v>
      </c>
      <c r="L449" s="42" t="str">
        <f aca="false">IFERROR(INDEX(Calendar!$E$2:$E$25,MATCH(B449,Calendar!$A$2:$A$25,0)),"UNMATCHED")</f>
        <v>Actual</v>
      </c>
      <c r="M449" s="42" t="n">
        <f aca="false">Sales_Transactions!F449</f>
        <v>124</v>
      </c>
      <c r="N449" s="52" t="n">
        <f aca="false">Sales_Transactions!I449</f>
        <v>40383.08</v>
      </c>
      <c r="O449" s="52" t="n">
        <f aca="false">Sales_Transactions!J449</f>
        <v>25777.12</v>
      </c>
      <c r="P449" s="52" t="n">
        <f aca="false">Sales_Transactions!K449</f>
        <v>14605.96</v>
      </c>
      <c r="Q449" s="42" t="n">
        <f aca="false">IF(ISNUMBER(MATCH(E449,Product_Master!$A$2:$A$9,0)),0,1)</f>
        <v>0</v>
      </c>
      <c r="R449" s="42" t="n">
        <f aca="false">IF(ISNUMBER(MATCH(D449,Customer_Master!$A$2:$A$49,0)),0,1)</f>
        <v>0</v>
      </c>
      <c r="S449" s="42" t="n">
        <f aca="false">IF(ISNUMBER(MATCH(B449,Calendar!$A$2:$A$25,0)),0,1)</f>
        <v>0</v>
      </c>
      <c r="T449" s="42" t="n">
        <f aca="false">IF(COUNTIF(Sales_Transactions!$A$2:$A$865,A449)&gt;1,1,0)</f>
        <v>0</v>
      </c>
      <c r="U449" s="42" t="n">
        <f aca="false">IF(OR(ABS(Sales_Transactions!F449*Sales_Transactions!G449-Sales_Transactions!I449)&gt;0.01,ABS(Sales_Transactions!F449*Sales_Transactions!H449-Sales_Transactions!J449)&gt;0.01,ABS(Sales_Transactions!I449-Sales_Transactions!J449-Sales_Transactions!K449)&gt;0.01),1,0)</f>
        <v>0</v>
      </c>
      <c r="V449" s="42" t="n">
        <f aca="false">IF(C449&lt;&gt;L449,1,0)</f>
        <v>0</v>
      </c>
      <c r="W449" s="42" t="n">
        <f aca="false">IF(SUM(Q449:V449)&gt;0,1,0)</f>
        <v>0</v>
      </c>
    </row>
    <row r="450" customFormat="false" ht="15" hidden="false" customHeight="false" outlineLevel="0" collapsed="false">
      <c r="A450" s="42" t="str">
        <f aca="false">Sales_Transactions!A450</f>
        <v>INV-13-017</v>
      </c>
      <c r="B450" s="42" t="str">
        <f aca="false">Sales_Transactions!B450</f>
        <v>2026-01</v>
      </c>
      <c r="C450" s="42" t="str">
        <f aca="false">Sales_Transactions!C450</f>
        <v>Actual</v>
      </c>
      <c r="D450" s="42" t="str">
        <f aca="false">Sales_Transactions!D450</f>
        <v>C005</v>
      </c>
      <c r="E450" s="42" t="str">
        <f aca="false">Sales_Transactions!E450</f>
        <v>P005</v>
      </c>
      <c r="F450" s="42" t="str">
        <f aca="false">IFERROR(INDEX(Customer_Master!$C$2:$C$49,MATCH(D450,Customer_Master!$A$2:$A$49,0)),"UNMATCHED")</f>
        <v>South</v>
      </c>
      <c r="G450" s="42" t="str">
        <f aca="false">IFERROR(INDEX(Customer_Master!$D$2:$D$49,MATCH(D450,Customer_Master!$A$2:$A$49,0)),"UNMATCHED")</f>
        <v>Modern Trade</v>
      </c>
      <c r="H450" s="42" t="str">
        <f aca="false">IFERROR(INDEX(Product_Master!$C$2:$C$9,MATCH(E450,Product_Master!$A$2:$A$9,0)),"UNMATCHED")</f>
        <v>Foods</v>
      </c>
      <c r="I450" s="42" t="str">
        <f aca="false">IFERROR(INDEX(Product_Master!$B$2:$B$9,MATCH(E450,Product_Master!$A$2:$A$9,0)),"UNMATCHED")</f>
        <v>Biscuits 500g</v>
      </c>
      <c r="J450" s="42" t="n">
        <f aca="false">IFERROR(INDEX(Calendar!$B$2:$B$25,MATCH(B450,Calendar!$A$2:$A$25,0)),0)</f>
        <v>2026</v>
      </c>
      <c r="K450" s="42" t="n">
        <f aca="false">IFERROR(VALUE(RIGHT(B450,2)),0)</f>
        <v>1</v>
      </c>
      <c r="L450" s="42" t="str">
        <f aca="false">IFERROR(INDEX(Calendar!$E$2:$E$25,MATCH(B450,Calendar!$A$2:$A$25,0)),"UNMATCHED")</f>
        <v>Actual</v>
      </c>
      <c r="M450" s="42" t="n">
        <f aca="false">Sales_Transactions!F450</f>
        <v>378</v>
      </c>
      <c r="N450" s="52" t="n">
        <f aca="false">Sales_Transactions!I450</f>
        <v>39191.04</v>
      </c>
      <c r="O450" s="52" t="n">
        <f aca="false">Sales_Transactions!J450</f>
        <v>26259.66</v>
      </c>
      <c r="P450" s="52" t="n">
        <f aca="false">Sales_Transactions!K450</f>
        <v>12931.38</v>
      </c>
      <c r="Q450" s="42" t="n">
        <f aca="false">IF(ISNUMBER(MATCH(E450,Product_Master!$A$2:$A$9,0)),0,1)</f>
        <v>0</v>
      </c>
      <c r="R450" s="42" t="n">
        <f aca="false">IF(ISNUMBER(MATCH(D450,Customer_Master!$A$2:$A$49,0)),0,1)</f>
        <v>0</v>
      </c>
      <c r="S450" s="42" t="n">
        <f aca="false">IF(ISNUMBER(MATCH(B450,Calendar!$A$2:$A$25,0)),0,1)</f>
        <v>0</v>
      </c>
      <c r="T450" s="42" t="n">
        <f aca="false">IF(COUNTIF(Sales_Transactions!$A$2:$A$865,A450)&gt;1,1,0)</f>
        <v>0</v>
      </c>
      <c r="U450" s="42" t="n">
        <f aca="false">IF(OR(ABS(Sales_Transactions!F450*Sales_Transactions!G450-Sales_Transactions!I450)&gt;0.01,ABS(Sales_Transactions!F450*Sales_Transactions!H450-Sales_Transactions!J450)&gt;0.01,ABS(Sales_Transactions!I450-Sales_Transactions!J450-Sales_Transactions!K450)&gt;0.01),1,0)</f>
        <v>0</v>
      </c>
      <c r="V450" s="42" t="n">
        <f aca="false">IF(C450&lt;&gt;L450,1,0)</f>
        <v>0</v>
      </c>
      <c r="W450" s="42" t="n">
        <f aca="false">IF(SUM(Q450:V450)&gt;0,1,0)</f>
        <v>0</v>
      </c>
    </row>
    <row r="451" customFormat="false" ht="15" hidden="false" customHeight="false" outlineLevel="0" collapsed="false">
      <c r="A451" s="42" t="str">
        <f aca="false">Sales_Transactions!A451</f>
        <v>INV-13-018</v>
      </c>
      <c r="B451" s="42" t="str">
        <f aca="false">Sales_Transactions!B451</f>
        <v>2026-01</v>
      </c>
      <c r="C451" s="42" t="str">
        <f aca="false">Sales_Transactions!C451</f>
        <v>Actual</v>
      </c>
      <c r="D451" s="42" t="str">
        <f aca="false">Sales_Transactions!D451</f>
        <v>C012</v>
      </c>
      <c r="E451" s="42" t="str">
        <f aca="false">Sales_Transactions!E451</f>
        <v>P002</v>
      </c>
      <c r="F451" s="42" t="str">
        <f aca="false">IFERROR(INDEX(Customer_Master!$C$2:$C$49,MATCH(D451,Customer_Master!$A$2:$A$49,0)),"UNMATCHED")</f>
        <v>East</v>
      </c>
      <c r="G451" s="42" t="str">
        <f aca="false">IFERROR(INDEX(Customer_Master!$D$2:$D$49,MATCH(D451,Customer_Master!$A$2:$A$49,0)),"UNMATCHED")</f>
        <v>Retail</v>
      </c>
      <c r="H451" s="42" t="str">
        <f aca="false">IFERROR(INDEX(Product_Master!$C$2:$C$9,MATCH(E451,Product_Master!$A$2:$A$9,0)),"UNMATCHED")</f>
        <v>Home Care</v>
      </c>
      <c r="I451" s="42" t="str">
        <f aca="false">IFERROR(INDEX(Product_Master!$B$2:$B$9,MATCH(E451,Product_Master!$A$2:$A$9,0)),"UNMATCHED")</f>
        <v>Dishwash Gel</v>
      </c>
      <c r="J451" s="42" t="n">
        <f aca="false">IFERROR(INDEX(Calendar!$B$2:$B$25,MATCH(B451,Calendar!$A$2:$A$25,0)),0)</f>
        <v>2026</v>
      </c>
      <c r="K451" s="42" t="n">
        <f aca="false">IFERROR(VALUE(RIGHT(B451,2)),0)</f>
        <v>1</v>
      </c>
      <c r="L451" s="42" t="str">
        <f aca="false">IFERROR(INDEX(Calendar!$E$2:$E$25,MATCH(B451,Calendar!$A$2:$A$25,0)),"UNMATCHED")</f>
        <v>Actual</v>
      </c>
      <c r="M451" s="42" t="n">
        <f aca="false">Sales_Transactions!F451</f>
        <v>233</v>
      </c>
      <c r="N451" s="52" t="n">
        <f aca="false">Sales_Transactions!I451</f>
        <v>30574.26</v>
      </c>
      <c r="O451" s="52" t="n">
        <f aca="false">Sales_Transactions!J451</f>
        <v>18390.69</v>
      </c>
      <c r="P451" s="52" t="n">
        <f aca="false">Sales_Transactions!K451</f>
        <v>12183.57</v>
      </c>
      <c r="Q451" s="42" t="n">
        <f aca="false">IF(ISNUMBER(MATCH(E451,Product_Master!$A$2:$A$9,0)),0,1)</f>
        <v>0</v>
      </c>
      <c r="R451" s="42" t="n">
        <f aca="false">IF(ISNUMBER(MATCH(D451,Customer_Master!$A$2:$A$49,0)),0,1)</f>
        <v>0</v>
      </c>
      <c r="S451" s="42" t="n">
        <f aca="false">IF(ISNUMBER(MATCH(B451,Calendar!$A$2:$A$25,0)),0,1)</f>
        <v>0</v>
      </c>
      <c r="T451" s="42" t="n">
        <f aca="false">IF(COUNTIF(Sales_Transactions!$A$2:$A$865,A451)&gt;1,1,0)</f>
        <v>0</v>
      </c>
      <c r="U451" s="42" t="n">
        <f aca="false">IF(OR(ABS(Sales_Transactions!F451*Sales_Transactions!G451-Sales_Transactions!I451)&gt;0.01,ABS(Sales_Transactions!F451*Sales_Transactions!H451-Sales_Transactions!J451)&gt;0.01,ABS(Sales_Transactions!I451-Sales_Transactions!J451-Sales_Transactions!K451)&gt;0.01),1,0)</f>
        <v>0</v>
      </c>
      <c r="V451" s="42" t="n">
        <f aca="false">IF(C451&lt;&gt;L451,1,0)</f>
        <v>0</v>
      </c>
      <c r="W451" s="42" t="n">
        <f aca="false">IF(SUM(Q451:V451)&gt;0,1,0)</f>
        <v>0</v>
      </c>
    </row>
    <row r="452" customFormat="false" ht="15" hidden="false" customHeight="false" outlineLevel="0" collapsed="false">
      <c r="A452" s="42" t="str">
        <f aca="false">Sales_Transactions!A452</f>
        <v>INV-13-019</v>
      </c>
      <c r="B452" s="42" t="str">
        <f aca="false">Sales_Transactions!B452</f>
        <v>2026-01</v>
      </c>
      <c r="C452" s="42" t="str">
        <f aca="false">Sales_Transactions!C452</f>
        <v>Actual</v>
      </c>
      <c r="D452" s="42" t="str">
        <f aca="false">Sales_Transactions!D452</f>
        <v>C019</v>
      </c>
      <c r="E452" s="42" t="str">
        <f aca="false">Sales_Transactions!E452</f>
        <v>P007</v>
      </c>
      <c r="F452" s="42" t="str">
        <f aca="false">IFERROR(INDEX(Customer_Master!$C$2:$C$49,MATCH(D452,Customer_Master!$A$2:$A$49,0)),"UNMATCHED")</f>
        <v>West</v>
      </c>
      <c r="G452" s="42" t="str">
        <f aca="false">IFERROR(INDEX(Customer_Master!$D$2:$D$49,MATCH(D452,Customer_Master!$A$2:$A$49,0)),"UNMATCHED")</f>
        <v>Distributor</v>
      </c>
      <c r="H452" s="42" t="str">
        <f aca="false">IFERROR(INDEX(Product_Master!$C$2:$C$9,MATCH(E452,Product_Master!$A$2:$A$9,0)),"UNMATCHED")</f>
        <v>Home Care</v>
      </c>
      <c r="I452" s="42" t="str">
        <f aca="false">IFERROR(INDEX(Product_Master!$B$2:$B$9,MATCH(E452,Product_Master!$A$2:$A$9,0)),"UNMATCHED")</f>
        <v>Floor Cleaner</v>
      </c>
      <c r="J452" s="42" t="n">
        <f aca="false">IFERROR(INDEX(Calendar!$B$2:$B$25,MATCH(B452,Calendar!$A$2:$A$25,0)),0)</f>
        <v>2026</v>
      </c>
      <c r="K452" s="42" t="n">
        <f aca="false">IFERROR(VALUE(RIGHT(B452,2)),0)</f>
        <v>1</v>
      </c>
      <c r="L452" s="42" t="str">
        <f aca="false">IFERROR(INDEX(Calendar!$E$2:$E$25,MATCH(B452,Calendar!$A$2:$A$25,0)),"UNMATCHED")</f>
        <v>Actual</v>
      </c>
      <c r="M452" s="42" t="n">
        <f aca="false">Sales_Transactions!F452</f>
        <v>251</v>
      </c>
      <c r="N452" s="52" t="n">
        <f aca="false">Sales_Transactions!I452</f>
        <v>43510.85</v>
      </c>
      <c r="O452" s="52" t="n">
        <f aca="false">Sales_Transactions!J452</f>
        <v>30185.26</v>
      </c>
      <c r="P452" s="52" t="n">
        <f aca="false">Sales_Transactions!K452</f>
        <v>13325.59</v>
      </c>
      <c r="Q452" s="42" t="n">
        <f aca="false">IF(ISNUMBER(MATCH(E452,Product_Master!$A$2:$A$9,0)),0,1)</f>
        <v>0</v>
      </c>
      <c r="R452" s="42" t="n">
        <f aca="false">IF(ISNUMBER(MATCH(D452,Customer_Master!$A$2:$A$49,0)),0,1)</f>
        <v>0</v>
      </c>
      <c r="S452" s="42" t="n">
        <f aca="false">IF(ISNUMBER(MATCH(B452,Calendar!$A$2:$A$25,0)),0,1)</f>
        <v>0</v>
      </c>
      <c r="T452" s="42" t="n">
        <f aca="false">IF(COUNTIF(Sales_Transactions!$A$2:$A$865,A452)&gt;1,1,0)</f>
        <v>0</v>
      </c>
      <c r="U452" s="42" t="n">
        <f aca="false">IF(OR(ABS(Sales_Transactions!F452*Sales_Transactions!G452-Sales_Transactions!I452)&gt;0.01,ABS(Sales_Transactions!F452*Sales_Transactions!H452-Sales_Transactions!J452)&gt;0.01,ABS(Sales_Transactions!I452-Sales_Transactions!J452-Sales_Transactions!K452)&gt;0.01),1,0)</f>
        <v>0</v>
      </c>
      <c r="V452" s="42" t="n">
        <f aca="false">IF(C452&lt;&gt;L452,1,0)</f>
        <v>0</v>
      </c>
      <c r="W452" s="42" t="n">
        <f aca="false">IF(SUM(Q452:V452)&gt;0,1,0)</f>
        <v>0</v>
      </c>
    </row>
    <row r="453" customFormat="false" ht="15" hidden="false" customHeight="false" outlineLevel="0" collapsed="false">
      <c r="A453" s="42" t="str">
        <f aca="false">Sales_Transactions!A453</f>
        <v>INV-13-020</v>
      </c>
      <c r="B453" s="42" t="str">
        <f aca="false">Sales_Transactions!B453</f>
        <v>2026-01</v>
      </c>
      <c r="C453" s="42" t="str">
        <f aca="false">Sales_Transactions!C453</f>
        <v>Actual</v>
      </c>
      <c r="D453" s="42" t="str">
        <f aca="false">Sales_Transactions!D453</f>
        <v>C026</v>
      </c>
      <c r="E453" s="42" t="str">
        <f aca="false">Sales_Transactions!E453</f>
        <v>P004</v>
      </c>
      <c r="F453" s="42" t="str">
        <f aca="false">IFERROR(INDEX(Customer_Master!$C$2:$C$49,MATCH(D453,Customer_Master!$A$2:$A$49,0)),"UNMATCHED")</f>
        <v>North</v>
      </c>
      <c r="G453" s="42" t="str">
        <f aca="false">IFERROR(INDEX(Customer_Master!$D$2:$D$49,MATCH(D453,Customer_Master!$A$2:$A$49,0)),"UNMATCHED")</f>
        <v>Modern Trade</v>
      </c>
      <c r="H453" s="42" t="str">
        <f aca="false">IFERROR(INDEX(Product_Master!$C$2:$C$9,MATCH(E453,Product_Master!$A$2:$A$9,0)),"UNMATCHED")</f>
        <v>Personal Care</v>
      </c>
      <c r="I453" s="42" t="str">
        <f aca="false">IFERROR(INDEX(Product_Master!$B$2:$B$9,MATCH(E453,Product_Master!$A$2:$A$9,0)),"UNMATCHED")</f>
        <v>Soap 4-pack</v>
      </c>
      <c r="J453" s="42" t="n">
        <f aca="false">IFERROR(INDEX(Calendar!$B$2:$B$25,MATCH(B453,Calendar!$A$2:$A$25,0)),0)</f>
        <v>2026</v>
      </c>
      <c r="K453" s="42" t="n">
        <f aca="false">IFERROR(VALUE(RIGHT(B453,2)),0)</f>
        <v>1</v>
      </c>
      <c r="L453" s="42" t="str">
        <f aca="false">IFERROR(INDEX(Calendar!$E$2:$E$25,MATCH(B453,Calendar!$A$2:$A$25,0)),"UNMATCHED")</f>
        <v>Actual</v>
      </c>
      <c r="M453" s="42" t="n">
        <f aca="false">Sales_Transactions!F453</f>
        <v>320</v>
      </c>
      <c r="N453" s="52" t="n">
        <f aca="false">Sales_Transactions!I453</f>
        <v>55897.6</v>
      </c>
      <c r="O453" s="52" t="n">
        <f aca="false">Sales_Transactions!J453</f>
        <v>32883.2</v>
      </c>
      <c r="P453" s="52" t="n">
        <f aca="false">Sales_Transactions!K453</f>
        <v>23014.4</v>
      </c>
      <c r="Q453" s="42" t="n">
        <f aca="false">IF(ISNUMBER(MATCH(E453,Product_Master!$A$2:$A$9,0)),0,1)</f>
        <v>0</v>
      </c>
      <c r="R453" s="42" t="n">
        <f aca="false">IF(ISNUMBER(MATCH(D453,Customer_Master!$A$2:$A$49,0)),0,1)</f>
        <v>0</v>
      </c>
      <c r="S453" s="42" t="n">
        <f aca="false">IF(ISNUMBER(MATCH(B453,Calendar!$A$2:$A$25,0)),0,1)</f>
        <v>0</v>
      </c>
      <c r="T453" s="42" t="n">
        <f aca="false">IF(COUNTIF(Sales_Transactions!$A$2:$A$865,A453)&gt;1,1,0)</f>
        <v>0</v>
      </c>
      <c r="U453" s="42" t="n">
        <f aca="false">IF(OR(ABS(Sales_Transactions!F453*Sales_Transactions!G453-Sales_Transactions!I453)&gt;0.01,ABS(Sales_Transactions!F453*Sales_Transactions!H453-Sales_Transactions!J453)&gt;0.01,ABS(Sales_Transactions!I453-Sales_Transactions!J453-Sales_Transactions!K453)&gt;0.01),1,0)</f>
        <v>0</v>
      </c>
      <c r="V453" s="42" t="n">
        <f aca="false">IF(C453&lt;&gt;L453,1,0)</f>
        <v>0</v>
      </c>
      <c r="W453" s="42" t="n">
        <f aca="false">IF(SUM(Q453:V453)&gt;0,1,0)</f>
        <v>0</v>
      </c>
    </row>
    <row r="454" customFormat="false" ht="15" hidden="false" customHeight="false" outlineLevel="0" collapsed="false">
      <c r="A454" s="42" t="str">
        <f aca="false">Sales_Transactions!A454</f>
        <v>INV-13-021</v>
      </c>
      <c r="B454" s="42" t="str">
        <f aca="false">Sales_Transactions!B454</f>
        <v>2026-01</v>
      </c>
      <c r="C454" s="42" t="str">
        <f aca="false">Sales_Transactions!C454</f>
        <v>Actual</v>
      </c>
      <c r="D454" s="42" t="str">
        <f aca="false">Sales_Transactions!D454</f>
        <v>C033</v>
      </c>
      <c r="E454" s="42" t="str">
        <f aca="false">Sales_Transactions!E454</f>
        <v>P001</v>
      </c>
      <c r="F454" s="42" t="str">
        <f aca="false">IFERROR(INDEX(Customer_Master!$C$2:$C$49,MATCH(D454,Customer_Master!$A$2:$A$49,0)),"UNMATCHED")</f>
        <v>South</v>
      </c>
      <c r="G454" s="42" t="str">
        <f aca="false">IFERROR(INDEX(Customer_Master!$D$2:$D$49,MATCH(D454,Customer_Master!$A$2:$A$49,0)),"UNMATCHED")</f>
        <v>Retail</v>
      </c>
      <c r="H454" s="42" t="str">
        <f aca="false">IFERROR(INDEX(Product_Master!$C$2:$C$9,MATCH(E454,Product_Master!$A$2:$A$9,0)),"UNMATCHED")</f>
        <v>Home Care</v>
      </c>
      <c r="I454" s="42" t="str">
        <f aca="false">IFERROR(INDEX(Product_Master!$B$2:$B$9,MATCH(E454,Product_Master!$A$2:$A$9,0)),"UNMATCHED")</f>
        <v>Detergent 1kg</v>
      </c>
      <c r="J454" s="42" t="n">
        <f aca="false">IFERROR(INDEX(Calendar!$B$2:$B$25,MATCH(B454,Calendar!$A$2:$A$25,0)),0)</f>
        <v>2026</v>
      </c>
      <c r="K454" s="42" t="n">
        <f aca="false">IFERROR(VALUE(RIGHT(B454,2)),0)</f>
        <v>1</v>
      </c>
      <c r="L454" s="42" t="str">
        <f aca="false">IFERROR(INDEX(Calendar!$E$2:$E$25,MATCH(B454,Calendar!$A$2:$A$25,0)),"UNMATCHED")</f>
        <v>Actual</v>
      </c>
      <c r="M454" s="42" t="n">
        <f aca="false">Sales_Transactions!F454</f>
        <v>130</v>
      </c>
      <c r="N454" s="52" t="n">
        <f aca="false">Sales_Transactions!I454</f>
        <v>25846.6</v>
      </c>
      <c r="O454" s="52" t="n">
        <f aca="false">Sales_Transactions!J454</f>
        <v>16692</v>
      </c>
      <c r="P454" s="52" t="n">
        <f aca="false">Sales_Transactions!K454</f>
        <v>9154.6</v>
      </c>
      <c r="Q454" s="42" t="n">
        <f aca="false">IF(ISNUMBER(MATCH(E454,Product_Master!$A$2:$A$9,0)),0,1)</f>
        <v>0</v>
      </c>
      <c r="R454" s="42" t="n">
        <f aca="false">IF(ISNUMBER(MATCH(D454,Customer_Master!$A$2:$A$49,0)),0,1)</f>
        <v>0</v>
      </c>
      <c r="S454" s="42" t="n">
        <f aca="false">IF(ISNUMBER(MATCH(B454,Calendar!$A$2:$A$25,0)),0,1)</f>
        <v>0</v>
      </c>
      <c r="T454" s="42" t="n">
        <f aca="false">IF(COUNTIF(Sales_Transactions!$A$2:$A$865,A454)&gt;1,1,0)</f>
        <v>0</v>
      </c>
      <c r="U454" s="42" t="n">
        <f aca="false">IF(OR(ABS(Sales_Transactions!F454*Sales_Transactions!G454-Sales_Transactions!I454)&gt;0.01,ABS(Sales_Transactions!F454*Sales_Transactions!H454-Sales_Transactions!J454)&gt;0.01,ABS(Sales_Transactions!I454-Sales_Transactions!J454-Sales_Transactions!K454)&gt;0.01),1,0)</f>
        <v>0</v>
      </c>
      <c r="V454" s="42" t="n">
        <f aca="false">IF(C454&lt;&gt;L454,1,0)</f>
        <v>0</v>
      </c>
      <c r="W454" s="42" t="n">
        <f aca="false">IF(SUM(Q454:V454)&gt;0,1,0)</f>
        <v>0</v>
      </c>
    </row>
    <row r="455" customFormat="false" ht="15" hidden="false" customHeight="false" outlineLevel="0" collapsed="false">
      <c r="A455" s="42" t="str">
        <f aca="false">Sales_Transactions!A455</f>
        <v>INV-13-022</v>
      </c>
      <c r="B455" s="42" t="str">
        <f aca="false">Sales_Transactions!B455</f>
        <v>2026-01</v>
      </c>
      <c r="C455" s="42" t="str">
        <f aca="false">Sales_Transactions!C455</f>
        <v>Actual</v>
      </c>
      <c r="D455" s="42" t="str">
        <f aca="false">Sales_Transactions!D455</f>
        <v>C040</v>
      </c>
      <c r="E455" s="42" t="str">
        <f aca="false">Sales_Transactions!E455</f>
        <v>P006</v>
      </c>
      <c r="F455" s="42" t="str">
        <f aca="false">IFERROR(INDEX(Customer_Master!$C$2:$C$49,MATCH(D455,Customer_Master!$A$2:$A$49,0)),"UNMATCHED")</f>
        <v>East</v>
      </c>
      <c r="G455" s="42" t="str">
        <f aca="false">IFERROR(INDEX(Customer_Master!$D$2:$D$49,MATCH(D455,Customer_Master!$A$2:$A$49,0)),"UNMATCHED")</f>
        <v>Distributor</v>
      </c>
      <c r="H455" s="42" t="str">
        <f aca="false">IFERROR(INDEX(Product_Master!$C$2:$C$9,MATCH(E455,Product_Master!$A$2:$A$9,0)),"UNMATCHED")</f>
        <v>Foods</v>
      </c>
      <c r="I455" s="42" t="str">
        <f aca="false">IFERROR(INDEX(Product_Master!$B$2:$B$9,MATCH(E455,Product_Master!$A$2:$A$9,0)),"UNMATCHED")</f>
        <v>Breakfast Cereal</v>
      </c>
      <c r="J455" s="42" t="n">
        <f aca="false">IFERROR(INDEX(Calendar!$B$2:$B$25,MATCH(B455,Calendar!$A$2:$A$25,0)),0)</f>
        <v>2026</v>
      </c>
      <c r="K455" s="42" t="n">
        <f aca="false">IFERROR(VALUE(RIGHT(B455,2)),0)</f>
        <v>1</v>
      </c>
      <c r="L455" s="42" t="str">
        <f aca="false">IFERROR(INDEX(Calendar!$E$2:$E$25,MATCH(B455,Calendar!$A$2:$A$25,0)),"UNMATCHED")</f>
        <v>Actual</v>
      </c>
      <c r="M455" s="42" t="n">
        <f aca="false">Sales_Transactions!F455</f>
        <v>308</v>
      </c>
      <c r="N455" s="52" t="n">
        <f aca="false">Sales_Transactions!I455</f>
        <v>75912.76</v>
      </c>
      <c r="O455" s="52" t="n">
        <f aca="false">Sales_Transactions!J455</f>
        <v>49147.56</v>
      </c>
      <c r="P455" s="52" t="n">
        <f aca="false">Sales_Transactions!K455</f>
        <v>26765.2</v>
      </c>
      <c r="Q455" s="42" t="n">
        <f aca="false">IF(ISNUMBER(MATCH(E455,Product_Master!$A$2:$A$9,0)),0,1)</f>
        <v>0</v>
      </c>
      <c r="R455" s="42" t="n">
        <f aca="false">IF(ISNUMBER(MATCH(D455,Customer_Master!$A$2:$A$49,0)),0,1)</f>
        <v>0</v>
      </c>
      <c r="S455" s="42" t="n">
        <f aca="false">IF(ISNUMBER(MATCH(B455,Calendar!$A$2:$A$25,0)),0,1)</f>
        <v>0</v>
      </c>
      <c r="T455" s="42" t="n">
        <f aca="false">IF(COUNTIF(Sales_Transactions!$A$2:$A$865,A455)&gt;1,1,0)</f>
        <v>0</v>
      </c>
      <c r="U455" s="42" t="n">
        <f aca="false">IF(OR(ABS(Sales_Transactions!F455*Sales_Transactions!G455-Sales_Transactions!I455)&gt;0.01,ABS(Sales_Transactions!F455*Sales_Transactions!H455-Sales_Transactions!J455)&gt;0.01,ABS(Sales_Transactions!I455-Sales_Transactions!J455-Sales_Transactions!K455)&gt;0.01),1,0)</f>
        <v>0</v>
      </c>
      <c r="V455" s="42" t="n">
        <f aca="false">IF(C455&lt;&gt;L455,1,0)</f>
        <v>0</v>
      </c>
      <c r="W455" s="42" t="n">
        <f aca="false">IF(SUM(Q455:V455)&gt;0,1,0)</f>
        <v>0</v>
      </c>
    </row>
    <row r="456" customFormat="false" ht="15" hidden="false" customHeight="false" outlineLevel="0" collapsed="false">
      <c r="A456" s="42" t="str">
        <f aca="false">Sales_Transactions!A456</f>
        <v>INV-13-023</v>
      </c>
      <c r="B456" s="42" t="str">
        <f aca="false">Sales_Transactions!B456</f>
        <v>2026-01</v>
      </c>
      <c r="C456" s="42" t="str">
        <f aca="false">Sales_Transactions!C456</f>
        <v>Actual</v>
      </c>
      <c r="D456" s="42" t="str">
        <f aca="false">Sales_Transactions!D456</f>
        <v>C047</v>
      </c>
      <c r="E456" s="42" t="str">
        <f aca="false">Sales_Transactions!E456</f>
        <v>P003</v>
      </c>
      <c r="F456" s="42" t="str">
        <f aca="false">IFERROR(INDEX(Customer_Master!$C$2:$C$49,MATCH(D456,Customer_Master!$A$2:$A$49,0)),"UNMATCHED")</f>
        <v>West</v>
      </c>
      <c r="G456" s="42" t="str">
        <f aca="false">IFERROR(INDEX(Customer_Master!$D$2:$D$49,MATCH(D456,Customer_Master!$A$2:$A$49,0)),"UNMATCHED")</f>
        <v>Modern Trade</v>
      </c>
      <c r="H456" s="42" t="str">
        <f aca="false">IFERROR(INDEX(Product_Master!$C$2:$C$9,MATCH(E456,Product_Master!$A$2:$A$9,0)),"UNMATCHED")</f>
        <v>Personal Care</v>
      </c>
      <c r="I456" s="42" t="str">
        <f aca="false">IFERROR(INDEX(Product_Master!$B$2:$B$9,MATCH(E456,Product_Master!$A$2:$A$9,0)),"UNMATCHED")</f>
        <v>Shampoo 400ml</v>
      </c>
      <c r="J456" s="42" t="n">
        <f aca="false">IFERROR(INDEX(Calendar!$B$2:$B$25,MATCH(B456,Calendar!$A$2:$A$25,0)),0)</f>
        <v>2026</v>
      </c>
      <c r="K456" s="42" t="n">
        <f aca="false">IFERROR(VALUE(RIGHT(B456,2)),0)</f>
        <v>1</v>
      </c>
      <c r="L456" s="42" t="str">
        <f aca="false">IFERROR(INDEX(Calendar!$E$2:$E$25,MATCH(B456,Calendar!$A$2:$A$25,0)),"UNMATCHED")</f>
        <v>Actual</v>
      </c>
      <c r="M456" s="42" t="n">
        <f aca="false">Sales_Transactions!F456</f>
        <v>287</v>
      </c>
      <c r="N456" s="52" t="n">
        <f aca="false">Sales_Transactions!I456</f>
        <v>80615.43</v>
      </c>
      <c r="O456" s="52" t="n">
        <f aca="false">Sales_Transactions!J456</f>
        <v>51505.02</v>
      </c>
      <c r="P456" s="52" t="n">
        <f aca="false">Sales_Transactions!K456</f>
        <v>29110.41</v>
      </c>
      <c r="Q456" s="42" t="n">
        <f aca="false">IF(ISNUMBER(MATCH(E456,Product_Master!$A$2:$A$9,0)),0,1)</f>
        <v>0</v>
      </c>
      <c r="R456" s="42" t="n">
        <f aca="false">IF(ISNUMBER(MATCH(D456,Customer_Master!$A$2:$A$49,0)),0,1)</f>
        <v>0</v>
      </c>
      <c r="S456" s="42" t="n">
        <f aca="false">IF(ISNUMBER(MATCH(B456,Calendar!$A$2:$A$25,0)),0,1)</f>
        <v>0</v>
      </c>
      <c r="T456" s="42" t="n">
        <f aca="false">IF(COUNTIF(Sales_Transactions!$A$2:$A$865,A456)&gt;1,1,0)</f>
        <v>0</v>
      </c>
      <c r="U456" s="42" t="n">
        <f aca="false">IF(OR(ABS(Sales_Transactions!F456*Sales_Transactions!G456-Sales_Transactions!I456)&gt;0.01,ABS(Sales_Transactions!F456*Sales_Transactions!H456-Sales_Transactions!J456)&gt;0.01,ABS(Sales_Transactions!I456-Sales_Transactions!J456-Sales_Transactions!K456)&gt;0.01),1,0)</f>
        <v>0</v>
      </c>
      <c r="V456" s="42" t="n">
        <f aca="false">IF(C456&lt;&gt;L456,1,0)</f>
        <v>0</v>
      </c>
      <c r="W456" s="42" t="n">
        <f aca="false">IF(SUM(Q456:V456)&gt;0,1,0)</f>
        <v>0</v>
      </c>
    </row>
    <row r="457" customFormat="false" ht="15" hidden="false" customHeight="false" outlineLevel="0" collapsed="false">
      <c r="A457" s="42" t="str">
        <f aca="false">Sales_Transactions!A457</f>
        <v>INV-13-024</v>
      </c>
      <c r="B457" s="42" t="str">
        <f aca="false">Sales_Transactions!B457</f>
        <v>2026-01</v>
      </c>
      <c r="C457" s="42" t="str">
        <f aca="false">Sales_Transactions!C457</f>
        <v>Actual</v>
      </c>
      <c r="D457" s="42" t="str">
        <f aca="false">Sales_Transactions!D457</f>
        <v>C006</v>
      </c>
      <c r="E457" s="42" t="str">
        <f aca="false">Sales_Transactions!E457</f>
        <v>P008</v>
      </c>
      <c r="F457" s="42" t="str">
        <f aca="false">IFERROR(INDEX(Customer_Master!$C$2:$C$49,MATCH(D457,Customer_Master!$A$2:$A$49,0)),"UNMATCHED")</f>
        <v>North</v>
      </c>
      <c r="G457" s="42" t="str">
        <f aca="false">IFERROR(INDEX(Customer_Master!$D$2:$D$49,MATCH(D457,Customer_Master!$A$2:$A$49,0)),"UNMATCHED")</f>
        <v>Retail</v>
      </c>
      <c r="H457" s="42" t="str">
        <f aca="false">IFERROR(INDEX(Product_Master!$C$2:$C$9,MATCH(E457,Product_Master!$A$2:$A$9,0)),"UNMATCHED")</f>
        <v>Personal Care</v>
      </c>
      <c r="I457" s="42" t="str">
        <f aca="false">IFERROR(INDEX(Product_Master!$B$2:$B$9,MATCH(E457,Product_Master!$A$2:$A$9,0)),"UNMATCHED")</f>
        <v>Body Lotion</v>
      </c>
      <c r="J457" s="42" t="n">
        <f aca="false">IFERROR(INDEX(Calendar!$B$2:$B$25,MATCH(B457,Calendar!$A$2:$A$25,0)),0)</f>
        <v>2026</v>
      </c>
      <c r="K457" s="42" t="n">
        <f aca="false">IFERROR(VALUE(RIGHT(B457,2)),0)</f>
        <v>1</v>
      </c>
      <c r="L457" s="42" t="str">
        <f aca="false">IFERROR(INDEX(Calendar!$E$2:$E$25,MATCH(B457,Calendar!$A$2:$A$25,0)),"UNMATCHED")</f>
        <v>Actual</v>
      </c>
      <c r="M457" s="42" t="n">
        <f aca="false">Sales_Transactions!F457</f>
        <v>198</v>
      </c>
      <c r="N457" s="52" t="n">
        <f aca="false">Sales_Transactions!I457</f>
        <v>60057.36</v>
      </c>
      <c r="O457" s="52" t="n">
        <f aca="false">Sales_Transactions!J457</f>
        <v>39204</v>
      </c>
      <c r="P457" s="52" t="n">
        <f aca="false">Sales_Transactions!K457</f>
        <v>20853.36</v>
      </c>
      <c r="Q457" s="42" t="n">
        <f aca="false">IF(ISNUMBER(MATCH(E457,Product_Master!$A$2:$A$9,0)),0,1)</f>
        <v>0</v>
      </c>
      <c r="R457" s="42" t="n">
        <f aca="false">IF(ISNUMBER(MATCH(D457,Customer_Master!$A$2:$A$49,0)),0,1)</f>
        <v>0</v>
      </c>
      <c r="S457" s="42" t="n">
        <f aca="false">IF(ISNUMBER(MATCH(B457,Calendar!$A$2:$A$25,0)),0,1)</f>
        <v>0</v>
      </c>
      <c r="T457" s="42" t="n">
        <f aca="false">IF(COUNTIF(Sales_Transactions!$A$2:$A$865,A457)&gt;1,1,0)</f>
        <v>0</v>
      </c>
      <c r="U457" s="42" t="n">
        <f aca="false">IF(OR(ABS(Sales_Transactions!F457*Sales_Transactions!G457-Sales_Transactions!I457)&gt;0.01,ABS(Sales_Transactions!F457*Sales_Transactions!H457-Sales_Transactions!J457)&gt;0.01,ABS(Sales_Transactions!I457-Sales_Transactions!J457-Sales_Transactions!K457)&gt;0.01),1,0)</f>
        <v>0</v>
      </c>
      <c r="V457" s="42" t="n">
        <f aca="false">IF(C457&lt;&gt;L457,1,0)</f>
        <v>0</v>
      </c>
      <c r="W457" s="42" t="n">
        <f aca="false">IF(SUM(Q457:V457)&gt;0,1,0)</f>
        <v>0</v>
      </c>
    </row>
    <row r="458" customFormat="false" ht="15" hidden="false" customHeight="false" outlineLevel="0" collapsed="false">
      <c r="A458" s="42" t="str">
        <f aca="false">Sales_Transactions!A458</f>
        <v>INV-13-025</v>
      </c>
      <c r="B458" s="42" t="str">
        <f aca="false">Sales_Transactions!B458</f>
        <v>2026-01</v>
      </c>
      <c r="C458" s="42" t="str">
        <f aca="false">Sales_Transactions!C458</f>
        <v>Actual</v>
      </c>
      <c r="D458" s="42" t="str">
        <f aca="false">Sales_Transactions!D458</f>
        <v>C013</v>
      </c>
      <c r="E458" s="42" t="str">
        <f aca="false">Sales_Transactions!E458</f>
        <v>P005</v>
      </c>
      <c r="F458" s="42" t="str">
        <f aca="false">IFERROR(INDEX(Customer_Master!$C$2:$C$49,MATCH(D458,Customer_Master!$A$2:$A$49,0)),"UNMATCHED")</f>
        <v>South</v>
      </c>
      <c r="G458" s="42" t="str">
        <f aca="false">IFERROR(INDEX(Customer_Master!$D$2:$D$49,MATCH(D458,Customer_Master!$A$2:$A$49,0)),"UNMATCHED")</f>
        <v>Distributor</v>
      </c>
      <c r="H458" s="42" t="str">
        <f aca="false">IFERROR(INDEX(Product_Master!$C$2:$C$9,MATCH(E458,Product_Master!$A$2:$A$9,0)),"UNMATCHED")</f>
        <v>Foods</v>
      </c>
      <c r="I458" s="42" t="str">
        <f aca="false">IFERROR(INDEX(Product_Master!$B$2:$B$9,MATCH(E458,Product_Master!$A$2:$A$9,0)),"UNMATCHED")</f>
        <v>Biscuits 500g</v>
      </c>
      <c r="J458" s="42" t="n">
        <f aca="false">IFERROR(INDEX(Calendar!$B$2:$B$25,MATCH(B458,Calendar!$A$2:$A$25,0)),0)</f>
        <v>2026</v>
      </c>
      <c r="K458" s="42" t="n">
        <f aca="false">IFERROR(VALUE(RIGHT(B458,2)),0)</f>
        <v>1</v>
      </c>
      <c r="L458" s="42" t="str">
        <f aca="false">IFERROR(INDEX(Calendar!$E$2:$E$25,MATCH(B458,Calendar!$A$2:$A$25,0)),"UNMATCHED")</f>
        <v>Actual</v>
      </c>
      <c r="M458" s="42" t="n">
        <f aca="false">Sales_Transactions!F458</f>
        <v>346</v>
      </c>
      <c r="N458" s="52" t="n">
        <f aca="false">Sales_Transactions!I458</f>
        <v>37008.16</v>
      </c>
      <c r="O458" s="52" t="n">
        <f aca="false">Sales_Transactions!J458</f>
        <v>23732.14</v>
      </c>
      <c r="P458" s="52" t="n">
        <f aca="false">Sales_Transactions!K458</f>
        <v>13276.02</v>
      </c>
      <c r="Q458" s="42" t="n">
        <f aca="false">IF(ISNUMBER(MATCH(E458,Product_Master!$A$2:$A$9,0)),0,1)</f>
        <v>0</v>
      </c>
      <c r="R458" s="42" t="n">
        <f aca="false">IF(ISNUMBER(MATCH(D458,Customer_Master!$A$2:$A$49,0)),0,1)</f>
        <v>0</v>
      </c>
      <c r="S458" s="42" t="n">
        <f aca="false">IF(ISNUMBER(MATCH(B458,Calendar!$A$2:$A$25,0)),0,1)</f>
        <v>0</v>
      </c>
      <c r="T458" s="42" t="n">
        <f aca="false">IF(COUNTIF(Sales_Transactions!$A$2:$A$865,A458)&gt;1,1,0)</f>
        <v>0</v>
      </c>
      <c r="U458" s="42" t="n">
        <f aca="false">IF(OR(ABS(Sales_Transactions!F458*Sales_Transactions!G458-Sales_Transactions!I458)&gt;0.01,ABS(Sales_Transactions!F458*Sales_Transactions!H458-Sales_Transactions!J458)&gt;0.01,ABS(Sales_Transactions!I458-Sales_Transactions!J458-Sales_Transactions!K458)&gt;0.01),1,0)</f>
        <v>0</v>
      </c>
      <c r="V458" s="42" t="n">
        <f aca="false">IF(C458&lt;&gt;L458,1,0)</f>
        <v>0</v>
      </c>
      <c r="W458" s="42" t="n">
        <f aca="false">IF(SUM(Q458:V458)&gt;0,1,0)</f>
        <v>0</v>
      </c>
    </row>
    <row r="459" customFormat="false" ht="15" hidden="false" customHeight="false" outlineLevel="0" collapsed="false">
      <c r="A459" s="42" t="str">
        <f aca="false">Sales_Transactions!A459</f>
        <v>INV-13-026</v>
      </c>
      <c r="B459" s="42" t="str">
        <f aca="false">Sales_Transactions!B459</f>
        <v>2026-01</v>
      </c>
      <c r="C459" s="42" t="str">
        <f aca="false">Sales_Transactions!C459</f>
        <v>Actual</v>
      </c>
      <c r="D459" s="42" t="str">
        <f aca="false">Sales_Transactions!D459</f>
        <v>C020</v>
      </c>
      <c r="E459" s="42" t="str">
        <f aca="false">Sales_Transactions!E459</f>
        <v>P002</v>
      </c>
      <c r="F459" s="42" t="str">
        <f aca="false">IFERROR(INDEX(Customer_Master!$C$2:$C$49,MATCH(D459,Customer_Master!$A$2:$A$49,0)),"UNMATCHED")</f>
        <v>East</v>
      </c>
      <c r="G459" s="42" t="str">
        <f aca="false">IFERROR(INDEX(Customer_Master!$D$2:$D$49,MATCH(D459,Customer_Master!$A$2:$A$49,0)),"UNMATCHED")</f>
        <v>Modern Trade</v>
      </c>
      <c r="H459" s="42" t="str">
        <f aca="false">IFERROR(INDEX(Product_Master!$C$2:$C$9,MATCH(E459,Product_Master!$A$2:$A$9,0)),"UNMATCHED")</f>
        <v>Home Care</v>
      </c>
      <c r="I459" s="42" t="str">
        <f aca="false">IFERROR(INDEX(Product_Master!$B$2:$B$9,MATCH(E459,Product_Master!$A$2:$A$9,0)),"UNMATCHED")</f>
        <v>Dishwash Gel</v>
      </c>
      <c r="J459" s="42" t="n">
        <f aca="false">IFERROR(INDEX(Calendar!$B$2:$B$25,MATCH(B459,Calendar!$A$2:$A$25,0)),0)</f>
        <v>2026</v>
      </c>
      <c r="K459" s="42" t="n">
        <f aca="false">IFERROR(VALUE(RIGHT(B459,2)),0)</f>
        <v>1</v>
      </c>
      <c r="L459" s="42" t="str">
        <f aca="false">IFERROR(INDEX(Calendar!$E$2:$E$25,MATCH(B459,Calendar!$A$2:$A$25,0)),"UNMATCHED")</f>
        <v>Actual</v>
      </c>
      <c r="M459" s="42" t="n">
        <f aca="false">Sales_Transactions!F459</f>
        <v>184</v>
      </c>
      <c r="N459" s="52" t="n">
        <f aca="false">Sales_Transactions!I459</f>
        <v>26887.92</v>
      </c>
      <c r="O459" s="52" t="n">
        <f aca="false">Sales_Transactions!J459</f>
        <v>15117.44</v>
      </c>
      <c r="P459" s="52" t="n">
        <f aca="false">Sales_Transactions!K459</f>
        <v>11770.48</v>
      </c>
      <c r="Q459" s="42" t="n">
        <f aca="false">IF(ISNUMBER(MATCH(E459,Product_Master!$A$2:$A$9,0)),0,1)</f>
        <v>0</v>
      </c>
      <c r="R459" s="42" t="n">
        <f aca="false">IF(ISNUMBER(MATCH(D459,Customer_Master!$A$2:$A$49,0)),0,1)</f>
        <v>0</v>
      </c>
      <c r="S459" s="42" t="n">
        <f aca="false">IF(ISNUMBER(MATCH(B459,Calendar!$A$2:$A$25,0)),0,1)</f>
        <v>0</v>
      </c>
      <c r="T459" s="42" t="n">
        <f aca="false">IF(COUNTIF(Sales_Transactions!$A$2:$A$865,A459)&gt;1,1,0)</f>
        <v>0</v>
      </c>
      <c r="U459" s="42" t="n">
        <f aca="false">IF(OR(ABS(Sales_Transactions!F459*Sales_Transactions!G459-Sales_Transactions!I459)&gt;0.01,ABS(Sales_Transactions!F459*Sales_Transactions!H459-Sales_Transactions!J459)&gt;0.01,ABS(Sales_Transactions!I459-Sales_Transactions!J459-Sales_Transactions!K459)&gt;0.01),1,0)</f>
        <v>0</v>
      </c>
      <c r="V459" s="42" t="n">
        <f aca="false">IF(C459&lt;&gt;L459,1,0)</f>
        <v>0</v>
      </c>
      <c r="W459" s="42" t="n">
        <f aca="false">IF(SUM(Q459:V459)&gt;0,1,0)</f>
        <v>0</v>
      </c>
    </row>
    <row r="460" customFormat="false" ht="15" hidden="false" customHeight="false" outlineLevel="0" collapsed="false">
      <c r="A460" s="42" t="str">
        <f aca="false">Sales_Transactions!A460</f>
        <v>INV-13-027</v>
      </c>
      <c r="B460" s="42" t="str">
        <f aca="false">Sales_Transactions!B460</f>
        <v>2026-01</v>
      </c>
      <c r="C460" s="42" t="str">
        <f aca="false">Sales_Transactions!C460</f>
        <v>Actual</v>
      </c>
      <c r="D460" s="42" t="str">
        <f aca="false">Sales_Transactions!D460</f>
        <v>C027</v>
      </c>
      <c r="E460" s="42" t="str">
        <f aca="false">Sales_Transactions!E460</f>
        <v>P007</v>
      </c>
      <c r="F460" s="42" t="str">
        <f aca="false">IFERROR(INDEX(Customer_Master!$C$2:$C$49,MATCH(D460,Customer_Master!$A$2:$A$49,0)),"UNMATCHED")</f>
        <v>West</v>
      </c>
      <c r="G460" s="42" t="str">
        <f aca="false">IFERROR(INDEX(Customer_Master!$D$2:$D$49,MATCH(D460,Customer_Master!$A$2:$A$49,0)),"UNMATCHED")</f>
        <v>Retail</v>
      </c>
      <c r="H460" s="42" t="str">
        <f aca="false">IFERROR(INDEX(Product_Master!$C$2:$C$9,MATCH(E460,Product_Master!$A$2:$A$9,0)),"UNMATCHED")</f>
        <v>Home Care</v>
      </c>
      <c r="I460" s="42" t="str">
        <f aca="false">IFERROR(INDEX(Product_Master!$B$2:$B$9,MATCH(E460,Product_Master!$A$2:$A$9,0)),"UNMATCHED")</f>
        <v>Floor Cleaner</v>
      </c>
      <c r="J460" s="42" t="n">
        <f aca="false">IFERROR(INDEX(Calendar!$B$2:$B$25,MATCH(B460,Calendar!$A$2:$A$25,0)),0)</f>
        <v>2026</v>
      </c>
      <c r="K460" s="42" t="n">
        <f aca="false">IFERROR(VALUE(RIGHT(B460,2)),0)</f>
        <v>1</v>
      </c>
      <c r="L460" s="42" t="str">
        <f aca="false">IFERROR(INDEX(Calendar!$E$2:$E$25,MATCH(B460,Calendar!$A$2:$A$25,0)),"UNMATCHED")</f>
        <v>Actual</v>
      </c>
      <c r="M460" s="42" t="n">
        <f aca="false">Sales_Transactions!F460</f>
        <v>457</v>
      </c>
      <c r="N460" s="52" t="n">
        <f aca="false">Sales_Transactions!I460</f>
        <v>88095.89</v>
      </c>
      <c r="O460" s="52" t="n">
        <f aca="false">Sales_Transactions!J460</f>
        <v>53098.83</v>
      </c>
      <c r="P460" s="52" t="n">
        <f aca="false">Sales_Transactions!K460</f>
        <v>34997.06</v>
      </c>
      <c r="Q460" s="42" t="n">
        <f aca="false">IF(ISNUMBER(MATCH(E460,Product_Master!$A$2:$A$9,0)),0,1)</f>
        <v>0</v>
      </c>
      <c r="R460" s="42" t="n">
        <f aca="false">IF(ISNUMBER(MATCH(D460,Customer_Master!$A$2:$A$49,0)),0,1)</f>
        <v>0</v>
      </c>
      <c r="S460" s="42" t="n">
        <f aca="false">IF(ISNUMBER(MATCH(B460,Calendar!$A$2:$A$25,0)),0,1)</f>
        <v>0</v>
      </c>
      <c r="T460" s="42" t="n">
        <f aca="false">IF(COUNTIF(Sales_Transactions!$A$2:$A$865,A460)&gt;1,1,0)</f>
        <v>0</v>
      </c>
      <c r="U460" s="42" t="n">
        <f aca="false">IF(OR(ABS(Sales_Transactions!F460*Sales_Transactions!G460-Sales_Transactions!I460)&gt;0.01,ABS(Sales_Transactions!F460*Sales_Transactions!H460-Sales_Transactions!J460)&gt;0.01,ABS(Sales_Transactions!I460-Sales_Transactions!J460-Sales_Transactions!K460)&gt;0.01),1,0)</f>
        <v>0</v>
      </c>
      <c r="V460" s="42" t="n">
        <f aca="false">IF(C460&lt;&gt;L460,1,0)</f>
        <v>0</v>
      </c>
      <c r="W460" s="42" t="n">
        <f aca="false">IF(SUM(Q460:V460)&gt;0,1,0)</f>
        <v>0</v>
      </c>
    </row>
    <row r="461" customFormat="false" ht="15" hidden="false" customHeight="false" outlineLevel="0" collapsed="false">
      <c r="A461" s="42" t="str">
        <f aca="false">Sales_Transactions!A461</f>
        <v>INV-13-028</v>
      </c>
      <c r="B461" s="42" t="str">
        <f aca="false">Sales_Transactions!B461</f>
        <v>2026-01</v>
      </c>
      <c r="C461" s="42" t="str">
        <f aca="false">Sales_Transactions!C461</f>
        <v>Actual</v>
      </c>
      <c r="D461" s="42" t="str">
        <f aca="false">Sales_Transactions!D461</f>
        <v>C034</v>
      </c>
      <c r="E461" s="42" t="str">
        <f aca="false">Sales_Transactions!E461</f>
        <v>P004</v>
      </c>
      <c r="F461" s="42" t="str">
        <f aca="false">IFERROR(INDEX(Customer_Master!$C$2:$C$49,MATCH(D461,Customer_Master!$A$2:$A$49,0)),"UNMATCHED")</f>
        <v>North</v>
      </c>
      <c r="G461" s="42" t="str">
        <f aca="false">IFERROR(INDEX(Customer_Master!$D$2:$D$49,MATCH(D461,Customer_Master!$A$2:$A$49,0)),"UNMATCHED")</f>
        <v>Distributor</v>
      </c>
      <c r="H461" s="42" t="str">
        <f aca="false">IFERROR(INDEX(Product_Master!$C$2:$C$9,MATCH(E461,Product_Master!$A$2:$A$9,0)),"UNMATCHED")</f>
        <v>Personal Care</v>
      </c>
      <c r="I461" s="42" t="str">
        <f aca="false">IFERROR(INDEX(Product_Master!$B$2:$B$9,MATCH(E461,Product_Master!$A$2:$A$9,0)),"UNMATCHED")</f>
        <v>Soap 4-pack</v>
      </c>
      <c r="J461" s="42" t="n">
        <f aca="false">IFERROR(INDEX(Calendar!$B$2:$B$25,MATCH(B461,Calendar!$A$2:$A$25,0)),0)</f>
        <v>2026</v>
      </c>
      <c r="K461" s="42" t="n">
        <f aca="false">IFERROR(VALUE(RIGHT(B461,2)),0)</f>
        <v>1</v>
      </c>
      <c r="L461" s="42" t="str">
        <f aca="false">IFERROR(INDEX(Calendar!$E$2:$E$25,MATCH(B461,Calendar!$A$2:$A$25,0)),"UNMATCHED")</f>
        <v>Actual</v>
      </c>
      <c r="M461" s="42" t="n">
        <f aca="false">Sales_Transactions!F461</f>
        <v>160</v>
      </c>
      <c r="N461" s="52" t="n">
        <f aca="false">Sales_Transactions!I461</f>
        <v>25780.8</v>
      </c>
      <c r="O461" s="52" t="n">
        <f aca="false">Sales_Transactions!J461</f>
        <v>15016</v>
      </c>
      <c r="P461" s="52" t="n">
        <f aca="false">Sales_Transactions!K461</f>
        <v>10764.8</v>
      </c>
      <c r="Q461" s="42" t="n">
        <f aca="false">IF(ISNUMBER(MATCH(E461,Product_Master!$A$2:$A$9,0)),0,1)</f>
        <v>0</v>
      </c>
      <c r="R461" s="42" t="n">
        <f aca="false">IF(ISNUMBER(MATCH(D461,Customer_Master!$A$2:$A$49,0)),0,1)</f>
        <v>0</v>
      </c>
      <c r="S461" s="42" t="n">
        <f aca="false">IF(ISNUMBER(MATCH(B461,Calendar!$A$2:$A$25,0)),0,1)</f>
        <v>0</v>
      </c>
      <c r="T461" s="42" t="n">
        <f aca="false">IF(COUNTIF(Sales_Transactions!$A$2:$A$865,A461)&gt;1,1,0)</f>
        <v>0</v>
      </c>
      <c r="U461" s="42" t="n">
        <f aca="false">IF(OR(ABS(Sales_Transactions!F461*Sales_Transactions!G461-Sales_Transactions!I461)&gt;0.01,ABS(Sales_Transactions!F461*Sales_Transactions!H461-Sales_Transactions!J461)&gt;0.01,ABS(Sales_Transactions!I461-Sales_Transactions!J461-Sales_Transactions!K461)&gt;0.01),1,0)</f>
        <v>0</v>
      </c>
      <c r="V461" s="42" t="n">
        <f aca="false">IF(C461&lt;&gt;L461,1,0)</f>
        <v>0</v>
      </c>
      <c r="W461" s="42" t="n">
        <f aca="false">IF(SUM(Q461:V461)&gt;0,1,0)</f>
        <v>0</v>
      </c>
    </row>
    <row r="462" customFormat="false" ht="15" hidden="false" customHeight="false" outlineLevel="0" collapsed="false">
      <c r="A462" s="42" t="str">
        <f aca="false">Sales_Transactions!A462</f>
        <v>INV-13-029</v>
      </c>
      <c r="B462" s="42" t="str">
        <f aca="false">Sales_Transactions!B462</f>
        <v>2026-01</v>
      </c>
      <c r="C462" s="42" t="str">
        <f aca="false">Sales_Transactions!C462</f>
        <v>Actual</v>
      </c>
      <c r="D462" s="42" t="str">
        <f aca="false">Sales_Transactions!D462</f>
        <v>C041</v>
      </c>
      <c r="E462" s="42" t="str">
        <f aca="false">Sales_Transactions!E462</f>
        <v>P001</v>
      </c>
      <c r="F462" s="42" t="str">
        <f aca="false">IFERROR(INDEX(Customer_Master!$C$2:$C$49,MATCH(D462,Customer_Master!$A$2:$A$49,0)),"UNMATCHED")</f>
        <v>South</v>
      </c>
      <c r="G462" s="42" t="str">
        <f aca="false">IFERROR(INDEX(Customer_Master!$D$2:$D$49,MATCH(D462,Customer_Master!$A$2:$A$49,0)),"UNMATCHED")</f>
        <v>Modern Trade</v>
      </c>
      <c r="H462" s="42" t="str">
        <f aca="false">IFERROR(INDEX(Product_Master!$C$2:$C$9,MATCH(E462,Product_Master!$A$2:$A$9,0)),"UNMATCHED")</f>
        <v>Home Care</v>
      </c>
      <c r="I462" s="42" t="str">
        <f aca="false">IFERROR(INDEX(Product_Master!$B$2:$B$9,MATCH(E462,Product_Master!$A$2:$A$9,0)),"UNMATCHED")</f>
        <v>Detergent 1kg</v>
      </c>
      <c r="J462" s="42" t="n">
        <f aca="false">IFERROR(INDEX(Calendar!$B$2:$B$25,MATCH(B462,Calendar!$A$2:$A$25,0)),0)</f>
        <v>2026</v>
      </c>
      <c r="K462" s="42" t="n">
        <f aca="false">IFERROR(VALUE(RIGHT(B462,2)),0)</f>
        <v>1</v>
      </c>
      <c r="L462" s="42" t="str">
        <f aca="false">IFERROR(INDEX(Calendar!$E$2:$E$25,MATCH(B462,Calendar!$A$2:$A$25,0)),"UNMATCHED")</f>
        <v>Actual</v>
      </c>
      <c r="M462" s="42" t="n">
        <f aca="false">Sales_Transactions!F462</f>
        <v>186</v>
      </c>
      <c r="N462" s="52" t="n">
        <f aca="false">Sales_Transactions!I462</f>
        <v>35645.04</v>
      </c>
      <c r="O462" s="52" t="n">
        <f aca="false">Sales_Transactions!J462</f>
        <v>24020.04</v>
      </c>
      <c r="P462" s="52" t="n">
        <f aca="false">Sales_Transactions!K462</f>
        <v>11625</v>
      </c>
      <c r="Q462" s="42" t="n">
        <f aca="false">IF(ISNUMBER(MATCH(E462,Product_Master!$A$2:$A$9,0)),0,1)</f>
        <v>0</v>
      </c>
      <c r="R462" s="42" t="n">
        <f aca="false">IF(ISNUMBER(MATCH(D462,Customer_Master!$A$2:$A$49,0)),0,1)</f>
        <v>0</v>
      </c>
      <c r="S462" s="42" t="n">
        <f aca="false">IF(ISNUMBER(MATCH(B462,Calendar!$A$2:$A$25,0)),0,1)</f>
        <v>0</v>
      </c>
      <c r="T462" s="42" t="n">
        <f aca="false">IF(COUNTIF(Sales_Transactions!$A$2:$A$865,A462)&gt;1,1,0)</f>
        <v>0</v>
      </c>
      <c r="U462" s="42" t="n">
        <f aca="false">IF(OR(ABS(Sales_Transactions!F462*Sales_Transactions!G462-Sales_Transactions!I462)&gt;0.01,ABS(Sales_Transactions!F462*Sales_Transactions!H462-Sales_Transactions!J462)&gt;0.01,ABS(Sales_Transactions!I462-Sales_Transactions!J462-Sales_Transactions!K462)&gt;0.01),1,0)</f>
        <v>0</v>
      </c>
      <c r="V462" s="42" t="n">
        <f aca="false">IF(C462&lt;&gt;L462,1,0)</f>
        <v>0</v>
      </c>
      <c r="W462" s="42" t="n">
        <f aca="false">IF(SUM(Q462:V462)&gt;0,1,0)</f>
        <v>0</v>
      </c>
    </row>
    <row r="463" customFormat="false" ht="15" hidden="false" customHeight="false" outlineLevel="0" collapsed="false">
      <c r="A463" s="42" t="str">
        <f aca="false">Sales_Transactions!A463</f>
        <v>INV-13-030</v>
      </c>
      <c r="B463" s="42" t="str">
        <f aca="false">Sales_Transactions!B463</f>
        <v>2026-01</v>
      </c>
      <c r="C463" s="42" t="str">
        <f aca="false">Sales_Transactions!C463</f>
        <v>Actual</v>
      </c>
      <c r="D463" s="42" t="str">
        <f aca="false">Sales_Transactions!D463</f>
        <v>C048</v>
      </c>
      <c r="E463" s="42" t="str">
        <f aca="false">Sales_Transactions!E463</f>
        <v>P006</v>
      </c>
      <c r="F463" s="42" t="str">
        <f aca="false">IFERROR(INDEX(Customer_Master!$C$2:$C$49,MATCH(D463,Customer_Master!$A$2:$A$49,0)),"UNMATCHED")</f>
        <v>East</v>
      </c>
      <c r="G463" s="42" t="str">
        <f aca="false">IFERROR(INDEX(Customer_Master!$D$2:$D$49,MATCH(D463,Customer_Master!$A$2:$A$49,0)),"UNMATCHED")</f>
        <v>Retail</v>
      </c>
      <c r="H463" s="42" t="str">
        <f aca="false">IFERROR(INDEX(Product_Master!$C$2:$C$9,MATCH(E463,Product_Master!$A$2:$A$9,0)),"UNMATCHED")</f>
        <v>Foods</v>
      </c>
      <c r="I463" s="42" t="str">
        <f aca="false">IFERROR(INDEX(Product_Master!$B$2:$B$9,MATCH(E463,Product_Master!$A$2:$A$9,0)),"UNMATCHED")</f>
        <v>Breakfast Cereal</v>
      </c>
      <c r="J463" s="42" t="n">
        <f aca="false">IFERROR(INDEX(Calendar!$B$2:$B$25,MATCH(B463,Calendar!$A$2:$A$25,0)),0)</f>
        <v>2026</v>
      </c>
      <c r="K463" s="42" t="n">
        <f aca="false">IFERROR(VALUE(RIGHT(B463,2)),0)</f>
        <v>1</v>
      </c>
      <c r="L463" s="42" t="str">
        <f aca="false">IFERROR(INDEX(Calendar!$E$2:$E$25,MATCH(B463,Calendar!$A$2:$A$25,0)),"UNMATCHED")</f>
        <v>Actual</v>
      </c>
      <c r="M463" s="42" t="n">
        <f aca="false">Sales_Transactions!F463</f>
        <v>420</v>
      </c>
      <c r="N463" s="52" t="n">
        <f aca="false">Sales_Transactions!I463</f>
        <v>96369</v>
      </c>
      <c r="O463" s="52" t="n">
        <f aca="false">Sales_Transactions!J463</f>
        <v>70379.4</v>
      </c>
      <c r="P463" s="52" t="n">
        <f aca="false">Sales_Transactions!K463</f>
        <v>25989.6</v>
      </c>
      <c r="Q463" s="42" t="n">
        <f aca="false">IF(ISNUMBER(MATCH(E463,Product_Master!$A$2:$A$9,0)),0,1)</f>
        <v>0</v>
      </c>
      <c r="R463" s="42" t="n">
        <f aca="false">IF(ISNUMBER(MATCH(D463,Customer_Master!$A$2:$A$49,0)),0,1)</f>
        <v>0</v>
      </c>
      <c r="S463" s="42" t="n">
        <f aca="false">IF(ISNUMBER(MATCH(B463,Calendar!$A$2:$A$25,0)),0,1)</f>
        <v>0</v>
      </c>
      <c r="T463" s="42" t="n">
        <f aca="false">IF(COUNTIF(Sales_Transactions!$A$2:$A$865,A463)&gt;1,1,0)</f>
        <v>0</v>
      </c>
      <c r="U463" s="42" t="n">
        <f aca="false">IF(OR(ABS(Sales_Transactions!F463*Sales_Transactions!G463-Sales_Transactions!I463)&gt;0.01,ABS(Sales_Transactions!F463*Sales_Transactions!H463-Sales_Transactions!J463)&gt;0.01,ABS(Sales_Transactions!I463-Sales_Transactions!J463-Sales_Transactions!K463)&gt;0.01),1,0)</f>
        <v>0</v>
      </c>
      <c r="V463" s="42" t="n">
        <f aca="false">IF(C463&lt;&gt;L463,1,0)</f>
        <v>0</v>
      </c>
      <c r="W463" s="42" t="n">
        <f aca="false">IF(SUM(Q463:V463)&gt;0,1,0)</f>
        <v>0</v>
      </c>
    </row>
    <row r="464" customFormat="false" ht="15" hidden="false" customHeight="false" outlineLevel="0" collapsed="false">
      <c r="A464" s="42" t="str">
        <f aca="false">Sales_Transactions!A464</f>
        <v>INV-13-031</v>
      </c>
      <c r="B464" s="42" t="str">
        <f aca="false">Sales_Transactions!B464</f>
        <v>2026-01</v>
      </c>
      <c r="C464" s="42" t="str">
        <f aca="false">Sales_Transactions!C464</f>
        <v>Actual</v>
      </c>
      <c r="D464" s="42" t="str">
        <f aca="false">Sales_Transactions!D464</f>
        <v>C007</v>
      </c>
      <c r="E464" s="42" t="str">
        <f aca="false">Sales_Transactions!E464</f>
        <v>P003</v>
      </c>
      <c r="F464" s="42" t="str">
        <f aca="false">IFERROR(INDEX(Customer_Master!$C$2:$C$49,MATCH(D464,Customer_Master!$A$2:$A$49,0)),"UNMATCHED")</f>
        <v>West</v>
      </c>
      <c r="G464" s="42" t="str">
        <f aca="false">IFERROR(INDEX(Customer_Master!$D$2:$D$49,MATCH(D464,Customer_Master!$A$2:$A$49,0)),"UNMATCHED")</f>
        <v>Distributor</v>
      </c>
      <c r="H464" s="42" t="str">
        <f aca="false">IFERROR(INDEX(Product_Master!$C$2:$C$9,MATCH(E464,Product_Master!$A$2:$A$9,0)),"UNMATCHED")</f>
        <v>Personal Care</v>
      </c>
      <c r="I464" s="42" t="str">
        <f aca="false">IFERROR(INDEX(Product_Master!$B$2:$B$9,MATCH(E464,Product_Master!$A$2:$A$9,0)),"UNMATCHED")</f>
        <v>Shampoo 400ml</v>
      </c>
      <c r="J464" s="42" t="n">
        <f aca="false">IFERROR(INDEX(Calendar!$B$2:$B$25,MATCH(B464,Calendar!$A$2:$A$25,0)),0)</f>
        <v>2026</v>
      </c>
      <c r="K464" s="42" t="n">
        <f aca="false">IFERROR(VALUE(RIGHT(B464,2)),0)</f>
        <v>1</v>
      </c>
      <c r="L464" s="42" t="str">
        <f aca="false">IFERROR(INDEX(Calendar!$E$2:$E$25,MATCH(B464,Calendar!$A$2:$A$25,0)),"UNMATCHED")</f>
        <v>Actual</v>
      </c>
      <c r="M464" s="42" t="n">
        <f aca="false">Sales_Transactions!F464</f>
        <v>406</v>
      </c>
      <c r="N464" s="52" t="n">
        <f aca="false">Sales_Transactions!I464</f>
        <v>108479.14</v>
      </c>
      <c r="O464" s="52" t="n">
        <f aca="false">Sales_Transactions!J464</f>
        <v>72933.84</v>
      </c>
      <c r="P464" s="52" t="n">
        <f aca="false">Sales_Transactions!K464</f>
        <v>35545.3</v>
      </c>
      <c r="Q464" s="42" t="n">
        <f aca="false">IF(ISNUMBER(MATCH(E464,Product_Master!$A$2:$A$9,0)),0,1)</f>
        <v>0</v>
      </c>
      <c r="R464" s="42" t="n">
        <f aca="false">IF(ISNUMBER(MATCH(D464,Customer_Master!$A$2:$A$49,0)),0,1)</f>
        <v>0</v>
      </c>
      <c r="S464" s="42" t="n">
        <f aca="false">IF(ISNUMBER(MATCH(B464,Calendar!$A$2:$A$25,0)),0,1)</f>
        <v>0</v>
      </c>
      <c r="T464" s="42" t="n">
        <f aca="false">IF(COUNTIF(Sales_Transactions!$A$2:$A$865,A464)&gt;1,1,0)</f>
        <v>0</v>
      </c>
      <c r="U464" s="42" t="n">
        <f aca="false">IF(OR(ABS(Sales_Transactions!F464*Sales_Transactions!G464-Sales_Transactions!I464)&gt;0.01,ABS(Sales_Transactions!F464*Sales_Transactions!H464-Sales_Transactions!J464)&gt;0.01,ABS(Sales_Transactions!I464-Sales_Transactions!J464-Sales_Transactions!K464)&gt;0.01),1,0)</f>
        <v>0</v>
      </c>
      <c r="V464" s="42" t="n">
        <f aca="false">IF(C464&lt;&gt;L464,1,0)</f>
        <v>0</v>
      </c>
      <c r="W464" s="42" t="n">
        <f aca="false">IF(SUM(Q464:V464)&gt;0,1,0)</f>
        <v>0</v>
      </c>
    </row>
    <row r="465" customFormat="false" ht="15" hidden="false" customHeight="false" outlineLevel="0" collapsed="false">
      <c r="A465" s="42" t="str">
        <f aca="false">Sales_Transactions!A465</f>
        <v>INV-13-032</v>
      </c>
      <c r="B465" s="42" t="str">
        <f aca="false">Sales_Transactions!B465</f>
        <v>2026-01</v>
      </c>
      <c r="C465" s="42" t="str">
        <f aca="false">Sales_Transactions!C465</f>
        <v>Actual</v>
      </c>
      <c r="D465" s="42" t="str">
        <f aca="false">Sales_Transactions!D465</f>
        <v>C014</v>
      </c>
      <c r="E465" s="42" t="str">
        <f aca="false">Sales_Transactions!E465</f>
        <v>P008</v>
      </c>
      <c r="F465" s="42" t="str">
        <f aca="false">IFERROR(INDEX(Customer_Master!$C$2:$C$49,MATCH(D465,Customer_Master!$A$2:$A$49,0)),"UNMATCHED")</f>
        <v>North</v>
      </c>
      <c r="G465" s="42" t="str">
        <f aca="false">IFERROR(INDEX(Customer_Master!$D$2:$D$49,MATCH(D465,Customer_Master!$A$2:$A$49,0)),"UNMATCHED")</f>
        <v>Modern Trade</v>
      </c>
      <c r="H465" s="42" t="str">
        <f aca="false">IFERROR(INDEX(Product_Master!$C$2:$C$9,MATCH(E465,Product_Master!$A$2:$A$9,0)),"UNMATCHED")</f>
        <v>Personal Care</v>
      </c>
      <c r="I465" s="42" t="str">
        <f aca="false">IFERROR(INDEX(Product_Master!$B$2:$B$9,MATCH(E465,Product_Master!$A$2:$A$9,0)),"UNMATCHED")</f>
        <v>Body Lotion</v>
      </c>
      <c r="J465" s="42" t="n">
        <f aca="false">IFERROR(INDEX(Calendar!$B$2:$B$25,MATCH(B465,Calendar!$A$2:$A$25,0)),0)</f>
        <v>2026</v>
      </c>
      <c r="K465" s="42" t="n">
        <f aca="false">IFERROR(VALUE(RIGHT(B465,2)),0)</f>
        <v>1</v>
      </c>
      <c r="L465" s="42" t="str">
        <f aca="false">IFERROR(INDEX(Calendar!$E$2:$E$25,MATCH(B465,Calendar!$A$2:$A$25,0)),"UNMATCHED")</f>
        <v>Actual</v>
      </c>
      <c r="M465" s="42" t="n">
        <f aca="false">Sales_Transactions!F465</f>
        <v>381</v>
      </c>
      <c r="N465" s="52" t="n">
        <f aca="false">Sales_Transactions!I465</f>
        <v>117431.82</v>
      </c>
      <c r="O465" s="52" t="n">
        <f aca="false">Sales_Transactions!J465</f>
        <v>82417.92</v>
      </c>
      <c r="P465" s="52" t="n">
        <f aca="false">Sales_Transactions!K465</f>
        <v>35013.9</v>
      </c>
      <c r="Q465" s="42" t="n">
        <f aca="false">IF(ISNUMBER(MATCH(E465,Product_Master!$A$2:$A$9,0)),0,1)</f>
        <v>0</v>
      </c>
      <c r="R465" s="42" t="n">
        <f aca="false">IF(ISNUMBER(MATCH(D465,Customer_Master!$A$2:$A$49,0)),0,1)</f>
        <v>0</v>
      </c>
      <c r="S465" s="42" t="n">
        <f aca="false">IF(ISNUMBER(MATCH(B465,Calendar!$A$2:$A$25,0)),0,1)</f>
        <v>0</v>
      </c>
      <c r="T465" s="42" t="n">
        <f aca="false">IF(COUNTIF(Sales_Transactions!$A$2:$A$865,A465)&gt;1,1,0)</f>
        <v>0</v>
      </c>
      <c r="U465" s="42" t="n">
        <f aca="false">IF(OR(ABS(Sales_Transactions!F465*Sales_Transactions!G465-Sales_Transactions!I465)&gt;0.01,ABS(Sales_Transactions!F465*Sales_Transactions!H465-Sales_Transactions!J465)&gt;0.01,ABS(Sales_Transactions!I465-Sales_Transactions!J465-Sales_Transactions!K465)&gt;0.01),1,0)</f>
        <v>0</v>
      </c>
      <c r="V465" s="42" t="n">
        <f aca="false">IF(C465&lt;&gt;L465,1,0)</f>
        <v>0</v>
      </c>
      <c r="W465" s="42" t="n">
        <f aca="false">IF(SUM(Q465:V465)&gt;0,1,0)</f>
        <v>0</v>
      </c>
    </row>
    <row r="466" customFormat="false" ht="15" hidden="false" customHeight="false" outlineLevel="0" collapsed="false">
      <c r="A466" s="42" t="str">
        <f aca="false">Sales_Transactions!A466</f>
        <v>INV-13-033</v>
      </c>
      <c r="B466" s="42" t="str">
        <f aca="false">Sales_Transactions!B466</f>
        <v>2026-01</v>
      </c>
      <c r="C466" s="42" t="str">
        <f aca="false">Sales_Transactions!C466</f>
        <v>Actual</v>
      </c>
      <c r="D466" s="42" t="str">
        <f aca="false">Sales_Transactions!D466</f>
        <v>C021</v>
      </c>
      <c r="E466" s="42" t="str">
        <f aca="false">Sales_Transactions!E466</f>
        <v>P005</v>
      </c>
      <c r="F466" s="42" t="str">
        <f aca="false">IFERROR(INDEX(Customer_Master!$C$2:$C$49,MATCH(D466,Customer_Master!$A$2:$A$49,0)),"UNMATCHED")</f>
        <v>South</v>
      </c>
      <c r="G466" s="42" t="str">
        <f aca="false">IFERROR(INDEX(Customer_Master!$D$2:$D$49,MATCH(D466,Customer_Master!$A$2:$A$49,0)),"UNMATCHED")</f>
        <v>Retail</v>
      </c>
      <c r="H466" s="42" t="str">
        <f aca="false">IFERROR(INDEX(Product_Master!$C$2:$C$9,MATCH(E466,Product_Master!$A$2:$A$9,0)),"UNMATCHED")</f>
        <v>Foods</v>
      </c>
      <c r="I466" s="42" t="str">
        <f aca="false">IFERROR(INDEX(Product_Master!$B$2:$B$9,MATCH(E466,Product_Master!$A$2:$A$9,0)),"UNMATCHED")</f>
        <v>Biscuits 500g</v>
      </c>
      <c r="J466" s="42" t="n">
        <f aca="false">IFERROR(INDEX(Calendar!$B$2:$B$25,MATCH(B466,Calendar!$A$2:$A$25,0)),0)</f>
        <v>2026</v>
      </c>
      <c r="K466" s="42" t="n">
        <f aca="false">IFERROR(VALUE(RIGHT(B466,2)),0)</f>
        <v>1</v>
      </c>
      <c r="L466" s="42" t="str">
        <f aca="false">IFERROR(INDEX(Calendar!$E$2:$E$25,MATCH(B466,Calendar!$A$2:$A$25,0)),"UNMATCHED")</f>
        <v>Actual</v>
      </c>
      <c r="M466" s="42" t="n">
        <f aca="false">Sales_Transactions!F466</f>
        <v>374</v>
      </c>
      <c r="N466" s="52" t="n">
        <f aca="false">Sales_Transactions!I466</f>
        <v>40051.66</v>
      </c>
      <c r="O466" s="52" t="n">
        <f aca="false">Sales_Transactions!J466</f>
        <v>27021.5</v>
      </c>
      <c r="P466" s="52" t="n">
        <f aca="false">Sales_Transactions!K466</f>
        <v>13030.16</v>
      </c>
      <c r="Q466" s="42" t="n">
        <f aca="false">IF(ISNUMBER(MATCH(E466,Product_Master!$A$2:$A$9,0)),0,1)</f>
        <v>0</v>
      </c>
      <c r="R466" s="42" t="n">
        <f aca="false">IF(ISNUMBER(MATCH(D466,Customer_Master!$A$2:$A$49,0)),0,1)</f>
        <v>0</v>
      </c>
      <c r="S466" s="42" t="n">
        <f aca="false">IF(ISNUMBER(MATCH(B466,Calendar!$A$2:$A$25,0)),0,1)</f>
        <v>0</v>
      </c>
      <c r="T466" s="42" t="n">
        <f aca="false">IF(COUNTIF(Sales_Transactions!$A$2:$A$865,A466)&gt;1,1,0)</f>
        <v>0</v>
      </c>
      <c r="U466" s="42" t="n">
        <f aca="false">IF(OR(ABS(Sales_Transactions!F466*Sales_Transactions!G466-Sales_Transactions!I466)&gt;0.01,ABS(Sales_Transactions!F466*Sales_Transactions!H466-Sales_Transactions!J466)&gt;0.01,ABS(Sales_Transactions!I466-Sales_Transactions!J466-Sales_Transactions!K466)&gt;0.01),1,0)</f>
        <v>0</v>
      </c>
      <c r="V466" s="42" t="n">
        <f aca="false">IF(C466&lt;&gt;L466,1,0)</f>
        <v>0</v>
      </c>
      <c r="W466" s="42" t="n">
        <f aca="false">IF(SUM(Q466:V466)&gt;0,1,0)</f>
        <v>0</v>
      </c>
    </row>
    <row r="467" customFormat="false" ht="15" hidden="false" customHeight="false" outlineLevel="0" collapsed="false">
      <c r="A467" s="42" t="str">
        <f aca="false">Sales_Transactions!A467</f>
        <v>INV-13-034</v>
      </c>
      <c r="B467" s="42" t="str">
        <f aca="false">Sales_Transactions!B467</f>
        <v>2026-01</v>
      </c>
      <c r="C467" s="42" t="str">
        <f aca="false">Sales_Transactions!C467</f>
        <v>Actual</v>
      </c>
      <c r="D467" s="42" t="str">
        <f aca="false">Sales_Transactions!D467</f>
        <v>C028</v>
      </c>
      <c r="E467" s="42" t="str">
        <f aca="false">Sales_Transactions!E467</f>
        <v>P002</v>
      </c>
      <c r="F467" s="42" t="str">
        <f aca="false">IFERROR(INDEX(Customer_Master!$C$2:$C$49,MATCH(D467,Customer_Master!$A$2:$A$49,0)),"UNMATCHED")</f>
        <v>East</v>
      </c>
      <c r="G467" s="42" t="str">
        <f aca="false">IFERROR(INDEX(Customer_Master!$D$2:$D$49,MATCH(D467,Customer_Master!$A$2:$A$49,0)),"UNMATCHED")</f>
        <v>Distributor</v>
      </c>
      <c r="H467" s="42" t="str">
        <f aca="false">IFERROR(INDEX(Product_Master!$C$2:$C$9,MATCH(E467,Product_Master!$A$2:$A$9,0)),"UNMATCHED")</f>
        <v>Home Care</v>
      </c>
      <c r="I467" s="42" t="str">
        <f aca="false">IFERROR(INDEX(Product_Master!$B$2:$B$9,MATCH(E467,Product_Master!$A$2:$A$9,0)),"UNMATCHED")</f>
        <v>Dishwash Gel</v>
      </c>
      <c r="J467" s="42" t="n">
        <f aca="false">IFERROR(INDEX(Calendar!$B$2:$B$25,MATCH(B467,Calendar!$A$2:$A$25,0)),0)</f>
        <v>2026</v>
      </c>
      <c r="K467" s="42" t="n">
        <f aca="false">IFERROR(VALUE(RIGHT(B467,2)),0)</f>
        <v>1</v>
      </c>
      <c r="L467" s="42" t="str">
        <f aca="false">IFERROR(INDEX(Calendar!$E$2:$E$25,MATCH(B467,Calendar!$A$2:$A$25,0)),"UNMATCHED")</f>
        <v>Actual</v>
      </c>
      <c r="M467" s="42" t="n">
        <f aca="false">Sales_Transactions!F467</f>
        <v>250</v>
      </c>
      <c r="N467" s="52" t="n">
        <f aca="false">Sales_Transactions!I467</f>
        <v>36335</v>
      </c>
      <c r="O467" s="52" t="n">
        <f aca="false">Sales_Transactions!J467</f>
        <v>21222.5</v>
      </c>
      <c r="P467" s="52" t="n">
        <f aca="false">Sales_Transactions!K467</f>
        <v>15112.5</v>
      </c>
      <c r="Q467" s="42" t="n">
        <f aca="false">IF(ISNUMBER(MATCH(E467,Product_Master!$A$2:$A$9,0)),0,1)</f>
        <v>0</v>
      </c>
      <c r="R467" s="42" t="n">
        <f aca="false">IF(ISNUMBER(MATCH(D467,Customer_Master!$A$2:$A$49,0)),0,1)</f>
        <v>0</v>
      </c>
      <c r="S467" s="42" t="n">
        <f aca="false">IF(ISNUMBER(MATCH(B467,Calendar!$A$2:$A$25,0)),0,1)</f>
        <v>0</v>
      </c>
      <c r="T467" s="42" t="n">
        <f aca="false">IF(COUNTIF(Sales_Transactions!$A$2:$A$865,A467)&gt;1,1,0)</f>
        <v>0</v>
      </c>
      <c r="U467" s="42" t="n">
        <f aca="false">IF(OR(ABS(Sales_Transactions!F467*Sales_Transactions!G467-Sales_Transactions!I467)&gt;0.01,ABS(Sales_Transactions!F467*Sales_Transactions!H467-Sales_Transactions!J467)&gt;0.01,ABS(Sales_Transactions!I467-Sales_Transactions!J467-Sales_Transactions!K467)&gt;0.01),1,0)</f>
        <v>0</v>
      </c>
      <c r="V467" s="42" t="n">
        <f aca="false">IF(C467&lt;&gt;L467,1,0)</f>
        <v>0</v>
      </c>
      <c r="W467" s="42" t="n">
        <f aca="false">IF(SUM(Q467:V467)&gt;0,1,0)</f>
        <v>0</v>
      </c>
    </row>
    <row r="468" customFormat="false" ht="15" hidden="false" customHeight="false" outlineLevel="0" collapsed="false">
      <c r="A468" s="42" t="str">
        <f aca="false">Sales_Transactions!A468</f>
        <v>INV-13-035</v>
      </c>
      <c r="B468" s="42" t="str">
        <f aca="false">Sales_Transactions!B468</f>
        <v>2026-01</v>
      </c>
      <c r="C468" s="42" t="str">
        <f aca="false">Sales_Transactions!C468</f>
        <v>Actual</v>
      </c>
      <c r="D468" s="42" t="str">
        <f aca="false">Sales_Transactions!D468</f>
        <v>C035</v>
      </c>
      <c r="E468" s="42" t="str">
        <f aca="false">Sales_Transactions!E468</f>
        <v>P007</v>
      </c>
      <c r="F468" s="42" t="str">
        <f aca="false">IFERROR(INDEX(Customer_Master!$C$2:$C$49,MATCH(D468,Customer_Master!$A$2:$A$49,0)),"UNMATCHED")</f>
        <v>West</v>
      </c>
      <c r="G468" s="42" t="str">
        <f aca="false">IFERROR(INDEX(Customer_Master!$D$2:$D$49,MATCH(D468,Customer_Master!$A$2:$A$49,0)),"UNMATCHED")</f>
        <v>Modern Trade</v>
      </c>
      <c r="H468" s="42" t="str">
        <f aca="false">IFERROR(INDEX(Product_Master!$C$2:$C$9,MATCH(E468,Product_Master!$A$2:$A$9,0)),"UNMATCHED")</f>
        <v>Home Care</v>
      </c>
      <c r="I468" s="42" t="str">
        <f aca="false">IFERROR(INDEX(Product_Master!$B$2:$B$9,MATCH(E468,Product_Master!$A$2:$A$9,0)),"UNMATCHED")</f>
        <v>Floor Cleaner</v>
      </c>
      <c r="J468" s="42" t="n">
        <f aca="false">IFERROR(INDEX(Calendar!$B$2:$B$25,MATCH(B468,Calendar!$A$2:$A$25,0)),0)</f>
        <v>2026</v>
      </c>
      <c r="K468" s="42" t="n">
        <f aca="false">IFERROR(VALUE(RIGHT(B468,2)),0)</f>
        <v>1</v>
      </c>
      <c r="L468" s="42" t="str">
        <f aca="false">IFERROR(INDEX(Calendar!$E$2:$E$25,MATCH(B468,Calendar!$A$2:$A$25,0)),"UNMATCHED")</f>
        <v>Actual</v>
      </c>
      <c r="M468" s="42" t="n">
        <f aca="false">Sales_Transactions!F468</f>
        <v>162</v>
      </c>
      <c r="N468" s="52" t="n">
        <f aca="false">Sales_Transactions!I468</f>
        <v>29153.52</v>
      </c>
      <c r="O468" s="52" t="n">
        <f aca="false">Sales_Transactions!J468</f>
        <v>18438.84</v>
      </c>
      <c r="P468" s="52" t="n">
        <f aca="false">Sales_Transactions!K468</f>
        <v>10714.68</v>
      </c>
      <c r="Q468" s="42" t="n">
        <f aca="false">IF(ISNUMBER(MATCH(E468,Product_Master!$A$2:$A$9,0)),0,1)</f>
        <v>0</v>
      </c>
      <c r="R468" s="42" t="n">
        <f aca="false">IF(ISNUMBER(MATCH(D468,Customer_Master!$A$2:$A$49,0)),0,1)</f>
        <v>0</v>
      </c>
      <c r="S468" s="42" t="n">
        <f aca="false">IF(ISNUMBER(MATCH(B468,Calendar!$A$2:$A$25,0)),0,1)</f>
        <v>0</v>
      </c>
      <c r="T468" s="42" t="n">
        <f aca="false">IF(COUNTIF(Sales_Transactions!$A$2:$A$865,A468)&gt;1,1,0)</f>
        <v>0</v>
      </c>
      <c r="U468" s="42" t="n">
        <f aca="false">IF(OR(ABS(Sales_Transactions!F468*Sales_Transactions!G468-Sales_Transactions!I468)&gt;0.01,ABS(Sales_Transactions!F468*Sales_Transactions!H468-Sales_Transactions!J468)&gt;0.01,ABS(Sales_Transactions!I468-Sales_Transactions!J468-Sales_Transactions!K468)&gt;0.01),1,0)</f>
        <v>0</v>
      </c>
      <c r="V468" s="42" t="n">
        <f aca="false">IF(C468&lt;&gt;L468,1,0)</f>
        <v>0</v>
      </c>
      <c r="W468" s="42" t="n">
        <f aca="false">IF(SUM(Q468:V468)&gt;0,1,0)</f>
        <v>0</v>
      </c>
    </row>
    <row r="469" customFormat="false" ht="15" hidden="false" customHeight="false" outlineLevel="0" collapsed="false">
      <c r="A469" s="42" t="str">
        <f aca="false">Sales_Transactions!A469</f>
        <v>INV-13-036</v>
      </c>
      <c r="B469" s="42" t="str">
        <f aca="false">Sales_Transactions!B469</f>
        <v>2026-01</v>
      </c>
      <c r="C469" s="42" t="str">
        <f aca="false">Sales_Transactions!C469</f>
        <v>Actual</v>
      </c>
      <c r="D469" s="42" t="str">
        <f aca="false">Sales_Transactions!D469</f>
        <v>C042</v>
      </c>
      <c r="E469" s="42" t="str">
        <f aca="false">Sales_Transactions!E469</f>
        <v>P004</v>
      </c>
      <c r="F469" s="42" t="str">
        <f aca="false">IFERROR(INDEX(Customer_Master!$C$2:$C$49,MATCH(D469,Customer_Master!$A$2:$A$49,0)),"UNMATCHED")</f>
        <v>North</v>
      </c>
      <c r="G469" s="42" t="str">
        <f aca="false">IFERROR(INDEX(Customer_Master!$D$2:$D$49,MATCH(D469,Customer_Master!$A$2:$A$49,0)),"UNMATCHED")</f>
        <v>Retail</v>
      </c>
      <c r="H469" s="42" t="str">
        <f aca="false">IFERROR(INDEX(Product_Master!$C$2:$C$9,MATCH(E469,Product_Master!$A$2:$A$9,0)),"UNMATCHED")</f>
        <v>Personal Care</v>
      </c>
      <c r="I469" s="42" t="str">
        <f aca="false">IFERROR(INDEX(Product_Master!$B$2:$B$9,MATCH(E469,Product_Master!$A$2:$A$9,0)),"UNMATCHED")</f>
        <v>Soap 4-pack</v>
      </c>
      <c r="J469" s="42" t="n">
        <f aca="false">IFERROR(INDEX(Calendar!$B$2:$B$25,MATCH(B469,Calendar!$A$2:$A$25,0)),0)</f>
        <v>2026</v>
      </c>
      <c r="K469" s="42" t="n">
        <f aca="false">IFERROR(VALUE(RIGHT(B469,2)),0)</f>
        <v>1</v>
      </c>
      <c r="L469" s="42" t="str">
        <f aca="false">IFERROR(INDEX(Calendar!$E$2:$E$25,MATCH(B469,Calendar!$A$2:$A$25,0)),"UNMATCHED")</f>
        <v>Actual</v>
      </c>
      <c r="M469" s="42" t="n">
        <f aca="false">Sales_Transactions!F469</f>
        <v>408</v>
      </c>
      <c r="N469" s="52" t="n">
        <f aca="false">Sales_Transactions!I469</f>
        <v>66357.12</v>
      </c>
      <c r="O469" s="52" t="n">
        <f aca="false">Sales_Transactions!J469</f>
        <v>38890.56</v>
      </c>
      <c r="P469" s="52" t="n">
        <f aca="false">Sales_Transactions!K469</f>
        <v>27466.56</v>
      </c>
      <c r="Q469" s="42" t="n">
        <f aca="false">IF(ISNUMBER(MATCH(E469,Product_Master!$A$2:$A$9,0)),0,1)</f>
        <v>0</v>
      </c>
      <c r="R469" s="42" t="n">
        <f aca="false">IF(ISNUMBER(MATCH(D469,Customer_Master!$A$2:$A$49,0)),0,1)</f>
        <v>0</v>
      </c>
      <c r="S469" s="42" t="n">
        <f aca="false">IF(ISNUMBER(MATCH(B469,Calendar!$A$2:$A$25,0)),0,1)</f>
        <v>0</v>
      </c>
      <c r="T469" s="42" t="n">
        <f aca="false">IF(COUNTIF(Sales_Transactions!$A$2:$A$865,A469)&gt;1,1,0)</f>
        <v>0</v>
      </c>
      <c r="U469" s="42" t="n">
        <f aca="false">IF(OR(ABS(Sales_Transactions!F469*Sales_Transactions!G469-Sales_Transactions!I469)&gt;0.01,ABS(Sales_Transactions!F469*Sales_Transactions!H469-Sales_Transactions!J469)&gt;0.01,ABS(Sales_Transactions!I469-Sales_Transactions!J469-Sales_Transactions!K469)&gt;0.01),1,0)</f>
        <v>0</v>
      </c>
      <c r="V469" s="42" t="n">
        <f aca="false">IF(C469&lt;&gt;L469,1,0)</f>
        <v>0</v>
      </c>
      <c r="W469" s="42" t="n">
        <f aca="false">IF(SUM(Q469:V469)&gt;0,1,0)</f>
        <v>0</v>
      </c>
    </row>
    <row r="470" customFormat="false" ht="15" hidden="false" customHeight="false" outlineLevel="0" collapsed="false">
      <c r="A470" s="42" t="str">
        <f aca="false">Sales_Transactions!A470</f>
        <v>INV-14-001</v>
      </c>
      <c r="B470" s="42" t="str">
        <f aca="false">Sales_Transactions!B470</f>
        <v>2026-02</v>
      </c>
      <c r="C470" s="42" t="str">
        <f aca="false">Sales_Transactions!C470</f>
        <v>Actual</v>
      </c>
      <c r="D470" s="42" t="str">
        <f aca="false">Sales_Transactions!D470</f>
        <v>C040</v>
      </c>
      <c r="E470" s="42" t="str">
        <f aca="false">Sales_Transactions!E470</f>
        <v>P006</v>
      </c>
      <c r="F470" s="42" t="str">
        <f aca="false">IFERROR(INDEX(Customer_Master!$C$2:$C$49,MATCH(D470,Customer_Master!$A$2:$A$49,0)),"UNMATCHED")</f>
        <v>East</v>
      </c>
      <c r="G470" s="42" t="str">
        <f aca="false">IFERROR(INDEX(Customer_Master!$D$2:$D$49,MATCH(D470,Customer_Master!$A$2:$A$49,0)),"UNMATCHED")</f>
        <v>Distributor</v>
      </c>
      <c r="H470" s="42" t="str">
        <f aca="false">IFERROR(INDEX(Product_Master!$C$2:$C$9,MATCH(E470,Product_Master!$A$2:$A$9,0)),"UNMATCHED")</f>
        <v>Foods</v>
      </c>
      <c r="I470" s="42" t="str">
        <f aca="false">IFERROR(INDEX(Product_Master!$B$2:$B$9,MATCH(E470,Product_Master!$A$2:$A$9,0)),"UNMATCHED")</f>
        <v>Breakfast Cereal</v>
      </c>
      <c r="J470" s="42" t="n">
        <f aca="false">IFERROR(INDEX(Calendar!$B$2:$B$25,MATCH(B470,Calendar!$A$2:$A$25,0)),0)</f>
        <v>2026</v>
      </c>
      <c r="K470" s="42" t="n">
        <f aca="false">IFERROR(VALUE(RIGHT(B470,2)),0)</f>
        <v>2</v>
      </c>
      <c r="L470" s="42" t="str">
        <f aca="false">IFERROR(INDEX(Calendar!$E$2:$E$25,MATCH(B470,Calendar!$A$2:$A$25,0)),"UNMATCHED")</f>
        <v>Actual</v>
      </c>
      <c r="M470" s="42" t="n">
        <f aca="false">Sales_Transactions!F470</f>
        <v>113</v>
      </c>
      <c r="N470" s="52" t="n">
        <f aca="false">Sales_Transactions!I470</f>
        <v>26964.06</v>
      </c>
      <c r="O470" s="52" t="n">
        <f aca="false">Sales_Transactions!J470</f>
        <v>17079.95</v>
      </c>
      <c r="P470" s="52" t="n">
        <f aca="false">Sales_Transactions!K470</f>
        <v>9884.11</v>
      </c>
      <c r="Q470" s="42" t="n">
        <f aca="false">IF(ISNUMBER(MATCH(E470,Product_Master!$A$2:$A$9,0)),0,1)</f>
        <v>0</v>
      </c>
      <c r="R470" s="42" t="n">
        <f aca="false">IF(ISNUMBER(MATCH(D470,Customer_Master!$A$2:$A$49,0)),0,1)</f>
        <v>0</v>
      </c>
      <c r="S470" s="42" t="n">
        <f aca="false">IF(ISNUMBER(MATCH(B470,Calendar!$A$2:$A$25,0)),0,1)</f>
        <v>0</v>
      </c>
      <c r="T470" s="42" t="n">
        <f aca="false">IF(COUNTIF(Sales_Transactions!$A$2:$A$865,A470)&gt;1,1,0)</f>
        <v>0</v>
      </c>
      <c r="U470" s="42" t="n">
        <f aca="false">IF(OR(ABS(Sales_Transactions!F470*Sales_Transactions!G470-Sales_Transactions!I470)&gt;0.01,ABS(Sales_Transactions!F470*Sales_Transactions!H470-Sales_Transactions!J470)&gt;0.01,ABS(Sales_Transactions!I470-Sales_Transactions!J470-Sales_Transactions!K470)&gt;0.01),1,0)</f>
        <v>0</v>
      </c>
      <c r="V470" s="42" t="n">
        <f aca="false">IF(C470&lt;&gt;L470,1,0)</f>
        <v>0</v>
      </c>
      <c r="W470" s="42" t="n">
        <f aca="false">IF(SUM(Q470:V470)&gt;0,1,0)</f>
        <v>0</v>
      </c>
    </row>
    <row r="471" customFormat="false" ht="15" hidden="false" customHeight="false" outlineLevel="0" collapsed="false">
      <c r="A471" s="42" t="str">
        <f aca="false">Sales_Transactions!A471</f>
        <v>INV-14-002</v>
      </c>
      <c r="B471" s="42" t="str">
        <f aca="false">Sales_Transactions!B471</f>
        <v>2026-02</v>
      </c>
      <c r="C471" s="42" t="str">
        <f aca="false">Sales_Transactions!C471</f>
        <v>Actual</v>
      </c>
      <c r="D471" s="42" t="str">
        <f aca="false">Sales_Transactions!D471</f>
        <v>C047</v>
      </c>
      <c r="E471" s="42" t="str">
        <f aca="false">Sales_Transactions!E471</f>
        <v>P003</v>
      </c>
      <c r="F471" s="42" t="str">
        <f aca="false">IFERROR(INDEX(Customer_Master!$C$2:$C$49,MATCH(D471,Customer_Master!$A$2:$A$49,0)),"UNMATCHED")</f>
        <v>West</v>
      </c>
      <c r="G471" s="42" t="str">
        <f aca="false">IFERROR(INDEX(Customer_Master!$D$2:$D$49,MATCH(D471,Customer_Master!$A$2:$A$49,0)),"UNMATCHED")</f>
        <v>Modern Trade</v>
      </c>
      <c r="H471" s="42" t="str">
        <f aca="false">IFERROR(INDEX(Product_Master!$C$2:$C$9,MATCH(E471,Product_Master!$A$2:$A$9,0)),"UNMATCHED")</f>
        <v>Personal Care</v>
      </c>
      <c r="I471" s="42" t="str">
        <f aca="false">IFERROR(INDEX(Product_Master!$B$2:$B$9,MATCH(E471,Product_Master!$A$2:$A$9,0)),"UNMATCHED")</f>
        <v>Shampoo 400ml</v>
      </c>
      <c r="J471" s="42" t="n">
        <f aca="false">IFERROR(INDEX(Calendar!$B$2:$B$25,MATCH(B471,Calendar!$A$2:$A$25,0)),0)</f>
        <v>2026</v>
      </c>
      <c r="K471" s="42" t="n">
        <f aca="false">IFERROR(VALUE(RIGHT(B471,2)),0)</f>
        <v>2</v>
      </c>
      <c r="L471" s="42" t="str">
        <f aca="false">IFERROR(INDEX(Calendar!$E$2:$E$25,MATCH(B471,Calendar!$A$2:$A$25,0)),"UNMATCHED")</f>
        <v>Actual</v>
      </c>
      <c r="M471" s="42" t="n">
        <f aca="false">Sales_Transactions!F471</f>
        <v>321</v>
      </c>
      <c r="N471" s="52" t="n">
        <f aca="false">Sales_Transactions!I471</f>
        <v>85273.65</v>
      </c>
      <c r="O471" s="52" t="n">
        <f aca="false">Sales_Transactions!J471</f>
        <v>53070.93</v>
      </c>
      <c r="P471" s="52" t="n">
        <f aca="false">Sales_Transactions!K471</f>
        <v>32202.72</v>
      </c>
      <c r="Q471" s="42" t="n">
        <f aca="false">IF(ISNUMBER(MATCH(E471,Product_Master!$A$2:$A$9,0)),0,1)</f>
        <v>0</v>
      </c>
      <c r="R471" s="42" t="n">
        <f aca="false">IF(ISNUMBER(MATCH(D471,Customer_Master!$A$2:$A$49,0)),0,1)</f>
        <v>0</v>
      </c>
      <c r="S471" s="42" t="n">
        <f aca="false">IF(ISNUMBER(MATCH(B471,Calendar!$A$2:$A$25,0)),0,1)</f>
        <v>0</v>
      </c>
      <c r="T471" s="42" t="n">
        <f aca="false">IF(COUNTIF(Sales_Transactions!$A$2:$A$865,A471)&gt;1,1,0)</f>
        <v>0</v>
      </c>
      <c r="U471" s="42" t="n">
        <f aca="false">IF(OR(ABS(Sales_Transactions!F471*Sales_Transactions!G471-Sales_Transactions!I471)&gt;0.01,ABS(Sales_Transactions!F471*Sales_Transactions!H471-Sales_Transactions!J471)&gt;0.01,ABS(Sales_Transactions!I471-Sales_Transactions!J471-Sales_Transactions!K471)&gt;0.01),1,0)</f>
        <v>0</v>
      </c>
      <c r="V471" s="42" t="n">
        <f aca="false">IF(C471&lt;&gt;L471,1,0)</f>
        <v>0</v>
      </c>
      <c r="W471" s="42" t="n">
        <f aca="false">IF(SUM(Q471:V471)&gt;0,1,0)</f>
        <v>0</v>
      </c>
    </row>
    <row r="472" customFormat="false" ht="15" hidden="false" customHeight="false" outlineLevel="0" collapsed="false">
      <c r="A472" s="42" t="str">
        <f aca="false">Sales_Transactions!A472</f>
        <v>INV-14-003</v>
      </c>
      <c r="B472" s="42" t="str">
        <f aca="false">Sales_Transactions!B472</f>
        <v>2026-02</v>
      </c>
      <c r="C472" s="42" t="str">
        <f aca="false">Sales_Transactions!C472</f>
        <v>Actual</v>
      </c>
      <c r="D472" s="42" t="str">
        <f aca="false">Sales_Transactions!D472</f>
        <v>C006</v>
      </c>
      <c r="E472" s="42" t="str">
        <f aca="false">Sales_Transactions!E472</f>
        <v>P008</v>
      </c>
      <c r="F472" s="42" t="str">
        <f aca="false">IFERROR(INDEX(Customer_Master!$C$2:$C$49,MATCH(D472,Customer_Master!$A$2:$A$49,0)),"UNMATCHED")</f>
        <v>North</v>
      </c>
      <c r="G472" s="42" t="str">
        <f aca="false">IFERROR(INDEX(Customer_Master!$D$2:$D$49,MATCH(D472,Customer_Master!$A$2:$A$49,0)),"UNMATCHED")</f>
        <v>Retail</v>
      </c>
      <c r="H472" s="42" t="str">
        <f aca="false">IFERROR(INDEX(Product_Master!$C$2:$C$9,MATCH(E472,Product_Master!$A$2:$A$9,0)),"UNMATCHED")</f>
        <v>Personal Care</v>
      </c>
      <c r="I472" s="42" t="str">
        <f aca="false">IFERROR(INDEX(Product_Master!$B$2:$B$9,MATCH(E472,Product_Master!$A$2:$A$9,0)),"UNMATCHED")</f>
        <v>Body Lotion</v>
      </c>
      <c r="J472" s="42" t="n">
        <f aca="false">IFERROR(INDEX(Calendar!$B$2:$B$25,MATCH(B472,Calendar!$A$2:$A$25,0)),0)</f>
        <v>2026</v>
      </c>
      <c r="K472" s="42" t="n">
        <f aca="false">IFERROR(VALUE(RIGHT(B472,2)),0)</f>
        <v>2</v>
      </c>
      <c r="L472" s="42" t="str">
        <f aca="false">IFERROR(INDEX(Calendar!$E$2:$E$25,MATCH(B472,Calendar!$A$2:$A$25,0)),"UNMATCHED")</f>
        <v>Actual</v>
      </c>
      <c r="M472" s="42" t="n">
        <f aca="false">Sales_Transactions!F472</f>
        <v>231</v>
      </c>
      <c r="N472" s="52" t="n">
        <f aca="false">Sales_Transactions!I472</f>
        <v>67565.19</v>
      </c>
      <c r="O472" s="52" t="n">
        <f aca="false">Sales_Transactions!J472</f>
        <v>49634.97</v>
      </c>
      <c r="P472" s="52" t="n">
        <f aca="false">Sales_Transactions!K472</f>
        <v>17930.22</v>
      </c>
      <c r="Q472" s="42" t="n">
        <f aca="false">IF(ISNUMBER(MATCH(E472,Product_Master!$A$2:$A$9,0)),0,1)</f>
        <v>0</v>
      </c>
      <c r="R472" s="42" t="n">
        <f aca="false">IF(ISNUMBER(MATCH(D472,Customer_Master!$A$2:$A$49,0)),0,1)</f>
        <v>0</v>
      </c>
      <c r="S472" s="42" t="n">
        <f aca="false">IF(ISNUMBER(MATCH(B472,Calendar!$A$2:$A$25,0)),0,1)</f>
        <v>0</v>
      </c>
      <c r="T472" s="42" t="n">
        <f aca="false">IF(COUNTIF(Sales_Transactions!$A$2:$A$865,A472)&gt;1,1,0)</f>
        <v>0</v>
      </c>
      <c r="U472" s="42" t="n">
        <f aca="false">IF(OR(ABS(Sales_Transactions!F472*Sales_Transactions!G472-Sales_Transactions!I472)&gt;0.01,ABS(Sales_Transactions!F472*Sales_Transactions!H472-Sales_Transactions!J472)&gt;0.01,ABS(Sales_Transactions!I472-Sales_Transactions!J472-Sales_Transactions!K472)&gt;0.01),1,0)</f>
        <v>0</v>
      </c>
      <c r="V472" s="42" t="n">
        <f aca="false">IF(C472&lt;&gt;L472,1,0)</f>
        <v>0</v>
      </c>
      <c r="W472" s="42" t="n">
        <f aca="false">IF(SUM(Q472:V472)&gt;0,1,0)</f>
        <v>0</v>
      </c>
    </row>
    <row r="473" customFormat="false" ht="15" hidden="false" customHeight="false" outlineLevel="0" collapsed="false">
      <c r="A473" s="42" t="str">
        <f aca="false">Sales_Transactions!A473</f>
        <v>INV-14-004</v>
      </c>
      <c r="B473" s="42" t="str">
        <f aca="false">Sales_Transactions!B473</f>
        <v>2026-02</v>
      </c>
      <c r="C473" s="42" t="str">
        <f aca="false">Sales_Transactions!C473</f>
        <v>Actual</v>
      </c>
      <c r="D473" s="42" t="str">
        <f aca="false">Sales_Transactions!D473</f>
        <v>C013</v>
      </c>
      <c r="E473" s="42" t="str">
        <f aca="false">Sales_Transactions!E473</f>
        <v>P005</v>
      </c>
      <c r="F473" s="42" t="str">
        <f aca="false">IFERROR(INDEX(Customer_Master!$C$2:$C$49,MATCH(D473,Customer_Master!$A$2:$A$49,0)),"UNMATCHED")</f>
        <v>South</v>
      </c>
      <c r="G473" s="42" t="str">
        <f aca="false">IFERROR(INDEX(Customer_Master!$D$2:$D$49,MATCH(D473,Customer_Master!$A$2:$A$49,0)),"UNMATCHED")</f>
        <v>Distributor</v>
      </c>
      <c r="H473" s="42" t="str">
        <f aca="false">IFERROR(INDEX(Product_Master!$C$2:$C$9,MATCH(E473,Product_Master!$A$2:$A$9,0)),"UNMATCHED")</f>
        <v>Foods</v>
      </c>
      <c r="I473" s="42" t="str">
        <f aca="false">IFERROR(INDEX(Product_Master!$B$2:$B$9,MATCH(E473,Product_Master!$A$2:$A$9,0)),"UNMATCHED")</f>
        <v>Biscuits 500g</v>
      </c>
      <c r="J473" s="42" t="n">
        <f aca="false">IFERROR(INDEX(Calendar!$B$2:$B$25,MATCH(B473,Calendar!$A$2:$A$25,0)),0)</f>
        <v>2026</v>
      </c>
      <c r="K473" s="42" t="n">
        <f aca="false">IFERROR(VALUE(RIGHT(B473,2)),0)</f>
        <v>2</v>
      </c>
      <c r="L473" s="42" t="str">
        <f aca="false">IFERROR(INDEX(Calendar!$E$2:$E$25,MATCH(B473,Calendar!$A$2:$A$25,0)),"UNMATCHED")</f>
        <v>Actual</v>
      </c>
      <c r="M473" s="42" t="n">
        <f aca="false">Sales_Transactions!F473</f>
        <v>131</v>
      </c>
      <c r="N473" s="52" t="n">
        <f aca="false">Sales_Transactions!I473</f>
        <v>13976.39</v>
      </c>
      <c r="O473" s="52" t="n">
        <f aca="false">Sales_Transactions!J473</f>
        <v>8960.4</v>
      </c>
      <c r="P473" s="52" t="n">
        <f aca="false">Sales_Transactions!K473</f>
        <v>5015.99</v>
      </c>
      <c r="Q473" s="42" t="n">
        <f aca="false">IF(ISNUMBER(MATCH(E473,Product_Master!$A$2:$A$9,0)),0,1)</f>
        <v>0</v>
      </c>
      <c r="R473" s="42" t="n">
        <f aca="false">IF(ISNUMBER(MATCH(D473,Customer_Master!$A$2:$A$49,0)),0,1)</f>
        <v>0</v>
      </c>
      <c r="S473" s="42" t="n">
        <f aca="false">IF(ISNUMBER(MATCH(B473,Calendar!$A$2:$A$25,0)),0,1)</f>
        <v>0</v>
      </c>
      <c r="T473" s="42" t="n">
        <f aca="false">IF(COUNTIF(Sales_Transactions!$A$2:$A$865,A473)&gt;1,1,0)</f>
        <v>0</v>
      </c>
      <c r="U473" s="42" t="n">
        <f aca="false">IF(OR(ABS(Sales_Transactions!F473*Sales_Transactions!G473-Sales_Transactions!I473)&gt;0.01,ABS(Sales_Transactions!F473*Sales_Transactions!H473-Sales_Transactions!J473)&gt;0.01,ABS(Sales_Transactions!I473-Sales_Transactions!J473-Sales_Transactions!K473)&gt;0.01),1,0)</f>
        <v>0</v>
      </c>
      <c r="V473" s="42" t="n">
        <f aca="false">IF(C473&lt;&gt;L473,1,0)</f>
        <v>0</v>
      </c>
      <c r="W473" s="42" t="n">
        <f aca="false">IF(SUM(Q473:V473)&gt;0,1,0)</f>
        <v>0</v>
      </c>
    </row>
    <row r="474" customFormat="false" ht="15" hidden="false" customHeight="false" outlineLevel="0" collapsed="false">
      <c r="A474" s="42" t="str">
        <f aca="false">Sales_Transactions!A474</f>
        <v>INV-14-005</v>
      </c>
      <c r="B474" s="42" t="str">
        <f aca="false">Sales_Transactions!B474</f>
        <v>2026-02</v>
      </c>
      <c r="C474" s="42" t="str">
        <f aca="false">Sales_Transactions!C474</f>
        <v>Actual</v>
      </c>
      <c r="D474" s="42" t="str">
        <f aca="false">Sales_Transactions!D474</f>
        <v>C020</v>
      </c>
      <c r="E474" s="42" t="str">
        <f aca="false">Sales_Transactions!E474</f>
        <v>P002</v>
      </c>
      <c r="F474" s="42" t="str">
        <f aca="false">IFERROR(INDEX(Customer_Master!$C$2:$C$49,MATCH(D474,Customer_Master!$A$2:$A$49,0)),"UNMATCHED")</f>
        <v>East</v>
      </c>
      <c r="G474" s="42" t="str">
        <f aca="false">IFERROR(INDEX(Customer_Master!$D$2:$D$49,MATCH(D474,Customer_Master!$A$2:$A$49,0)),"UNMATCHED")</f>
        <v>Modern Trade</v>
      </c>
      <c r="H474" s="42" t="str">
        <f aca="false">IFERROR(INDEX(Product_Master!$C$2:$C$9,MATCH(E474,Product_Master!$A$2:$A$9,0)),"UNMATCHED")</f>
        <v>Home Care</v>
      </c>
      <c r="I474" s="42" t="str">
        <f aca="false">IFERROR(INDEX(Product_Master!$B$2:$B$9,MATCH(E474,Product_Master!$A$2:$A$9,0)),"UNMATCHED")</f>
        <v>Dishwash Gel</v>
      </c>
      <c r="J474" s="42" t="n">
        <f aca="false">IFERROR(INDEX(Calendar!$B$2:$B$25,MATCH(B474,Calendar!$A$2:$A$25,0)),0)</f>
        <v>2026</v>
      </c>
      <c r="K474" s="42" t="n">
        <f aca="false">IFERROR(VALUE(RIGHT(B474,2)),0)</f>
        <v>2</v>
      </c>
      <c r="L474" s="42" t="str">
        <f aca="false">IFERROR(INDEX(Calendar!$E$2:$E$25,MATCH(B474,Calendar!$A$2:$A$25,0)),"UNMATCHED")</f>
        <v>Actual</v>
      </c>
      <c r="M474" s="42" t="n">
        <f aca="false">Sales_Transactions!F474</f>
        <v>321</v>
      </c>
      <c r="N474" s="52" t="n">
        <f aca="false">Sales_Transactions!I474</f>
        <v>44936.79</v>
      </c>
      <c r="O474" s="52" t="n">
        <f aca="false">Sales_Transactions!J474</f>
        <v>28283.31</v>
      </c>
      <c r="P474" s="52" t="n">
        <f aca="false">Sales_Transactions!K474</f>
        <v>16653.48</v>
      </c>
      <c r="Q474" s="42" t="n">
        <f aca="false">IF(ISNUMBER(MATCH(E474,Product_Master!$A$2:$A$9,0)),0,1)</f>
        <v>0</v>
      </c>
      <c r="R474" s="42" t="n">
        <f aca="false">IF(ISNUMBER(MATCH(D474,Customer_Master!$A$2:$A$49,0)),0,1)</f>
        <v>0</v>
      </c>
      <c r="S474" s="42" t="n">
        <f aca="false">IF(ISNUMBER(MATCH(B474,Calendar!$A$2:$A$25,0)),0,1)</f>
        <v>0</v>
      </c>
      <c r="T474" s="42" t="n">
        <f aca="false">IF(COUNTIF(Sales_Transactions!$A$2:$A$865,A474)&gt;1,1,0)</f>
        <v>0</v>
      </c>
      <c r="U474" s="42" t="n">
        <f aca="false">IF(OR(ABS(Sales_Transactions!F474*Sales_Transactions!G474-Sales_Transactions!I474)&gt;0.01,ABS(Sales_Transactions!F474*Sales_Transactions!H474-Sales_Transactions!J474)&gt;0.01,ABS(Sales_Transactions!I474-Sales_Transactions!J474-Sales_Transactions!K474)&gt;0.01),1,0)</f>
        <v>0</v>
      </c>
      <c r="V474" s="42" t="n">
        <f aca="false">IF(C474&lt;&gt;L474,1,0)</f>
        <v>0</v>
      </c>
      <c r="W474" s="42" t="n">
        <f aca="false">IF(SUM(Q474:V474)&gt;0,1,0)</f>
        <v>0</v>
      </c>
    </row>
    <row r="475" customFormat="false" ht="15" hidden="false" customHeight="false" outlineLevel="0" collapsed="false">
      <c r="A475" s="42" t="str">
        <f aca="false">Sales_Transactions!A475</f>
        <v>INV-14-006</v>
      </c>
      <c r="B475" s="42" t="str">
        <f aca="false">Sales_Transactions!B475</f>
        <v>2026-02</v>
      </c>
      <c r="C475" s="42" t="str">
        <f aca="false">Sales_Transactions!C475</f>
        <v>Actual</v>
      </c>
      <c r="D475" s="42" t="str">
        <f aca="false">Sales_Transactions!D475</f>
        <v>C027</v>
      </c>
      <c r="E475" s="42" t="str">
        <f aca="false">Sales_Transactions!E475</f>
        <v>P007</v>
      </c>
      <c r="F475" s="42" t="str">
        <f aca="false">IFERROR(INDEX(Customer_Master!$C$2:$C$49,MATCH(D475,Customer_Master!$A$2:$A$49,0)),"UNMATCHED")</f>
        <v>West</v>
      </c>
      <c r="G475" s="42" t="str">
        <f aca="false">IFERROR(INDEX(Customer_Master!$D$2:$D$49,MATCH(D475,Customer_Master!$A$2:$A$49,0)),"UNMATCHED")</f>
        <v>Retail</v>
      </c>
      <c r="H475" s="42" t="str">
        <f aca="false">IFERROR(INDEX(Product_Master!$C$2:$C$9,MATCH(E475,Product_Master!$A$2:$A$9,0)),"UNMATCHED")</f>
        <v>Home Care</v>
      </c>
      <c r="I475" s="42" t="str">
        <f aca="false">IFERROR(INDEX(Product_Master!$B$2:$B$9,MATCH(E475,Product_Master!$A$2:$A$9,0)),"UNMATCHED")</f>
        <v>Floor Cleaner</v>
      </c>
      <c r="J475" s="42" t="n">
        <f aca="false">IFERROR(INDEX(Calendar!$B$2:$B$25,MATCH(B475,Calendar!$A$2:$A$25,0)),0)</f>
        <v>2026</v>
      </c>
      <c r="K475" s="42" t="n">
        <f aca="false">IFERROR(VALUE(RIGHT(B475,2)),0)</f>
        <v>2</v>
      </c>
      <c r="L475" s="42" t="str">
        <f aca="false">IFERROR(INDEX(Calendar!$E$2:$E$25,MATCH(B475,Calendar!$A$2:$A$25,0)),"UNMATCHED")</f>
        <v>Actual</v>
      </c>
      <c r="M475" s="42" t="n">
        <f aca="false">Sales_Transactions!F475</f>
        <v>106</v>
      </c>
      <c r="N475" s="52" t="n">
        <f aca="false">Sales_Transactions!I475</f>
        <v>19102.26</v>
      </c>
      <c r="O475" s="52" t="n">
        <f aca="false">Sales_Transactions!J475</f>
        <v>12550.4</v>
      </c>
      <c r="P475" s="52" t="n">
        <f aca="false">Sales_Transactions!K475</f>
        <v>6551.86</v>
      </c>
      <c r="Q475" s="42" t="n">
        <f aca="false">IF(ISNUMBER(MATCH(E475,Product_Master!$A$2:$A$9,0)),0,1)</f>
        <v>0</v>
      </c>
      <c r="R475" s="42" t="n">
        <f aca="false">IF(ISNUMBER(MATCH(D475,Customer_Master!$A$2:$A$49,0)),0,1)</f>
        <v>0</v>
      </c>
      <c r="S475" s="42" t="n">
        <f aca="false">IF(ISNUMBER(MATCH(B475,Calendar!$A$2:$A$25,0)),0,1)</f>
        <v>0</v>
      </c>
      <c r="T475" s="42" t="n">
        <f aca="false">IF(COUNTIF(Sales_Transactions!$A$2:$A$865,A475)&gt;1,1,0)</f>
        <v>0</v>
      </c>
      <c r="U475" s="42" t="n">
        <f aca="false">IF(OR(ABS(Sales_Transactions!F475*Sales_Transactions!G475-Sales_Transactions!I475)&gt;0.01,ABS(Sales_Transactions!F475*Sales_Transactions!H475-Sales_Transactions!J475)&gt;0.01,ABS(Sales_Transactions!I475-Sales_Transactions!J475-Sales_Transactions!K475)&gt;0.01),1,0)</f>
        <v>0</v>
      </c>
      <c r="V475" s="42" t="n">
        <f aca="false">IF(C475&lt;&gt;L475,1,0)</f>
        <v>0</v>
      </c>
      <c r="W475" s="42" t="n">
        <f aca="false">IF(SUM(Q475:V475)&gt;0,1,0)</f>
        <v>0</v>
      </c>
    </row>
    <row r="476" customFormat="false" ht="15" hidden="false" customHeight="false" outlineLevel="0" collapsed="false">
      <c r="A476" s="42" t="str">
        <f aca="false">Sales_Transactions!A476</f>
        <v>INV-14-007</v>
      </c>
      <c r="B476" s="42" t="str">
        <f aca="false">Sales_Transactions!B476</f>
        <v>2026-02</v>
      </c>
      <c r="C476" s="42" t="str">
        <f aca="false">Sales_Transactions!C476</f>
        <v>Actual</v>
      </c>
      <c r="D476" s="42" t="str">
        <f aca="false">Sales_Transactions!D476</f>
        <v>C034</v>
      </c>
      <c r="E476" s="42" t="str">
        <f aca="false">Sales_Transactions!E476</f>
        <v>P004</v>
      </c>
      <c r="F476" s="42" t="str">
        <f aca="false">IFERROR(INDEX(Customer_Master!$C$2:$C$49,MATCH(D476,Customer_Master!$A$2:$A$49,0)),"UNMATCHED")</f>
        <v>North</v>
      </c>
      <c r="G476" s="42" t="str">
        <f aca="false">IFERROR(INDEX(Customer_Master!$D$2:$D$49,MATCH(D476,Customer_Master!$A$2:$A$49,0)),"UNMATCHED")</f>
        <v>Distributor</v>
      </c>
      <c r="H476" s="42" t="str">
        <f aca="false">IFERROR(INDEX(Product_Master!$C$2:$C$9,MATCH(E476,Product_Master!$A$2:$A$9,0)),"UNMATCHED")</f>
        <v>Personal Care</v>
      </c>
      <c r="I476" s="42" t="str">
        <f aca="false">IFERROR(INDEX(Product_Master!$B$2:$B$9,MATCH(E476,Product_Master!$A$2:$A$9,0)),"UNMATCHED")</f>
        <v>Soap 4-pack</v>
      </c>
      <c r="J476" s="42" t="n">
        <f aca="false">IFERROR(INDEX(Calendar!$B$2:$B$25,MATCH(B476,Calendar!$A$2:$A$25,0)),0)</f>
        <v>2026</v>
      </c>
      <c r="K476" s="42" t="n">
        <f aca="false">IFERROR(VALUE(RIGHT(B476,2)),0)</f>
        <v>2</v>
      </c>
      <c r="L476" s="42" t="str">
        <f aca="false">IFERROR(INDEX(Calendar!$E$2:$E$25,MATCH(B476,Calendar!$A$2:$A$25,0)),"UNMATCHED")</f>
        <v>Actual</v>
      </c>
      <c r="M476" s="42" t="n">
        <f aca="false">Sales_Transactions!F476</f>
        <v>418</v>
      </c>
      <c r="N476" s="52" t="n">
        <f aca="false">Sales_Transactions!I476</f>
        <v>66892.54</v>
      </c>
      <c r="O476" s="52" t="n">
        <f aca="false">Sales_Transactions!J476</f>
        <v>41436.34</v>
      </c>
      <c r="P476" s="52" t="n">
        <f aca="false">Sales_Transactions!K476</f>
        <v>25456.2</v>
      </c>
      <c r="Q476" s="42" t="n">
        <f aca="false">IF(ISNUMBER(MATCH(E476,Product_Master!$A$2:$A$9,0)),0,1)</f>
        <v>0</v>
      </c>
      <c r="R476" s="42" t="n">
        <f aca="false">IF(ISNUMBER(MATCH(D476,Customer_Master!$A$2:$A$49,0)),0,1)</f>
        <v>0</v>
      </c>
      <c r="S476" s="42" t="n">
        <f aca="false">IF(ISNUMBER(MATCH(B476,Calendar!$A$2:$A$25,0)),0,1)</f>
        <v>0</v>
      </c>
      <c r="T476" s="42" t="n">
        <f aca="false">IF(COUNTIF(Sales_Transactions!$A$2:$A$865,A476)&gt;1,1,0)</f>
        <v>0</v>
      </c>
      <c r="U476" s="42" t="n">
        <f aca="false">IF(OR(ABS(Sales_Transactions!F476*Sales_Transactions!G476-Sales_Transactions!I476)&gt;0.01,ABS(Sales_Transactions!F476*Sales_Transactions!H476-Sales_Transactions!J476)&gt;0.01,ABS(Sales_Transactions!I476-Sales_Transactions!J476-Sales_Transactions!K476)&gt;0.01),1,0)</f>
        <v>0</v>
      </c>
      <c r="V476" s="42" t="n">
        <f aca="false">IF(C476&lt;&gt;L476,1,0)</f>
        <v>0</v>
      </c>
      <c r="W476" s="42" t="n">
        <f aca="false">IF(SUM(Q476:V476)&gt;0,1,0)</f>
        <v>0</v>
      </c>
    </row>
    <row r="477" customFormat="false" ht="15" hidden="false" customHeight="false" outlineLevel="0" collapsed="false">
      <c r="A477" s="42" t="str">
        <f aca="false">Sales_Transactions!A477</f>
        <v>INV-14-008</v>
      </c>
      <c r="B477" s="42" t="str">
        <f aca="false">Sales_Transactions!B477</f>
        <v>2026-02</v>
      </c>
      <c r="C477" s="42" t="str">
        <f aca="false">Sales_Transactions!C477</f>
        <v>Actual</v>
      </c>
      <c r="D477" s="42" t="str">
        <f aca="false">Sales_Transactions!D477</f>
        <v>C041</v>
      </c>
      <c r="E477" s="42" t="str">
        <f aca="false">Sales_Transactions!E477</f>
        <v>P001</v>
      </c>
      <c r="F477" s="42" t="str">
        <f aca="false">IFERROR(INDEX(Customer_Master!$C$2:$C$49,MATCH(D477,Customer_Master!$A$2:$A$49,0)),"UNMATCHED")</f>
        <v>South</v>
      </c>
      <c r="G477" s="42" t="str">
        <f aca="false">IFERROR(INDEX(Customer_Master!$D$2:$D$49,MATCH(D477,Customer_Master!$A$2:$A$49,0)),"UNMATCHED")</f>
        <v>Modern Trade</v>
      </c>
      <c r="H477" s="42" t="str">
        <f aca="false">IFERROR(INDEX(Product_Master!$C$2:$C$9,MATCH(E477,Product_Master!$A$2:$A$9,0)),"UNMATCHED")</f>
        <v>Home Care</v>
      </c>
      <c r="I477" s="42" t="str">
        <f aca="false">IFERROR(INDEX(Product_Master!$B$2:$B$9,MATCH(E477,Product_Master!$A$2:$A$9,0)),"UNMATCHED")</f>
        <v>Detergent 1kg</v>
      </c>
      <c r="J477" s="42" t="n">
        <f aca="false">IFERROR(INDEX(Calendar!$B$2:$B$25,MATCH(B477,Calendar!$A$2:$A$25,0)),0)</f>
        <v>2026</v>
      </c>
      <c r="K477" s="42" t="n">
        <f aca="false">IFERROR(VALUE(RIGHT(B477,2)),0)</f>
        <v>2</v>
      </c>
      <c r="L477" s="42" t="str">
        <f aca="false">IFERROR(INDEX(Calendar!$E$2:$E$25,MATCH(B477,Calendar!$A$2:$A$25,0)),"UNMATCHED")</f>
        <v>Actual</v>
      </c>
      <c r="M477" s="42" t="n">
        <f aca="false">Sales_Transactions!F477</f>
        <v>341</v>
      </c>
      <c r="N477" s="52" t="n">
        <f aca="false">Sales_Transactions!I477</f>
        <v>65137.82</v>
      </c>
      <c r="O477" s="52" t="n">
        <f aca="false">Sales_Transactions!J477</f>
        <v>43545.7</v>
      </c>
      <c r="P477" s="52" t="n">
        <f aca="false">Sales_Transactions!K477</f>
        <v>21592.12</v>
      </c>
      <c r="Q477" s="42" t="n">
        <f aca="false">IF(ISNUMBER(MATCH(E477,Product_Master!$A$2:$A$9,0)),0,1)</f>
        <v>0</v>
      </c>
      <c r="R477" s="42" t="n">
        <f aca="false">IF(ISNUMBER(MATCH(D477,Customer_Master!$A$2:$A$49,0)),0,1)</f>
        <v>0</v>
      </c>
      <c r="S477" s="42" t="n">
        <f aca="false">IF(ISNUMBER(MATCH(B477,Calendar!$A$2:$A$25,0)),0,1)</f>
        <v>0</v>
      </c>
      <c r="T477" s="42" t="n">
        <f aca="false">IF(COUNTIF(Sales_Transactions!$A$2:$A$865,A477)&gt;1,1,0)</f>
        <v>0</v>
      </c>
      <c r="U477" s="42" t="n">
        <f aca="false">IF(OR(ABS(Sales_Transactions!F477*Sales_Transactions!G477-Sales_Transactions!I477)&gt;0.01,ABS(Sales_Transactions!F477*Sales_Transactions!H477-Sales_Transactions!J477)&gt;0.01,ABS(Sales_Transactions!I477-Sales_Transactions!J477-Sales_Transactions!K477)&gt;0.01),1,0)</f>
        <v>0</v>
      </c>
      <c r="V477" s="42" t="n">
        <f aca="false">IF(C477&lt;&gt;L477,1,0)</f>
        <v>0</v>
      </c>
      <c r="W477" s="42" t="n">
        <f aca="false">IF(SUM(Q477:V477)&gt;0,1,0)</f>
        <v>0</v>
      </c>
    </row>
    <row r="478" customFormat="false" ht="15" hidden="false" customHeight="false" outlineLevel="0" collapsed="false">
      <c r="A478" s="42" t="str">
        <f aca="false">Sales_Transactions!A478</f>
        <v>INV-14-009</v>
      </c>
      <c r="B478" s="42" t="str">
        <f aca="false">Sales_Transactions!B478</f>
        <v>2026-02</v>
      </c>
      <c r="C478" s="42" t="str">
        <f aca="false">Sales_Transactions!C478</f>
        <v>Actual</v>
      </c>
      <c r="D478" s="42" t="str">
        <f aca="false">Sales_Transactions!D478</f>
        <v>C048</v>
      </c>
      <c r="E478" s="42" t="str">
        <f aca="false">Sales_Transactions!E478</f>
        <v>P006</v>
      </c>
      <c r="F478" s="42" t="str">
        <f aca="false">IFERROR(INDEX(Customer_Master!$C$2:$C$49,MATCH(D478,Customer_Master!$A$2:$A$49,0)),"UNMATCHED")</f>
        <v>East</v>
      </c>
      <c r="G478" s="42" t="str">
        <f aca="false">IFERROR(INDEX(Customer_Master!$D$2:$D$49,MATCH(D478,Customer_Master!$A$2:$A$49,0)),"UNMATCHED")</f>
        <v>Retail</v>
      </c>
      <c r="H478" s="42" t="str">
        <f aca="false">IFERROR(INDEX(Product_Master!$C$2:$C$9,MATCH(E478,Product_Master!$A$2:$A$9,0)),"UNMATCHED")</f>
        <v>Foods</v>
      </c>
      <c r="I478" s="42" t="str">
        <f aca="false">IFERROR(INDEX(Product_Master!$B$2:$B$9,MATCH(E478,Product_Master!$A$2:$A$9,0)),"UNMATCHED")</f>
        <v>Breakfast Cereal</v>
      </c>
      <c r="J478" s="42" t="n">
        <f aca="false">IFERROR(INDEX(Calendar!$B$2:$B$25,MATCH(B478,Calendar!$A$2:$A$25,0)),0)</f>
        <v>2026</v>
      </c>
      <c r="K478" s="42" t="n">
        <f aca="false">IFERROR(VALUE(RIGHT(B478,2)),0)</f>
        <v>2</v>
      </c>
      <c r="L478" s="42" t="str">
        <f aca="false">IFERROR(INDEX(Calendar!$E$2:$E$25,MATCH(B478,Calendar!$A$2:$A$25,0)),"UNMATCHED")</f>
        <v>Actual</v>
      </c>
      <c r="M478" s="42" t="n">
        <f aca="false">Sales_Transactions!F478</f>
        <v>137</v>
      </c>
      <c r="N478" s="52" t="n">
        <f aca="false">Sales_Transactions!I478</f>
        <v>34774.71</v>
      </c>
      <c r="O478" s="52" t="n">
        <f aca="false">Sales_Transactions!J478</f>
        <v>22665.28</v>
      </c>
      <c r="P478" s="52" t="n">
        <f aca="false">Sales_Transactions!K478</f>
        <v>12109.43</v>
      </c>
      <c r="Q478" s="42" t="n">
        <f aca="false">IF(ISNUMBER(MATCH(E478,Product_Master!$A$2:$A$9,0)),0,1)</f>
        <v>0</v>
      </c>
      <c r="R478" s="42" t="n">
        <f aca="false">IF(ISNUMBER(MATCH(D478,Customer_Master!$A$2:$A$49,0)),0,1)</f>
        <v>0</v>
      </c>
      <c r="S478" s="42" t="n">
        <f aca="false">IF(ISNUMBER(MATCH(B478,Calendar!$A$2:$A$25,0)),0,1)</f>
        <v>0</v>
      </c>
      <c r="T478" s="42" t="n">
        <f aca="false">IF(COUNTIF(Sales_Transactions!$A$2:$A$865,A478)&gt;1,1,0)</f>
        <v>0</v>
      </c>
      <c r="U478" s="42" t="n">
        <f aca="false">IF(OR(ABS(Sales_Transactions!F478*Sales_Transactions!G478-Sales_Transactions!I478)&gt;0.01,ABS(Sales_Transactions!F478*Sales_Transactions!H478-Sales_Transactions!J478)&gt;0.01,ABS(Sales_Transactions!I478-Sales_Transactions!J478-Sales_Transactions!K478)&gt;0.01),1,0)</f>
        <v>0</v>
      </c>
      <c r="V478" s="42" t="n">
        <f aca="false">IF(C478&lt;&gt;L478,1,0)</f>
        <v>0</v>
      </c>
      <c r="W478" s="42" t="n">
        <f aca="false">IF(SUM(Q478:V478)&gt;0,1,0)</f>
        <v>0</v>
      </c>
    </row>
    <row r="479" customFormat="false" ht="15" hidden="false" customHeight="false" outlineLevel="0" collapsed="false">
      <c r="A479" s="42" t="str">
        <f aca="false">Sales_Transactions!A479</f>
        <v>INV-14-010</v>
      </c>
      <c r="B479" s="42" t="str">
        <f aca="false">Sales_Transactions!B479</f>
        <v>2026-02</v>
      </c>
      <c r="C479" s="42" t="str">
        <f aca="false">Sales_Transactions!C479</f>
        <v>Actual</v>
      </c>
      <c r="D479" s="42" t="str">
        <f aca="false">Sales_Transactions!D479</f>
        <v>C007</v>
      </c>
      <c r="E479" s="42" t="str">
        <f aca="false">Sales_Transactions!E479</f>
        <v>P003</v>
      </c>
      <c r="F479" s="42" t="str">
        <f aca="false">IFERROR(INDEX(Customer_Master!$C$2:$C$49,MATCH(D479,Customer_Master!$A$2:$A$49,0)),"UNMATCHED")</f>
        <v>West</v>
      </c>
      <c r="G479" s="42" t="str">
        <f aca="false">IFERROR(INDEX(Customer_Master!$D$2:$D$49,MATCH(D479,Customer_Master!$A$2:$A$49,0)),"UNMATCHED")</f>
        <v>Distributor</v>
      </c>
      <c r="H479" s="42" t="str">
        <f aca="false">IFERROR(INDEX(Product_Master!$C$2:$C$9,MATCH(E479,Product_Master!$A$2:$A$9,0)),"UNMATCHED")</f>
        <v>Personal Care</v>
      </c>
      <c r="I479" s="42" t="str">
        <f aca="false">IFERROR(INDEX(Product_Master!$B$2:$B$9,MATCH(E479,Product_Master!$A$2:$A$9,0)),"UNMATCHED")</f>
        <v>Shampoo 400ml</v>
      </c>
      <c r="J479" s="42" t="n">
        <f aca="false">IFERROR(INDEX(Calendar!$B$2:$B$25,MATCH(B479,Calendar!$A$2:$A$25,0)),0)</f>
        <v>2026</v>
      </c>
      <c r="K479" s="42" t="n">
        <f aca="false">IFERROR(VALUE(RIGHT(B479,2)),0)</f>
        <v>2</v>
      </c>
      <c r="L479" s="42" t="str">
        <f aca="false">IFERROR(INDEX(Calendar!$E$2:$E$25,MATCH(B479,Calendar!$A$2:$A$25,0)),"UNMATCHED")</f>
        <v>Actual</v>
      </c>
      <c r="M479" s="42" t="n">
        <f aca="false">Sales_Transactions!F479</f>
        <v>450</v>
      </c>
      <c r="N479" s="52" t="n">
        <f aca="false">Sales_Transactions!I479</f>
        <v>113521.5</v>
      </c>
      <c r="O479" s="52" t="n">
        <f aca="false">Sales_Transactions!J479</f>
        <v>79839</v>
      </c>
      <c r="P479" s="52" t="n">
        <f aca="false">Sales_Transactions!K479</f>
        <v>33682.5</v>
      </c>
      <c r="Q479" s="42" t="n">
        <f aca="false">IF(ISNUMBER(MATCH(E479,Product_Master!$A$2:$A$9,0)),0,1)</f>
        <v>0</v>
      </c>
      <c r="R479" s="42" t="n">
        <f aca="false">IF(ISNUMBER(MATCH(D479,Customer_Master!$A$2:$A$49,0)),0,1)</f>
        <v>0</v>
      </c>
      <c r="S479" s="42" t="n">
        <f aca="false">IF(ISNUMBER(MATCH(B479,Calendar!$A$2:$A$25,0)),0,1)</f>
        <v>0</v>
      </c>
      <c r="T479" s="42" t="n">
        <f aca="false">IF(COUNTIF(Sales_Transactions!$A$2:$A$865,A479)&gt;1,1,0)</f>
        <v>0</v>
      </c>
      <c r="U479" s="42" t="n">
        <f aca="false">IF(OR(ABS(Sales_Transactions!F479*Sales_Transactions!G479-Sales_Transactions!I479)&gt;0.01,ABS(Sales_Transactions!F479*Sales_Transactions!H479-Sales_Transactions!J479)&gt;0.01,ABS(Sales_Transactions!I479-Sales_Transactions!J479-Sales_Transactions!K479)&gt;0.01),1,0)</f>
        <v>0</v>
      </c>
      <c r="V479" s="42" t="n">
        <f aca="false">IF(C479&lt;&gt;L479,1,0)</f>
        <v>0</v>
      </c>
      <c r="W479" s="42" t="n">
        <f aca="false">IF(SUM(Q479:V479)&gt;0,1,0)</f>
        <v>0</v>
      </c>
    </row>
    <row r="480" customFormat="false" ht="15" hidden="false" customHeight="false" outlineLevel="0" collapsed="false">
      <c r="A480" s="42" t="str">
        <f aca="false">Sales_Transactions!A480</f>
        <v>INV-14-011</v>
      </c>
      <c r="B480" s="42" t="str">
        <f aca="false">Sales_Transactions!B480</f>
        <v>2026-02</v>
      </c>
      <c r="C480" s="42" t="str">
        <f aca="false">Sales_Transactions!C480</f>
        <v>Actual</v>
      </c>
      <c r="D480" s="42" t="str">
        <f aca="false">Sales_Transactions!D480</f>
        <v>C014</v>
      </c>
      <c r="E480" s="42" t="str">
        <f aca="false">Sales_Transactions!E480</f>
        <v>P008</v>
      </c>
      <c r="F480" s="42" t="str">
        <f aca="false">IFERROR(INDEX(Customer_Master!$C$2:$C$49,MATCH(D480,Customer_Master!$A$2:$A$49,0)),"UNMATCHED")</f>
        <v>North</v>
      </c>
      <c r="G480" s="42" t="str">
        <f aca="false">IFERROR(INDEX(Customer_Master!$D$2:$D$49,MATCH(D480,Customer_Master!$A$2:$A$49,0)),"UNMATCHED")</f>
        <v>Modern Trade</v>
      </c>
      <c r="H480" s="42" t="str">
        <f aca="false">IFERROR(INDEX(Product_Master!$C$2:$C$9,MATCH(E480,Product_Master!$A$2:$A$9,0)),"UNMATCHED")</f>
        <v>Personal Care</v>
      </c>
      <c r="I480" s="42" t="str">
        <f aca="false">IFERROR(INDEX(Product_Master!$B$2:$B$9,MATCH(E480,Product_Master!$A$2:$A$9,0)),"UNMATCHED")</f>
        <v>Body Lotion</v>
      </c>
      <c r="J480" s="42" t="n">
        <f aca="false">IFERROR(INDEX(Calendar!$B$2:$B$25,MATCH(B480,Calendar!$A$2:$A$25,0)),0)</f>
        <v>2026</v>
      </c>
      <c r="K480" s="42" t="n">
        <f aca="false">IFERROR(VALUE(RIGHT(B480,2)),0)</f>
        <v>2</v>
      </c>
      <c r="L480" s="42" t="str">
        <f aca="false">IFERROR(INDEX(Calendar!$E$2:$E$25,MATCH(B480,Calendar!$A$2:$A$25,0)),"UNMATCHED")</f>
        <v>Actual</v>
      </c>
      <c r="M480" s="42" t="n">
        <f aca="false">Sales_Transactions!F480</f>
        <v>105</v>
      </c>
      <c r="N480" s="52" t="n">
        <f aca="false">Sales_Transactions!I480</f>
        <v>31470.6</v>
      </c>
      <c r="O480" s="52" t="n">
        <f aca="false">Sales_Transactions!J480</f>
        <v>21475.65</v>
      </c>
      <c r="P480" s="52" t="n">
        <f aca="false">Sales_Transactions!K480</f>
        <v>9994.95</v>
      </c>
      <c r="Q480" s="42" t="n">
        <f aca="false">IF(ISNUMBER(MATCH(E480,Product_Master!$A$2:$A$9,0)),0,1)</f>
        <v>0</v>
      </c>
      <c r="R480" s="42" t="n">
        <f aca="false">IF(ISNUMBER(MATCH(D480,Customer_Master!$A$2:$A$49,0)),0,1)</f>
        <v>0</v>
      </c>
      <c r="S480" s="42" t="n">
        <f aca="false">IF(ISNUMBER(MATCH(B480,Calendar!$A$2:$A$25,0)),0,1)</f>
        <v>0</v>
      </c>
      <c r="T480" s="42" t="n">
        <f aca="false">IF(COUNTIF(Sales_Transactions!$A$2:$A$865,A480)&gt;1,1,0)</f>
        <v>0</v>
      </c>
      <c r="U480" s="42" t="n">
        <f aca="false">IF(OR(ABS(Sales_Transactions!F480*Sales_Transactions!G480-Sales_Transactions!I480)&gt;0.01,ABS(Sales_Transactions!F480*Sales_Transactions!H480-Sales_Transactions!J480)&gt;0.01,ABS(Sales_Transactions!I480-Sales_Transactions!J480-Sales_Transactions!K480)&gt;0.01),1,0)</f>
        <v>0</v>
      </c>
      <c r="V480" s="42" t="n">
        <f aca="false">IF(C480&lt;&gt;L480,1,0)</f>
        <v>0</v>
      </c>
      <c r="W480" s="42" t="n">
        <f aca="false">IF(SUM(Q480:V480)&gt;0,1,0)</f>
        <v>0</v>
      </c>
    </row>
    <row r="481" customFormat="false" ht="15" hidden="false" customHeight="false" outlineLevel="0" collapsed="false">
      <c r="A481" s="42" t="str">
        <f aca="false">Sales_Transactions!A481</f>
        <v>INV-14-012</v>
      </c>
      <c r="B481" s="42" t="str">
        <f aca="false">Sales_Transactions!B481</f>
        <v>2026-02</v>
      </c>
      <c r="C481" s="42" t="str">
        <f aca="false">Sales_Transactions!C481</f>
        <v>Actual</v>
      </c>
      <c r="D481" s="42" t="str">
        <f aca="false">Sales_Transactions!D481</f>
        <v>C021</v>
      </c>
      <c r="E481" s="42" t="str">
        <f aca="false">Sales_Transactions!E481</f>
        <v>P005</v>
      </c>
      <c r="F481" s="42" t="str">
        <f aca="false">IFERROR(INDEX(Customer_Master!$C$2:$C$49,MATCH(D481,Customer_Master!$A$2:$A$49,0)),"UNMATCHED")</f>
        <v>South</v>
      </c>
      <c r="G481" s="42" t="str">
        <f aca="false">IFERROR(INDEX(Customer_Master!$D$2:$D$49,MATCH(D481,Customer_Master!$A$2:$A$49,0)),"UNMATCHED")</f>
        <v>Retail</v>
      </c>
      <c r="H481" s="42" t="str">
        <f aca="false">IFERROR(INDEX(Product_Master!$C$2:$C$9,MATCH(E481,Product_Master!$A$2:$A$9,0)),"UNMATCHED")</f>
        <v>Foods</v>
      </c>
      <c r="I481" s="42" t="str">
        <f aca="false">IFERROR(INDEX(Product_Master!$B$2:$B$9,MATCH(E481,Product_Master!$A$2:$A$9,0)),"UNMATCHED")</f>
        <v>Biscuits 500g</v>
      </c>
      <c r="J481" s="42" t="n">
        <f aca="false">IFERROR(INDEX(Calendar!$B$2:$B$25,MATCH(B481,Calendar!$A$2:$A$25,0)),0)</f>
        <v>2026</v>
      </c>
      <c r="K481" s="42" t="n">
        <f aca="false">IFERROR(VALUE(RIGHT(B481,2)),0)</f>
        <v>2</v>
      </c>
      <c r="L481" s="42" t="str">
        <f aca="false">IFERROR(INDEX(Calendar!$E$2:$E$25,MATCH(B481,Calendar!$A$2:$A$25,0)),"UNMATCHED")</f>
        <v>Actual</v>
      </c>
      <c r="M481" s="42" t="n">
        <f aca="false">Sales_Transactions!F481</f>
        <v>309</v>
      </c>
      <c r="N481" s="52" t="n">
        <f aca="false">Sales_Transactions!I481</f>
        <v>32565.51</v>
      </c>
      <c r="O481" s="52" t="n">
        <f aca="false">Sales_Transactions!J481</f>
        <v>21388.98</v>
      </c>
      <c r="P481" s="52" t="n">
        <f aca="false">Sales_Transactions!K481</f>
        <v>11176.53</v>
      </c>
      <c r="Q481" s="42" t="n">
        <f aca="false">IF(ISNUMBER(MATCH(E481,Product_Master!$A$2:$A$9,0)),0,1)</f>
        <v>0</v>
      </c>
      <c r="R481" s="42" t="n">
        <f aca="false">IF(ISNUMBER(MATCH(D481,Customer_Master!$A$2:$A$49,0)),0,1)</f>
        <v>0</v>
      </c>
      <c r="S481" s="42" t="n">
        <f aca="false">IF(ISNUMBER(MATCH(B481,Calendar!$A$2:$A$25,0)),0,1)</f>
        <v>0</v>
      </c>
      <c r="T481" s="42" t="n">
        <f aca="false">IF(COUNTIF(Sales_Transactions!$A$2:$A$865,A481)&gt;1,1,0)</f>
        <v>0</v>
      </c>
      <c r="U481" s="42" t="n">
        <f aca="false">IF(OR(ABS(Sales_Transactions!F481*Sales_Transactions!G481-Sales_Transactions!I481)&gt;0.01,ABS(Sales_Transactions!F481*Sales_Transactions!H481-Sales_Transactions!J481)&gt;0.01,ABS(Sales_Transactions!I481-Sales_Transactions!J481-Sales_Transactions!K481)&gt;0.01),1,0)</f>
        <v>0</v>
      </c>
      <c r="V481" s="42" t="n">
        <f aca="false">IF(C481&lt;&gt;L481,1,0)</f>
        <v>0</v>
      </c>
      <c r="W481" s="42" t="n">
        <f aca="false">IF(SUM(Q481:V481)&gt;0,1,0)</f>
        <v>0</v>
      </c>
    </row>
    <row r="482" customFormat="false" ht="15" hidden="false" customHeight="false" outlineLevel="0" collapsed="false">
      <c r="A482" s="42" t="str">
        <f aca="false">Sales_Transactions!A482</f>
        <v>INV-14-013</v>
      </c>
      <c r="B482" s="42" t="str">
        <f aca="false">Sales_Transactions!B482</f>
        <v>2026-02</v>
      </c>
      <c r="C482" s="42" t="str">
        <f aca="false">Sales_Transactions!C482</f>
        <v>Actual</v>
      </c>
      <c r="D482" s="42" t="str">
        <f aca="false">Sales_Transactions!D482</f>
        <v>C028</v>
      </c>
      <c r="E482" s="42" t="str">
        <f aca="false">Sales_Transactions!E482</f>
        <v>P002</v>
      </c>
      <c r="F482" s="42" t="str">
        <f aca="false">IFERROR(INDEX(Customer_Master!$C$2:$C$49,MATCH(D482,Customer_Master!$A$2:$A$49,0)),"UNMATCHED")</f>
        <v>East</v>
      </c>
      <c r="G482" s="42" t="str">
        <f aca="false">IFERROR(INDEX(Customer_Master!$D$2:$D$49,MATCH(D482,Customer_Master!$A$2:$A$49,0)),"UNMATCHED")</f>
        <v>Distributor</v>
      </c>
      <c r="H482" s="42" t="str">
        <f aca="false">IFERROR(INDEX(Product_Master!$C$2:$C$9,MATCH(E482,Product_Master!$A$2:$A$9,0)),"UNMATCHED")</f>
        <v>Home Care</v>
      </c>
      <c r="I482" s="42" t="str">
        <f aca="false">IFERROR(INDEX(Product_Master!$B$2:$B$9,MATCH(E482,Product_Master!$A$2:$A$9,0)),"UNMATCHED")</f>
        <v>Dishwash Gel</v>
      </c>
      <c r="J482" s="42" t="n">
        <f aca="false">IFERROR(INDEX(Calendar!$B$2:$B$25,MATCH(B482,Calendar!$A$2:$A$25,0)),0)</f>
        <v>2026</v>
      </c>
      <c r="K482" s="42" t="n">
        <f aca="false">IFERROR(VALUE(RIGHT(B482,2)),0)</f>
        <v>2</v>
      </c>
      <c r="L482" s="42" t="str">
        <f aca="false">IFERROR(INDEX(Calendar!$E$2:$E$25,MATCH(B482,Calendar!$A$2:$A$25,0)),"UNMATCHED")</f>
        <v>Actual</v>
      </c>
      <c r="M482" s="42" t="n">
        <f aca="false">Sales_Transactions!F482</f>
        <v>271</v>
      </c>
      <c r="N482" s="52" t="n">
        <f aca="false">Sales_Transactions!I482</f>
        <v>36877.68</v>
      </c>
      <c r="O482" s="52" t="n">
        <f aca="false">Sales_Transactions!J482</f>
        <v>22086.5</v>
      </c>
      <c r="P482" s="52" t="n">
        <f aca="false">Sales_Transactions!K482</f>
        <v>14791.18</v>
      </c>
      <c r="Q482" s="42" t="n">
        <f aca="false">IF(ISNUMBER(MATCH(E482,Product_Master!$A$2:$A$9,0)),0,1)</f>
        <v>0</v>
      </c>
      <c r="R482" s="42" t="n">
        <f aca="false">IF(ISNUMBER(MATCH(D482,Customer_Master!$A$2:$A$49,0)),0,1)</f>
        <v>0</v>
      </c>
      <c r="S482" s="42" t="n">
        <f aca="false">IF(ISNUMBER(MATCH(B482,Calendar!$A$2:$A$25,0)),0,1)</f>
        <v>0</v>
      </c>
      <c r="T482" s="42" t="n">
        <f aca="false">IF(COUNTIF(Sales_Transactions!$A$2:$A$865,A482)&gt;1,1,0)</f>
        <v>0</v>
      </c>
      <c r="U482" s="42" t="n">
        <f aca="false">IF(OR(ABS(Sales_Transactions!F482*Sales_Transactions!G482-Sales_Transactions!I482)&gt;0.01,ABS(Sales_Transactions!F482*Sales_Transactions!H482-Sales_Transactions!J482)&gt;0.01,ABS(Sales_Transactions!I482-Sales_Transactions!J482-Sales_Transactions!K482)&gt;0.01),1,0)</f>
        <v>0</v>
      </c>
      <c r="V482" s="42" t="n">
        <f aca="false">IF(C482&lt;&gt;L482,1,0)</f>
        <v>0</v>
      </c>
      <c r="W482" s="42" t="n">
        <f aca="false">IF(SUM(Q482:V482)&gt;0,1,0)</f>
        <v>0</v>
      </c>
    </row>
    <row r="483" customFormat="false" ht="15" hidden="false" customHeight="false" outlineLevel="0" collapsed="false">
      <c r="A483" s="42" t="str">
        <f aca="false">Sales_Transactions!A483</f>
        <v>INV-14-014</v>
      </c>
      <c r="B483" s="42" t="str">
        <f aca="false">Sales_Transactions!B483</f>
        <v>2026-02</v>
      </c>
      <c r="C483" s="42" t="str">
        <f aca="false">Sales_Transactions!C483</f>
        <v>Actual</v>
      </c>
      <c r="D483" s="42" t="str">
        <f aca="false">Sales_Transactions!D483</f>
        <v>C035</v>
      </c>
      <c r="E483" s="42" t="str">
        <f aca="false">Sales_Transactions!E483</f>
        <v>P007</v>
      </c>
      <c r="F483" s="42" t="str">
        <f aca="false">IFERROR(INDEX(Customer_Master!$C$2:$C$49,MATCH(D483,Customer_Master!$A$2:$A$49,0)),"UNMATCHED")</f>
        <v>West</v>
      </c>
      <c r="G483" s="42" t="str">
        <f aca="false">IFERROR(INDEX(Customer_Master!$D$2:$D$49,MATCH(D483,Customer_Master!$A$2:$A$49,0)),"UNMATCHED")</f>
        <v>Modern Trade</v>
      </c>
      <c r="H483" s="42" t="str">
        <f aca="false">IFERROR(INDEX(Product_Master!$C$2:$C$9,MATCH(E483,Product_Master!$A$2:$A$9,0)),"UNMATCHED")</f>
        <v>Home Care</v>
      </c>
      <c r="I483" s="42" t="str">
        <f aca="false">IFERROR(INDEX(Product_Master!$B$2:$B$9,MATCH(E483,Product_Master!$A$2:$A$9,0)),"UNMATCHED")</f>
        <v>Floor Cleaner</v>
      </c>
      <c r="J483" s="42" t="n">
        <f aca="false">IFERROR(INDEX(Calendar!$B$2:$B$25,MATCH(B483,Calendar!$A$2:$A$25,0)),0)</f>
        <v>2026</v>
      </c>
      <c r="K483" s="42" t="n">
        <f aca="false">IFERROR(VALUE(RIGHT(B483,2)),0)</f>
        <v>2</v>
      </c>
      <c r="L483" s="42" t="str">
        <f aca="false">IFERROR(INDEX(Calendar!$E$2:$E$25,MATCH(B483,Calendar!$A$2:$A$25,0)),"UNMATCHED")</f>
        <v>Actual</v>
      </c>
      <c r="M483" s="42" t="n">
        <f aca="false">Sales_Transactions!F483</f>
        <v>294</v>
      </c>
      <c r="N483" s="52" t="n">
        <f aca="false">Sales_Transactions!I483</f>
        <v>55339.62</v>
      </c>
      <c r="O483" s="52" t="n">
        <f aca="false">Sales_Transactions!J483</f>
        <v>34292.16</v>
      </c>
      <c r="P483" s="52" t="n">
        <f aca="false">Sales_Transactions!K483</f>
        <v>21047.46</v>
      </c>
      <c r="Q483" s="42" t="n">
        <f aca="false">IF(ISNUMBER(MATCH(E483,Product_Master!$A$2:$A$9,0)),0,1)</f>
        <v>0</v>
      </c>
      <c r="R483" s="42" t="n">
        <f aca="false">IF(ISNUMBER(MATCH(D483,Customer_Master!$A$2:$A$49,0)),0,1)</f>
        <v>0</v>
      </c>
      <c r="S483" s="42" t="n">
        <f aca="false">IF(ISNUMBER(MATCH(B483,Calendar!$A$2:$A$25,0)),0,1)</f>
        <v>0</v>
      </c>
      <c r="T483" s="42" t="n">
        <f aca="false">IF(COUNTIF(Sales_Transactions!$A$2:$A$865,A483)&gt;1,1,0)</f>
        <v>0</v>
      </c>
      <c r="U483" s="42" t="n">
        <f aca="false">IF(OR(ABS(Sales_Transactions!F483*Sales_Transactions!G483-Sales_Transactions!I483)&gt;0.01,ABS(Sales_Transactions!F483*Sales_Transactions!H483-Sales_Transactions!J483)&gt;0.01,ABS(Sales_Transactions!I483-Sales_Transactions!J483-Sales_Transactions!K483)&gt;0.01),1,0)</f>
        <v>0</v>
      </c>
      <c r="V483" s="42" t="n">
        <f aca="false">IF(C483&lt;&gt;L483,1,0)</f>
        <v>0</v>
      </c>
      <c r="W483" s="42" t="n">
        <f aca="false">IF(SUM(Q483:V483)&gt;0,1,0)</f>
        <v>0</v>
      </c>
    </row>
    <row r="484" customFormat="false" ht="15" hidden="false" customHeight="false" outlineLevel="0" collapsed="false">
      <c r="A484" s="42" t="str">
        <f aca="false">Sales_Transactions!A484</f>
        <v>INV-14-015</v>
      </c>
      <c r="B484" s="42" t="str">
        <f aca="false">Sales_Transactions!B484</f>
        <v>2026-02</v>
      </c>
      <c r="C484" s="42" t="str">
        <f aca="false">Sales_Transactions!C484</f>
        <v>Actual</v>
      </c>
      <c r="D484" s="42" t="str">
        <f aca="false">Sales_Transactions!D484</f>
        <v>C042</v>
      </c>
      <c r="E484" s="42" t="str">
        <f aca="false">Sales_Transactions!E484</f>
        <v>P004</v>
      </c>
      <c r="F484" s="42" t="str">
        <f aca="false">IFERROR(INDEX(Customer_Master!$C$2:$C$49,MATCH(D484,Customer_Master!$A$2:$A$49,0)),"UNMATCHED")</f>
        <v>North</v>
      </c>
      <c r="G484" s="42" t="str">
        <f aca="false">IFERROR(INDEX(Customer_Master!$D$2:$D$49,MATCH(D484,Customer_Master!$A$2:$A$49,0)),"UNMATCHED")</f>
        <v>Retail</v>
      </c>
      <c r="H484" s="42" t="str">
        <f aca="false">IFERROR(INDEX(Product_Master!$C$2:$C$9,MATCH(E484,Product_Master!$A$2:$A$9,0)),"UNMATCHED")</f>
        <v>Personal Care</v>
      </c>
      <c r="I484" s="42" t="str">
        <f aca="false">IFERROR(INDEX(Product_Master!$B$2:$B$9,MATCH(E484,Product_Master!$A$2:$A$9,0)),"UNMATCHED")</f>
        <v>Soap 4-pack</v>
      </c>
      <c r="J484" s="42" t="n">
        <f aca="false">IFERROR(INDEX(Calendar!$B$2:$B$25,MATCH(B484,Calendar!$A$2:$A$25,0)),0)</f>
        <v>2026</v>
      </c>
      <c r="K484" s="42" t="n">
        <f aca="false">IFERROR(VALUE(RIGHT(B484,2)),0)</f>
        <v>2</v>
      </c>
      <c r="L484" s="42" t="str">
        <f aca="false">IFERROR(INDEX(Calendar!$E$2:$E$25,MATCH(B484,Calendar!$A$2:$A$25,0)),"UNMATCHED")</f>
        <v>Actual</v>
      </c>
      <c r="M484" s="42" t="n">
        <f aca="false">Sales_Transactions!F484</f>
        <v>111</v>
      </c>
      <c r="N484" s="52" t="n">
        <f aca="false">Sales_Transactions!I484</f>
        <v>19280.7</v>
      </c>
      <c r="O484" s="52" t="n">
        <f aca="false">Sales_Transactions!J484</f>
        <v>11057.82</v>
      </c>
      <c r="P484" s="52" t="n">
        <f aca="false">Sales_Transactions!K484</f>
        <v>8222.88</v>
      </c>
      <c r="Q484" s="42" t="n">
        <f aca="false">IF(ISNUMBER(MATCH(E484,Product_Master!$A$2:$A$9,0)),0,1)</f>
        <v>0</v>
      </c>
      <c r="R484" s="42" t="n">
        <f aca="false">IF(ISNUMBER(MATCH(D484,Customer_Master!$A$2:$A$49,0)),0,1)</f>
        <v>0</v>
      </c>
      <c r="S484" s="42" t="n">
        <f aca="false">IF(ISNUMBER(MATCH(B484,Calendar!$A$2:$A$25,0)),0,1)</f>
        <v>0</v>
      </c>
      <c r="T484" s="42" t="n">
        <f aca="false">IF(COUNTIF(Sales_Transactions!$A$2:$A$865,A484)&gt;1,1,0)</f>
        <v>0</v>
      </c>
      <c r="U484" s="42" t="n">
        <f aca="false">IF(OR(ABS(Sales_Transactions!F484*Sales_Transactions!G484-Sales_Transactions!I484)&gt;0.01,ABS(Sales_Transactions!F484*Sales_Transactions!H484-Sales_Transactions!J484)&gt;0.01,ABS(Sales_Transactions!I484-Sales_Transactions!J484-Sales_Transactions!K484)&gt;0.01),1,0)</f>
        <v>0</v>
      </c>
      <c r="V484" s="42" t="n">
        <f aca="false">IF(C484&lt;&gt;L484,1,0)</f>
        <v>0</v>
      </c>
      <c r="W484" s="42" t="n">
        <f aca="false">IF(SUM(Q484:V484)&gt;0,1,0)</f>
        <v>0</v>
      </c>
    </row>
    <row r="485" customFormat="false" ht="15" hidden="false" customHeight="false" outlineLevel="0" collapsed="false">
      <c r="A485" s="42" t="str">
        <f aca="false">Sales_Transactions!A485</f>
        <v>INV-14-016</v>
      </c>
      <c r="B485" s="42" t="str">
        <f aca="false">Sales_Transactions!B485</f>
        <v>2026-02</v>
      </c>
      <c r="C485" s="42" t="str">
        <f aca="false">Sales_Transactions!C485</f>
        <v>Actual</v>
      </c>
      <c r="D485" s="42" t="str">
        <f aca="false">Sales_Transactions!D485</f>
        <v>C001</v>
      </c>
      <c r="E485" s="42" t="str">
        <f aca="false">Sales_Transactions!E485</f>
        <v>P001</v>
      </c>
      <c r="F485" s="42" t="str">
        <f aca="false">IFERROR(INDEX(Customer_Master!$C$2:$C$49,MATCH(D485,Customer_Master!$A$2:$A$49,0)),"UNMATCHED")</f>
        <v>South</v>
      </c>
      <c r="G485" s="42" t="str">
        <f aca="false">IFERROR(INDEX(Customer_Master!$D$2:$D$49,MATCH(D485,Customer_Master!$A$2:$A$49,0)),"UNMATCHED")</f>
        <v>Distributor</v>
      </c>
      <c r="H485" s="42" t="str">
        <f aca="false">IFERROR(INDEX(Product_Master!$C$2:$C$9,MATCH(E485,Product_Master!$A$2:$A$9,0)),"UNMATCHED")</f>
        <v>Home Care</v>
      </c>
      <c r="I485" s="42" t="str">
        <f aca="false">IFERROR(INDEX(Product_Master!$B$2:$B$9,MATCH(E485,Product_Master!$A$2:$A$9,0)),"UNMATCHED")</f>
        <v>Detergent 1kg</v>
      </c>
      <c r="J485" s="42" t="n">
        <f aca="false">IFERROR(INDEX(Calendar!$B$2:$B$25,MATCH(B485,Calendar!$A$2:$A$25,0)),0)</f>
        <v>2026</v>
      </c>
      <c r="K485" s="42" t="n">
        <f aca="false">IFERROR(VALUE(RIGHT(B485,2)),0)</f>
        <v>2</v>
      </c>
      <c r="L485" s="42" t="str">
        <f aca="false">IFERROR(INDEX(Calendar!$E$2:$E$25,MATCH(B485,Calendar!$A$2:$A$25,0)),"UNMATCHED")</f>
        <v>Actual</v>
      </c>
      <c r="M485" s="42" t="n">
        <f aca="false">Sales_Transactions!F485</f>
        <v>118</v>
      </c>
      <c r="N485" s="52" t="n">
        <f aca="false">Sales_Transactions!I485</f>
        <v>23116.2</v>
      </c>
      <c r="O485" s="52" t="n">
        <f aca="false">Sales_Transactions!J485</f>
        <v>15996.08</v>
      </c>
      <c r="P485" s="52" t="n">
        <f aca="false">Sales_Transactions!K485</f>
        <v>7120.12</v>
      </c>
      <c r="Q485" s="42" t="n">
        <f aca="false">IF(ISNUMBER(MATCH(E485,Product_Master!$A$2:$A$9,0)),0,1)</f>
        <v>0</v>
      </c>
      <c r="R485" s="42" t="n">
        <f aca="false">IF(ISNUMBER(MATCH(D485,Customer_Master!$A$2:$A$49,0)),0,1)</f>
        <v>0</v>
      </c>
      <c r="S485" s="42" t="n">
        <f aca="false">IF(ISNUMBER(MATCH(B485,Calendar!$A$2:$A$25,0)),0,1)</f>
        <v>0</v>
      </c>
      <c r="T485" s="42" t="n">
        <f aca="false">IF(COUNTIF(Sales_Transactions!$A$2:$A$865,A485)&gt;1,1,0)</f>
        <v>0</v>
      </c>
      <c r="U485" s="42" t="n">
        <f aca="false">IF(OR(ABS(Sales_Transactions!F485*Sales_Transactions!G485-Sales_Transactions!I485)&gt;0.01,ABS(Sales_Transactions!F485*Sales_Transactions!H485-Sales_Transactions!J485)&gt;0.01,ABS(Sales_Transactions!I485-Sales_Transactions!J485-Sales_Transactions!K485)&gt;0.01),1,0)</f>
        <v>0</v>
      </c>
      <c r="V485" s="42" t="n">
        <f aca="false">IF(C485&lt;&gt;L485,1,0)</f>
        <v>0</v>
      </c>
      <c r="W485" s="42" t="n">
        <f aca="false">IF(SUM(Q485:V485)&gt;0,1,0)</f>
        <v>0</v>
      </c>
    </row>
    <row r="486" customFormat="false" ht="15" hidden="false" customHeight="false" outlineLevel="0" collapsed="false">
      <c r="A486" s="42" t="str">
        <f aca="false">Sales_Transactions!A486</f>
        <v>INV-14-017</v>
      </c>
      <c r="B486" s="42" t="str">
        <f aca="false">Sales_Transactions!B486</f>
        <v>2026-02</v>
      </c>
      <c r="C486" s="42" t="str">
        <f aca="false">Sales_Transactions!C486</f>
        <v>Actual</v>
      </c>
      <c r="D486" s="42" t="str">
        <f aca="false">Sales_Transactions!D486</f>
        <v>C008</v>
      </c>
      <c r="E486" s="42" t="str">
        <f aca="false">Sales_Transactions!E486</f>
        <v>P006</v>
      </c>
      <c r="F486" s="42" t="str">
        <f aca="false">IFERROR(INDEX(Customer_Master!$C$2:$C$49,MATCH(D486,Customer_Master!$A$2:$A$49,0)),"UNMATCHED")</f>
        <v>East</v>
      </c>
      <c r="G486" s="42" t="str">
        <f aca="false">IFERROR(INDEX(Customer_Master!$D$2:$D$49,MATCH(D486,Customer_Master!$A$2:$A$49,0)),"UNMATCHED")</f>
        <v>Modern Trade</v>
      </c>
      <c r="H486" s="42" t="str">
        <f aca="false">IFERROR(INDEX(Product_Master!$C$2:$C$9,MATCH(E486,Product_Master!$A$2:$A$9,0)),"UNMATCHED")</f>
        <v>Foods</v>
      </c>
      <c r="I486" s="42" t="str">
        <f aca="false">IFERROR(INDEX(Product_Master!$B$2:$B$9,MATCH(E486,Product_Master!$A$2:$A$9,0)),"UNMATCHED")</f>
        <v>Breakfast Cereal</v>
      </c>
      <c r="J486" s="42" t="n">
        <f aca="false">IFERROR(INDEX(Calendar!$B$2:$B$25,MATCH(B486,Calendar!$A$2:$A$25,0)),0)</f>
        <v>2026</v>
      </c>
      <c r="K486" s="42" t="n">
        <f aca="false">IFERROR(VALUE(RIGHT(B486,2)),0)</f>
        <v>2</v>
      </c>
      <c r="L486" s="42" t="str">
        <f aca="false">IFERROR(INDEX(Calendar!$E$2:$E$25,MATCH(B486,Calendar!$A$2:$A$25,0)),"UNMATCHED")</f>
        <v>Actual</v>
      </c>
      <c r="M486" s="42" t="n">
        <f aca="false">Sales_Transactions!F486</f>
        <v>282</v>
      </c>
      <c r="N486" s="52" t="n">
        <f aca="false">Sales_Transactions!I486</f>
        <v>66656.34</v>
      </c>
      <c r="O486" s="52" t="n">
        <f aca="false">Sales_Transactions!J486</f>
        <v>46053.42</v>
      </c>
      <c r="P486" s="52" t="n">
        <f aca="false">Sales_Transactions!K486</f>
        <v>20602.92</v>
      </c>
      <c r="Q486" s="42" t="n">
        <f aca="false">IF(ISNUMBER(MATCH(E486,Product_Master!$A$2:$A$9,0)),0,1)</f>
        <v>0</v>
      </c>
      <c r="R486" s="42" t="n">
        <f aca="false">IF(ISNUMBER(MATCH(D486,Customer_Master!$A$2:$A$49,0)),0,1)</f>
        <v>0</v>
      </c>
      <c r="S486" s="42" t="n">
        <f aca="false">IF(ISNUMBER(MATCH(B486,Calendar!$A$2:$A$25,0)),0,1)</f>
        <v>0</v>
      </c>
      <c r="T486" s="42" t="n">
        <f aca="false">IF(COUNTIF(Sales_Transactions!$A$2:$A$865,A486)&gt;1,1,0)</f>
        <v>0</v>
      </c>
      <c r="U486" s="42" t="n">
        <f aca="false">IF(OR(ABS(Sales_Transactions!F486*Sales_Transactions!G486-Sales_Transactions!I486)&gt;0.01,ABS(Sales_Transactions!F486*Sales_Transactions!H486-Sales_Transactions!J486)&gt;0.01,ABS(Sales_Transactions!I486-Sales_Transactions!J486-Sales_Transactions!K486)&gt;0.01),1,0)</f>
        <v>0</v>
      </c>
      <c r="V486" s="42" t="n">
        <f aca="false">IF(C486&lt;&gt;L486,1,0)</f>
        <v>0</v>
      </c>
      <c r="W486" s="42" t="n">
        <f aca="false">IF(SUM(Q486:V486)&gt;0,1,0)</f>
        <v>0</v>
      </c>
    </row>
    <row r="487" customFormat="false" ht="15" hidden="false" customHeight="false" outlineLevel="0" collapsed="false">
      <c r="A487" s="42" t="str">
        <f aca="false">Sales_Transactions!A487</f>
        <v>INV-14-018</v>
      </c>
      <c r="B487" s="42" t="str">
        <f aca="false">Sales_Transactions!B487</f>
        <v>2026-02</v>
      </c>
      <c r="C487" s="42" t="str">
        <f aca="false">Sales_Transactions!C487</f>
        <v>Actual</v>
      </c>
      <c r="D487" s="42" t="str">
        <f aca="false">Sales_Transactions!D487</f>
        <v>C015</v>
      </c>
      <c r="E487" s="42" t="str">
        <f aca="false">Sales_Transactions!E487</f>
        <v>P003</v>
      </c>
      <c r="F487" s="42" t="str">
        <f aca="false">IFERROR(INDEX(Customer_Master!$C$2:$C$49,MATCH(D487,Customer_Master!$A$2:$A$49,0)),"UNMATCHED")</f>
        <v>West</v>
      </c>
      <c r="G487" s="42" t="str">
        <f aca="false">IFERROR(INDEX(Customer_Master!$D$2:$D$49,MATCH(D487,Customer_Master!$A$2:$A$49,0)),"UNMATCHED")</f>
        <v>Retail</v>
      </c>
      <c r="H487" s="42" t="str">
        <f aca="false">IFERROR(INDEX(Product_Master!$C$2:$C$9,MATCH(E487,Product_Master!$A$2:$A$9,0)),"UNMATCHED")</f>
        <v>Personal Care</v>
      </c>
      <c r="I487" s="42" t="str">
        <f aca="false">IFERROR(INDEX(Product_Master!$B$2:$B$9,MATCH(E487,Product_Master!$A$2:$A$9,0)),"UNMATCHED")</f>
        <v>Shampoo 400ml</v>
      </c>
      <c r="J487" s="42" t="n">
        <f aca="false">IFERROR(INDEX(Calendar!$B$2:$B$25,MATCH(B487,Calendar!$A$2:$A$25,0)),0)</f>
        <v>2026</v>
      </c>
      <c r="K487" s="42" t="n">
        <f aca="false">IFERROR(VALUE(RIGHT(B487,2)),0)</f>
        <v>2</v>
      </c>
      <c r="L487" s="42" t="str">
        <f aca="false">IFERROR(INDEX(Calendar!$E$2:$E$25,MATCH(B487,Calendar!$A$2:$A$25,0)),"UNMATCHED")</f>
        <v>Actual</v>
      </c>
      <c r="M487" s="42" t="n">
        <f aca="false">Sales_Transactions!F487</f>
        <v>421</v>
      </c>
      <c r="N487" s="52" t="n">
        <f aca="false">Sales_Transactions!I487</f>
        <v>119690.3</v>
      </c>
      <c r="O487" s="52" t="n">
        <f aca="false">Sales_Transactions!J487</f>
        <v>74319.13</v>
      </c>
      <c r="P487" s="52" t="n">
        <f aca="false">Sales_Transactions!K487</f>
        <v>45371.17</v>
      </c>
      <c r="Q487" s="42" t="n">
        <f aca="false">IF(ISNUMBER(MATCH(E487,Product_Master!$A$2:$A$9,0)),0,1)</f>
        <v>0</v>
      </c>
      <c r="R487" s="42" t="n">
        <f aca="false">IF(ISNUMBER(MATCH(D487,Customer_Master!$A$2:$A$49,0)),0,1)</f>
        <v>0</v>
      </c>
      <c r="S487" s="42" t="n">
        <f aca="false">IF(ISNUMBER(MATCH(B487,Calendar!$A$2:$A$25,0)),0,1)</f>
        <v>0</v>
      </c>
      <c r="T487" s="42" t="n">
        <f aca="false">IF(COUNTIF(Sales_Transactions!$A$2:$A$865,A487)&gt;1,1,0)</f>
        <v>0</v>
      </c>
      <c r="U487" s="42" t="n">
        <f aca="false">IF(OR(ABS(Sales_Transactions!F487*Sales_Transactions!G487-Sales_Transactions!I487)&gt;0.01,ABS(Sales_Transactions!F487*Sales_Transactions!H487-Sales_Transactions!J487)&gt;0.01,ABS(Sales_Transactions!I487-Sales_Transactions!J487-Sales_Transactions!K487)&gt;0.01),1,0)</f>
        <v>0</v>
      </c>
      <c r="V487" s="42" t="n">
        <f aca="false">IF(C487&lt;&gt;L487,1,0)</f>
        <v>0</v>
      </c>
      <c r="W487" s="42" t="n">
        <f aca="false">IF(SUM(Q487:V487)&gt;0,1,0)</f>
        <v>0</v>
      </c>
    </row>
    <row r="488" customFormat="false" ht="15" hidden="false" customHeight="false" outlineLevel="0" collapsed="false">
      <c r="A488" s="42" t="str">
        <f aca="false">Sales_Transactions!A488</f>
        <v>INV-14-019</v>
      </c>
      <c r="B488" s="42" t="str">
        <f aca="false">Sales_Transactions!B488</f>
        <v>2026-02</v>
      </c>
      <c r="C488" s="42" t="str">
        <f aca="false">Sales_Transactions!C488</f>
        <v>Actual</v>
      </c>
      <c r="D488" s="42" t="str">
        <f aca="false">Sales_Transactions!D488</f>
        <v>C022</v>
      </c>
      <c r="E488" s="42" t="str">
        <f aca="false">Sales_Transactions!E488</f>
        <v>P008</v>
      </c>
      <c r="F488" s="42" t="str">
        <f aca="false">IFERROR(INDEX(Customer_Master!$C$2:$C$49,MATCH(D488,Customer_Master!$A$2:$A$49,0)),"UNMATCHED")</f>
        <v>North</v>
      </c>
      <c r="G488" s="42" t="str">
        <f aca="false">IFERROR(INDEX(Customer_Master!$D$2:$D$49,MATCH(D488,Customer_Master!$A$2:$A$49,0)),"UNMATCHED")</f>
        <v>Distributor</v>
      </c>
      <c r="H488" s="42" t="str">
        <f aca="false">IFERROR(INDEX(Product_Master!$C$2:$C$9,MATCH(E488,Product_Master!$A$2:$A$9,0)),"UNMATCHED")</f>
        <v>Personal Care</v>
      </c>
      <c r="I488" s="42" t="str">
        <f aca="false">IFERROR(INDEX(Product_Master!$B$2:$B$9,MATCH(E488,Product_Master!$A$2:$A$9,0)),"UNMATCHED")</f>
        <v>Body Lotion</v>
      </c>
      <c r="J488" s="42" t="n">
        <f aca="false">IFERROR(INDEX(Calendar!$B$2:$B$25,MATCH(B488,Calendar!$A$2:$A$25,0)),0)</f>
        <v>2026</v>
      </c>
      <c r="K488" s="42" t="n">
        <f aca="false">IFERROR(VALUE(RIGHT(B488,2)),0)</f>
        <v>2</v>
      </c>
      <c r="L488" s="42" t="str">
        <f aca="false">IFERROR(INDEX(Calendar!$E$2:$E$25,MATCH(B488,Calendar!$A$2:$A$25,0)),"UNMATCHED")</f>
        <v>Actual</v>
      </c>
      <c r="M488" s="42" t="n">
        <f aca="false">Sales_Transactions!F488</f>
        <v>161</v>
      </c>
      <c r="N488" s="52" t="n">
        <f aca="false">Sales_Transactions!I488</f>
        <v>48836.13</v>
      </c>
      <c r="O488" s="52" t="n">
        <f aca="false">Sales_Transactions!J488</f>
        <v>33496.05</v>
      </c>
      <c r="P488" s="52" t="n">
        <f aca="false">Sales_Transactions!K488</f>
        <v>15340.08</v>
      </c>
      <c r="Q488" s="42" t="n">
        <f aca="false">IF(ISNUMBER(MATCH(E488,Product_Master!$A$2:$A$9,0)),0,1)</f>
        <v>0</v>
      </c>
      <c r="R488" s="42" t="n">
        <f aca="false">IF(ISNUMBER(MATCH(D488,Customer_Master!$A$2:$A$49,0)),0,1)</f>
        <v>0</v>
      </c>
      <c r="S488" s="42" t="n">
        <f aca="false">IF(ISNUMBER(MATCH(B488,Calendar!$A$2:$A$25,0)),0,1)</f>
        <v>0</v>
      </c>
      <c r="T488" s="42" t="n">
        <f aca="false">IF(COUNTIF(Sales_Transactions!$A$2:$A$865,A488)&gt;1,1,0)</f>
        <v>0</v>
      </c>
      <c r="U488" s="42" t="n">
        <f aca="false">IF(OR(ABS(Sales_Transactions!F488*Sales_Transactions!G488-Sales_Transactions!I488)&gt;0.01,ABS(Sales_Transactions!F488*Sales_Transactions!H488-Sales_Transactions!J488)&gt;0.01,ABS(Sales_Transactions!I488-Sales_Transactions!J488-Sales_Transactions!K488)&gt;0.01),1,0)</f>
        <v>0</v>
      </c>
      <c r="V488" s="42" t="n">
        <f aca="false">IF(C488&lt;&gt;L488,1,0)</f>
        <v>0</v>
      </c>
      <c r="W488" s="42" t="n">
        <f aca="false">IF(SUM(Q488:V488)&gt;0,1,0)</f>
        <v>0</v>
      </c>
    </row>
    <row r="489" customFormat="false" ht="15" hidden="false" customHeight="false" outlineLevel="0" collapsed="false">
      <c r="A489" s="42" t="str">
        <f aca="false">Sales_Transactions!A489</f>
        <v>INV-14-020</v>
      </c>
      <c r="B489" s="42" t="str">
        <f aca="false">Sales_Transactions!B489</f>
        <v>2026-02</v>
      </c>
      <c r="C489" s="42" t="str">
        <f aca="false">Sales_Transactions!C489</f>
        <v>Actual</v>
      </c>
      <c r="D489" s="42" t="str">
        <f aca="false">Sales_Transactions!D489</f>
        <v>C029</v>
      </c>
      <c r="E489" s="42" t="str">
        <f aca="false">Sales_Transactions!E489</f>
        <v>P005</v>
      </c>
      <c r="F489" s="42" t="str">
        <f aca="false">IFERROR(INDEX(Customer_Master!$C$2:$C$49,MATCH(D489,Customer_Master!$A$2:$A$49,0)),"UNMATCHED")</f>
        <v>South</v>
      </c>
      <c r="G489" s="42" t="str">
        <f aca="false">IFERROR(INDEX(Customer_Master!$D$2:$D$49,MATCH(D489,Customer_Master!$A$2:$A$49,0)),"UNMATCHED")</f>
        <v>Modern Trade</v>
      </c>
      <c r="H489" s="42" t="str">
        <f aca="false">IFERROR(INDEX(Product_Master!$C$2:$C$9,MATCH(E489,Product_Master!$A$2:$A$9,0)),"UNMATCHED")</f>
        <v>Foods</v>
      </c>
      <c r="I489" s="42" t="str">
        <f aca="false">IFERROR(INDEX(Product_Master!$B$2:$B$9,MATCH(E489,Product_Master!$A$2:$A$9,0)),"UNMATCHED")</f>
        <v>Biscuits 500g</v>
      </c>
      <c r="J489" s="42" t="n">
        <f aca="false">IFERROR(INDEX(Calendar!$B$2:$B$25,MATCH(B489,Calendar!$A$2:$A$25,0)),0)</f>
        <v>2026</v>
      </c>
      <c r="K489" s="42" t="n">
        <f aca="false">IFERROR(VALUE(RIGHT(B489,2)),0)</f>
        <v>2</v>
      </c>
      <c r="L489" s="42" t="str">
        <f aca="false">IFERROR(INDEX(Calendar!$E$2:$E$25,MATCH(B489,Calendar!$A$2:$A$25,0)),"UNMATCHED")</f>
        <v>Actual</v>
      </c>
      <c r="M489" s="42" t="n">
        <f aca="false">Sales_Transactions!F489</f>
        <v>157</v>
      </c>
      <c r="N489" s="52" t="n">
        <f aca="false">Sales_Transactions!I489</f>
        <v>17428.57</v>
      </c>
      <c r="O489" s="52" t="n">
        <f aca="false">Sales_Transactions!J489</f>
        <v>10489.17</v>
      </c>
      <c r="P489" s="52" t="n">
        <f aca="false">Sales_Transactions!K489</f>
        <v>6939.4</v>
      </c>
      <c r="Q489" s="42" t="n">
        <f aca="false">IF(ISNUMBER(MATCH(E489,Product_Master!$A$2:$A$9,0)),0,1)</f>
        <v>0</v>
      </c>
      <c r="R489" s="42" t="n">
        <f aca="false">IF(ISNUMBER(MATCH(D489,Customer_Master!$A$2:$A$49,0)),0,1)</f>
        <v>0</v>
      </c>
      <c r="S489" s="42" t="n">
        <f aca="false">IF(ISNUMBER(MATCH(B489,Calendar!$A$2:$A$25,0)),0,1)</f>
        <v>0</v>
      </c>
      <c r="T489" s="42" t="n">
        <f aca="false">IF(COUNTIF(Sales_Transactions!$A$2:$A$865,A489)&gt;1,1,0)</f>
        <v>0</v>
      </c>
      <c r="U489" s="42" t="n">
        <f aca="false">IF(OR(ABS(Sales_Transactions!F489*Sales_Transactions!G489-Sales_Transactions!I489)&gt;0.01,ABS(Sales_Transactions!F489*Sales_Transactions!H489-Sales_Transactions!J489)&gt;0.01,ABS(Sales_Transactions!I489-Sales_Transactions!J489-Sales_Transactions!K489)&gt;0.01),1,0)</f>
        <v>0</v>
      </c>
      <c r="V489" s="42" t="n">
        <f aca="false">IF(C489&lt;&gt;L489,1,0)</f>
        <v>0</v>
      </c>
      <c r="W489" s="42" t="n">
        <f aca="false">IF(SUM(Q489:V489)&gt;0,1,0)</f>
        <v>0</v>
      </c>
    </row>
    <row r="490" customFormat="false" ht="15" hidden="false" customHeight="false" outlineLevel="0" collapsed="false">
      <c r="A490" s="42" t="str">
        <f aca="false">Sales_Transactions!A490</f>
        <v>INV-14-021</v>
      </c>
      <c r="B490" s="42" t="str">
        <f aca="false">Sales_Transactions!B490</f>
        <v>2026-02</v>
      </c>
      <c r="C490" s="42" t="str">
        <f aca="false">Sales_Transactions!C490</f>
        <v>Actual</v>
      </c>
      <c r="D490" s="42" t="str">
        <f aca="false">Sales_Transactions!D490</f>
        <v>C036</v>
      </c>
      <c r="E490" s="42" t="str">
        <f aca="false">Sales_Transactions!E490</f>
        <v>P002</v>
      </c>
      <c r="F490" s="42" t="str">
        <f aca="false">IFERROR(INDEX(Customer_Master!$C$2:$C$49,MATCH(D490,Customer_Master!$A$2:$A$49,0)),"UNMATCHED")</f>
        <v>East</v>
      </c>
      <c r="G490" s="42" t="str">
        <f aca="false">IFERROR(INDEX(Customer_Master!$D$2:$D$49,MATCH(D490,Customer_Master!$A$2:$A$49,0)),"UNMATCHED")</f>
        <v>Retail</v>
      </c>
      <c r="H490" s="42" t="str">
        <f aca="false">IFERROR(INDEX(Product_Master!$C$2:$C$9,MATCH(E490,Product_Master!$A$2:$A$9,0)),"UNMATCHED")</f>
        <v>Home Care</v>
      </c>
      <c r="I490" s="42" t="str">
        <f aca="false">IFERROR(INDEX(Product_Master!$B$2:$B$9,MATCH(E490,Product_Master!$A$2:$A$9,0)),"UNMATCHED")</f>
        <v>Dishwash Gel</v>
      </c>
      <c r="J490" s="42" t="n">
        <f aca="false">IFERROR(INDEX(Calendar!$B$2:$B$25,MATCH(B490,Calendar!$A$2:$A$25,0)),0)</f>
        <v>2026</v>
      </c>
      <c r="K490" s="42" t="n">
        <f aca="false">IFERROR(VALUE(RIGHT(B490,2)),0)</f>
        <v>2</v>
      </c>
      <c r="L490" s="42" t="str">
        <f aca="false">IFERROR(INDEX(Calendar!$E$2:$E$25,MATCH(B490,Calendar!$A$2:$A$25,0)),"UNMATCHED")</f>
        <v>Actual</v>
      </c>
      <c r="M490" s="42" t="n">
        <f aca="false">Sales_Transactions!F490</f>
        <v>420</v>
      </c>
      <c r="N490" s="52" t="n">
        <f aca="false">Sales_Transactions!I490</f>
        <v>59732.4</v>
      </c>
      <c r="O490" s="52" t="n">
        <f aca="false">Sales_Transactions!J490</f>
        <v>34683.6</v>
      </c>
      <c r="P490" s="52" t="n">
        <f aca="false">Sales_Transactions!K490</f>
        <v>25048.8</v>
      </c>
      <c r="Q490" s="42" t="n">
        <f aca="false">IF(ISNUMBER(MATCH(E490,Product_Master!$A$2:$A$9,0)),0,1)</f>
        <v>0</v>
      </c>
      <c r="R490" s="42" t="n">
        <f aca="false">IF(ISNUMBER(MATCH(D490,Customer_Master!$A$2:$A$49,0)),0,1)</f>
        <v>0</v>
      </c>
      <c r="S490" s="42" t="n">
        <f aca="false">IF(ISNUMBER(MATCH(B490,Calendar!$A$2:$A$25,0)),0,1)</f>
        <v>0</v>
      </c>
      <c r="T490" s="42" t="n">
        <f aca="false">IF(COUNTIF(Sales_Transactions!$A$2:$A$865,A490)&gt;1,1,0)</f>
        <v>0</v>
      </c>
      <c r="U490" s="42" t="n">
        <f aca="false">IF(OR(ABS(Sales_Transactions!F490*Sales_Transactions!G490-Sales_Transactions!I490)&gt;0.01,ABS(Sales_Transactions!F490*Sales_Transactions!H490-Sales_Transactions!J490)&gt;0.01,ABS(Sales_Transactions!I490-Sales_Transactions!J490-Sales_Transactions!K490)&gt;0.01),1,0)</f>
        <v>0</v>
      </c>
      <c r="V490" s="42" t="n">
        <f aca="false">IF(C490&lt;&gt;L490,1,0)</f>
        <v>0</v>
      </c>
      <c r="W490" s="42" t="n">
        <f aca="false">IF(SUM(Q490:V490)&gt;0,1,0)</f>
        <v>0</v>
      </c>
    </row>
    <row r="491" customFormat="false" ht="15" hidden="false" customHeight="false" outlineLevel="0" collapsed="false">
      <c r="A491" s="42" t="str">
        <f aca="false">Sales_Transactions!A491</f>
        <v>INV-14-022</v>
      </c>
      <c r="B491" s="42" t="str">
        <f aca="false">Sales_Transactions!B491</f>
        <v>2026-02</v>
      </c>
      <c r="C491" s="42" t="str">
        <f aca="false">Sales_Transactions!C491</f>
        <v>Actual</v>
      </c>
      <c r="D491" s="42" t="str">
        <f aca="false">Sales_Transactions!D491</f>
        <v>C043</v>
      </c>
      <c r="E491" s="42" t="str">
        <f aca="false">Sales_Transactions!E491</f>
        <v>P007</v>
      </c>
      <c r="F491" s="42" t="str">
        <f aca="false">IFERROR(INDEX(Customer_Master!$C$2:$C$49,MATCH(D491,Customer_Master!$A$2:$A$49,0)),"UNMATCHED")</f>
        <v>West</v>
      </c>
      <c r="G491" s="42" t="str">
        <f aca="false">IFERROR(INDEX(Customer_Master!$D$2:$D$49,MATCH(D491,Customer_Master!$A$2:$A$49,0)),"UNMATCHED")</f>
        <v>Distributor</v>
      </c>
      <c r="H491" s="42" t="str">
        <f aca="false">IFERROR(INDEX(Product_Master!$C$2:$C$9,MATCH(E491,Product_Master!$A$2:$A$9,0)),"UNMATCHED")</f>
        <v>Home Care</v>
      </c>
      <c r="I491" s="42" t="str">
        <f aca="false">IFERROR(INDEX(Product_Master!$B$2:$B$9,MATCH(E491,Product_Master!$A$2:$A$9,0)),"UNMATCHED")</f>
        <v>Floor Cleaner</v>
      </c>
      <c r="J491" s="42" t="n">
        <f aca="false">IFERROR(INDEX(Calendar!$B$2:$B$25,MATCH(B491,Calendar!$A$2:$A$25,0)),0)</f>
        <v>2026</v>
      </c>
      <c r="K491" s="42" t="n">
        <f aca="false">IFERROR(VALUE(RIGHT(B491,2)),0)</f>
        <v>2</v>
      </c>
      <c r="L491" s="42" t="str">
        <f aca="false">IFERROR(INDEX(Calendar!$E$2:$E$25,MATCH(B491,Calendar!$A$2:$A$25,0)),"UNMATCHED")</f>
        <v>Actual</v>
      </c>
      <c r="M491" s="42" t="n">
        <f aca="false">Sales_Transactions!F491</f>
        <v>389</v>
      </c>
      <c r="N491" s="52" t="n">
        <f aca="false">Sales_Transactions!I491</f>
        <v>72591.29</v>
      </c>
      <c r="O491" s="52" t="n">
        <f aca="false">Sales_Transactions!J491</f>
        <v>42268.74</v>
      </c>
      <c r="P491" s="52" t="n">
        <f aca="false">Sales_Transactions!K491</f>
        <v>30322.55</v>
      </c>
      <c r="Q491" s="42" t="n">
        <f aca="false">IF(ISNUMBER(MATCH(E491,Product_Master!$A$2:$A$9,0)),0,1)</f>
        <v>0</v>
      </c>
      <c r="R491" s="42" t="n">
        <f aca="false">IF(ISNUMBER(MATCH(D491,Customer_Master!$A$2:$A$49,0)),0,1)</f>
        <v>0</v>
      </c>
      <c r="S491" s="42" t="n">
        <f aca="false">IF(ISNUMBER(MATCH(B491,Calendar!$A$2:$A$25,0)),0,1)</f>
        <v>0</v>
      </c>
      <c r="T491" s="42" t="n">
        <f aca="false">IF(COUNTIF(Sales_Transactions!$A$2:$A$865,A491)&gt;1,1,0)</f>
        <v>0</v>
      </c>
      <c r="U491" s="42" t="n">
        <f aca="false">IF(OR(ABS(Sales_Transactions!F491*Sales_Transactions!G491-Sales_Transactions!I491)&gt;0.01,ABS(Sales_Transactions!F491*Sales_Transactions!H491-Sales_Transactions!J491)&gt;0.01,ABS(Sales_Transactions!I491-Sales_Transactions!J491-Sales_Transactions!K491)&gt;0.01),1,0)</f>
        <v>0</v>
      </c>
      <c r="V491" s="42" t="n">
        <f aca="false">IF(C491&lt;&gt;L491,1,0)</f>
        <v>0</v>
      </c>
      <c r="W491" s="42" t="n">
        <f aca="false">IF(SUM(Q491:V491)&gt;0,1,0)</f>
        <v>0</v>
      </c>
    </row>
    <row r="492" customFormat="false" ht="15" hidden="false" customHeight="false" outlineLevel="0" collapsed="false">
      <c r="A492" s="42" t="str">
        <f aca="false">Sales_Transactions!A492</f>
        <v>INV-14-023</v>
      </c>
      <c r="B492" s="42" t="str">
        <f aca="false">Sales_Transactions!B492</f>
        <v>2026-02</v>
      </c>
      <c r="C492" s="42" t="str">
        <f aca="false">Sales_Transactions!C492</f>
        <v>Actual</v>
      </c>
      <c r="D492" s="42" t="str">
        <f aca="false">Sales_Transactions!D492</f>
        <v>C002</v>
      </c>
      <c r="E492" s="42" t="str">
        <f aca="false">Sales_Transactions!E492</f>
        <v>P004</v>
      </c>
      <c r="F492" s="42" t="str">
        <f aca="false">IFERROR(INDEX(Customer_Master!$C$2:$C$49,MATCH(D492,Customer_Master!$A$2:$A$49,0)),"UNMATCHED")</f>
        <v>North</v>
      </c>
      <c r="G492" s="42" t="str">
        <f aca="false">IFERROR(INDEX(Customer_Master!$D$2:$D$49,MATCH(D492,Customer_Master!$A$2:$A$49,0)),"UNMATCHED")</f>
        <v>Modern Trade</v>
      </c>
      <c r="H492" s="42" t="str">
        <f aca="false">IFERROR(INDEX(Product_Master!$C$2:$C$9,MATCH(E492,Product_Master!$A$2:$A$9,0)),"UNMATCHED")</f>
        <v>Personal Care</v>
      </c>
      <c r="I492" s="42" t="str">
        <f aca="false">IFERROR(INDEX(Product_Master!$B$2:$B$9,MATCH(E492,Product_Master!$A$2:$A$9,0)),"UNMATCHED")</f>
        <v>Soap 4-pack</v>
      </c>
      <c r="J492" s="42" t="n">
        <f aca="false">IFERROR(INDEX(Calendar!$B$2:$B$25,MATCH(B492,Calendar!$A$2:$A$25,0)),0)</f>
        <v>2026</v>
      </c>
      <c r="K492" s="42" t="n">
        <f aca="false">IFERROR(VALUE(RIGHT(B492,2)),0)</f>
        <v>2</v>
      </c>
      <c r="L492" s="42" t="str">
        <f aca="false">IFERROR(INDEX(Calendar!$E$2:$E$25,MATCH(B492,Calendar!$A$2:$A$25,0)),"UNMATCHED")</f>
        <v>Actual</v>
      </c>
      <c r="M492" s="42" t="n">
        <f aca="false">Sales_Transactions!F492</f>
        <v>371</v>
      </c>
      <c r="N492" s="52" t="n">
        <f aca="false">Sales_Transactions!I492</f>
        <v>60962.72</v>
      </c>
      <c r="O492" s="52" t="n">
        <f aca="false">Sales_Transactions!J492</f>
        <v>37574.88</v>
      </c>
      <c r="P492" s="52" t="n">
        <f aca="false">Sales_Transactions!K492</f>
        <v>23387.84</v>
      </c>
      <c r="Q492" s="42" t="n">
        <f aca="false">IF(ISNUMBER(MATCH(E492,Product_Master!$A$2:$A$9,0)),0,1)</f>
        <v>0</v>
      </c>
      <c r="R492" s="42" t="n">
        <f aca="false">IF(ISNUMBER(MATCH(D492,Customer_Master!$A$2:$A$49,0)),0,1)</f>
        <v>0</v>
      </c>
      <c r="S492" s="42" t="n">
        <f aca="false">IF(ISNUMBER(MATCH(B492,Calendar!$A$2:$A$25,0)),0,1)</f>
        <v>0</v>
      </c>
      <c r="T492" s="42" t="n">
        <f aca="false">IF(COUNTIF(Sales_Transactions!$A$2:$A$865,A492)&gt;1,1,0)</f>
        <v>0</v>
      </c>
      <c r="U492" s="42" t="n">
        <f aca="false">IF(OR(ABS(Sales_Transactions!F492*Sales_Transactions!G492-Sales_Transactions!I492)&gt;0.01,ABS(Sales_Transactions!F492*Sales_Transactions!H492-Sales_Transactions!J492)&gt;0.01,ABS(Sales_Transactions!I492-Sales_Transactions!J492-Sales_Transactions!K492)&gt;0.01),1,0)</f>
        <v>0</v>
      </c>
      <c r="V492" s="42" t="n">
        <f aca="false">IF(C492&lt;&gt;L492,1,0)</f>
        <v>0</v>
      </c>
      <c r="W492" s="42" t="n">
        <f aca="false">IF(SUM(Q492:V492)&gt;0,1,0)</f>
        <v>0</v>
      </c>
    </row>
    <row r="493" customFormat="false" ht="15" hidden="false" customHeight="false" outlineLevel="0" collapsed="false">
      <c r="A493" s="42" t="str">
        <f aca="false">Sales_Transactions!A493</f>
        <v>INV-14-024</v>
      </c>
      <c r="B493" s="42" t="str">
        <f aca="false">Sales_Transactions!B493</f>
        <v>2026-02</v>
      </c>
      <c r="C493" s="42" t="str">
        <f aca="false">Sales_Transactions!C493</f>
        <v>Actual</v>
      </c>
      <c r="D493" s="42" t="str">
        <f aca="false">Sales_Transactions!D493</f>
        <v>C009</v>
      </c>
      <c r="E493" s="42" t="str">
        <f aca="false">Sales_Transactions!E493</f>
        <v>P001</v>
      </c>
      <c r="F493" s="42" t="str">
        <f aca="false">IFERROR(INDEX(Customer_Master!$C$2:$C$49,MATCH(D493,Customer_Master!$A$2:$A$49,0)),"UNMATCHED")</f>
        <v>South</v>
      </c>
      <c r="G493" s="42" t="str">
        <f aca="false">IFERROR(INDEX(Customer_Master!$D$2:$D$49,MATCH(D493,Customer_Master!$A$2:$A$49,0)),"UNMATCHED")</f>
        <v>Retail</v>
      </c>
      <c r="H493" s="42" t="str">
        <f aca="false">IFERROR(INDEX(Product_Master!$C$2:$C$9,MATCH(E493,Product_Master!$A$2:$A$9,0)),"UNMATCHED")</f>
        <v>Home Care</v>
      </c>
      <c r="I493" s="42" t="str">
        <f aca="false">IFERROR(INDEX(Product_Master!$B$2:$B$9,MATCH(E493,Product_Master!$A$2:$A$9,0)),"UNMATCHED")</f>
        <v>Detergent 1kg</v>
      </c>
      <c r="J493" s="42" t="n">
        <f aca="false">IFERROR(INDEX(Calendar!$B$2:$B$25,MATCH(B493,Calendar!$A$2:$A$25,0)),0)</f>
        <v>2026</v>
      </c>
      <c r="K493" s="42" t="n">
        <f aca="false">IFERROR(VALUE(RIGHT(B493,2)),0)</f>
        <v>2</v>
      </c>
      <c r="L493" s="42" t="str">
        <f aca="false">IFERROR(INDEX(Calendar!$E$2:$E$25,MATCH(B493,Calendar!$A$2:$A$25,0)),"UNMATCHED")</f>
        <v>Actual</v>
      </c>
      <c r="M493" s="42" t="n">
        <f aca="false">Sales_Transactions!F493</f>
        <v>150</v>
      </c>
      <c r="N493" s="52" t="n">
        <f aca="false">Sales_Transactions!I493</f>
        <v>30778.5</v>
      </c>
      <c r="O493" s="52" t="n">
        <f aca="false">Sales_Transactions!J493</f>
        <v>20977.5</v>
      </c>
      <c r="P493" s="52" t="n">
        <f aca="false">Sales_Transactions!K493</f>
        <v>9801</v>
      </c>
      <c r="Q493" s="42" t="n">
        <f aca="false">IF(ISNUMBER(MATCH(E493,Product_Master!$A$2:$A$9,0)),0,1)</f>
        <v>0</v>
      </c>
      <c r="R493" s="42" t="n">
        <f aca="false">IF(ISNUMBER(MATCH(D493,Customer_Master!$A$2:$A$49,0)),0,1)</f>
        <v>0</v>
      </c>
      <c r="S493" s="42" t="n">
        <f aca="false">IF(ISNUMBER(MATCH(B493,Calendar!$A$2:$A$25,0)),0,1)</f>
        <v>0</v>
      </c>
      <c r="T493" s="42" t="n">
        <f aca="false">IF(COUNTIF(Sales_Transactions!$A$2:$A$865,A493)&gt;1,1,0)</f>
        <v>0</v>
      </c>
      <c r="U493" s="42" t="n">
        <f aca="false">IF(OR(ABS(Sales_Transactions!F493*Sales_Transactions!G493-Sales_Transactions!I493)&gt;0.01,ABS(Sales_Transactions!F493*Sales_Transactions!H493-Sales_Transactions!J493)&gt;0.01,ABS(Sales_Transactions!I493-Sales_Transactions!J493-Sales_Transactions!K493)&gt;0.01),1,0)</f>
        <v>0</v>
      </c>
      <c r="V493" s="42" t="n">
        <f aca="false">IF(C493&lt;&gt;L493,1,0)</f>
        <v>0</v>
      </c>
      <c r="W493" s="42" t="n">
        <f aca="false">IF(SUM(Q493:V493)&gt;0,1,0)</f>
        <v>0</v>
      </c>
    </row>
    <row r="494" customFormat="false" ht="15" hidden="false" customHeight="false" outlineLevel="0" collapsed="false">
      <c r="A494" s="42" t="str">
        <f aca="false">Sales_Transactions!A494</f>
        <v>INV-14-025</v>
      </c>
      <c r="B494" s="42" t="str">
        <f aca="false">Sales_Transactions!B494</f>
        <v>2026-02</v>
      </c>
      <c r="C494" s="42" t="str">
        <f aca="false">Sales_Transactions!C494</f>
        <v>Actual</v>
      </c>
      <c r="D494" s="42" t="str">
        <f aca="false">Sales_Transactions!D494</f>
        <v>C016</v>
      </c>
      <c r="E494" s="42" t="str">
        <f aca="false">Sales_Transactions!E494</f>
        <v>P006</v>
      </c>
      <c r="F494" s="42" t="str">
        <f aca="false">IFERROR(INDEX(Customer_Master!$C$2:$C$49,MATCH(D494,Customer_Master!$A$2:$A$49,0)),"UNMATCHED")</f>
        <v>East</v>
      </c>
      <c r="G494" s="42" t="str">
        <f aca="false">IFERROR(INDEX(Customer_Master!$D$2:$D$49,MATCH(D494,Customer_Master!$A$2:$A$49,0)),"UNMATCHED")</f>
        <v>Distributor</v>
      </c>
      <c r="H494" s="42" t="str">
        <f aca="false">IFERROR(INDEX(Product_Master!$C$2:$C$9,MATCH(E494,Product_Master!$A$2:$A$9,0)),"UNMATCHED")</f>
        <v>Foods</v>
      </c>
      <c r="I494" s="42" t="str">
        <f aca="false">IFERROR(INDEX(Product_Master!$B$2:$B$9,MATCH(E494,Product_Master!$A$2:$A$9,0)),"UNMATCHED")</f>
        <v>Breakfast Cereal</v>
      </c>
      <c r="J494" s="42" t="n">
        <f aca="false">IFERROR(INDEX(Calendar!$B$2:$B$25,MATCH(B494,Calendar!$A$2:$A$25,0)),0)</f>
        <v>2026</v>
      </c>
      <c r="K494" s="42" t="n">
        <f aca="false">IFERROR(VALUE(RIGHT(B494,2)),0)</f>
        <v>2</v>
      </c>
      <c r="L494" s="42" t="str">
        <f aca="false">IFERROR(INDEX(Calendar!$E$2:$E$25,MATCH(B494,Calendar!$A$2:$A$25,0)),"UNMATCHED")</f>
        <v>Actual</v>
      </c>
      <c r="M494" s="42" t="n">
        <f aca="false">Sales_Transactions!F494</f>
        <v>435</v>
      </c>
      <c r="N494" s="52" t="n">
        <f aca="false">Sales_Transactions!I494</f>
        <v>111882</v>
      </c>
      <c r="O494" s="52" t="n">
        <f aca="false">Sales_Transactions!J494</f>
        <v>65906.85</v>
      </c>
      <c r="P494" s="52" t="n">
        <f aca="false">Sales_Transactions!K494</f>
        <v>45975.15</v>
      </c>
      <c r="Q494" s="42" t="n">
        <f aca="false">IF(ISNUMBER(MATCH(E494,Product_Master!$A$2:$A$9,0)),0,1)</f>
        <v>0</v>
      </c>
      <c r="R494" s="42" t="n">
        <f aca="false">IF(ISNUMBER(MATCH(D494,Customer_Master!$A$2:$A$49,0)),0,1)</f>
        <v>0</v>
      </c>
      <c r="S494" s="42" t="n">
        <f aca="false">IF(ISNUMBER(MATCH(B494,Calendar!$A$2:$A$25,0)),0,1)</f>
        <v>0</v>
      </c>
      <c r="T494" s="42" t="n">
        <f aca="false">IF(COUNTIF(Sales_Transactions!$A$2:$A$865,A494)&gt;1,1,0)</f>
        <v>0</v>
      </c>
      <c r="U494" s="42" t="n">
        <f aca="false">IF(OR(ABS(Sales_Transactions!F494*Sales_Transactions!G494-Sales_Transactions!I494)&gt;0.01,ABS(Sales_Transactions!F494*Sales_Transactions!H494-Sales_Transactions!J494)&gt;0.01,ABS(Sales_Transactions!I494-Sales_Transactions!J494-Sales_Transactions!K494)&gt;0.01),1,0)</f>
        <v>0</v>
      </c>
      <c r="V494" s="42" t="n">
        <f aca="false">IF(C494&lt;&gt;L494,1,0)</f>
        <v>0</v>
      </c>
      <c r="W494" s="42" t="n">
        <f aca="false">IF(SUM(Q494:V494)&gt;0,1,0)</f>
        <v>0</v>
      </c>
    </row>
    <row r="495" customFormat="false" ht="15" hidden="false" customHeight="false" outlineLevel="0" collapsed="false">
      <c r="A495" s="42" t="str">
        <f aca="false">Sales_Transactions!A495</f>
        <v>INV-14-026</v>
      </c>
      <c r="B495" s="42" t="str">
        <f aca="false">Sales_Transactions!B495</f>
        <v>2026-02</v>
      </c>
      <c r="C495" s="42" t="str">
        <f aca="false">Sales_Transactions!C495</f>
        <v>Actual</v>
      </c>
      <c r="D495" s="42" t="str">
        <f aca="false">Sales_Transactions!D495</f>
        <v>C023</v>
      </c>
      <c r="E495" s="42" t="str">
        <f aca="false">Sales_Transactions!E495</f>
        <v>P003</v>
      </c>
      <c r="F495" s="42" t="str">
        <f aca="false">IFERROR(INDEX(Customer_Master!$C$2:$C$49,MATCH(D495,Customer_Master!$A$2:$A$49,0)),"UNMATCHED")</f>
        <v>West</v>
      </c>
      <c r="G495" s="42" t="str">
        <f aca="false">IFERROR(INDEX(Customer_Master!$D$2:$D$49,MATCH(D495,Customer_Master!$A$2:$A$49,0)),"UNMATCHED")</f>
        <v>Modern Trade</v>
      </c>
      <c r="H495" s="42" t="str">
        <f aca="false">IFERROR(INDEX(Product_Master!$C$2:$C$9,MATCH(E495,Product_Master!$A$2:$A$9,0)),"UNMATCHED")</f>
        <v>Personal Care</v>
      </c>
      <c r="I495" s="42" t="str">
        <f aca="false">IFERROR(INDEX(Product_Master!$B$2:$B$9,MATCH(E495,Product_Master!$A$2:$A$9,0)),"UNMATCHED")</f>
        <v>Shampoo 400ml</v>
      </c>
      <c r="J495" s="42" t="n">
        <f aca="false">IFERROR(INDEX(Calendar!$B$2:$B$25,MATCH(B495,Calendar!$A$2:$A$25,0)),0)</f>
        <v>2026</v>
      </c>
      <c r="K495" s="42" t="n">
        <f aca="false">IFERROR(VALUE(RIGHT(B495,2)),0)</f>
        <v>2</v>
      </c>
      <c r="L495" s="42" t="str">
        <f aca="false">IFERROR(INDEX(Calendar!$E$2:$E$25,MATCH(B495,Calendar!$A$2:$A$25,0)),"UNMATCHED")</f>
        <v>Actual</v>
      </c>
      <c r="M495" s="42" t="n">
        <f aca="false">Sales_Transactions!F495</f>
        <v>428</v>
      </c>
      <c r="N495" s="52" t="n">
        <f aca="false">Sales_Transactions!I495</f>
        <v>113253.08</v>
      </c>
      <c r="O495" s="52" t="n">
        <f aca="false">Sales_Transactions!J495</f>
        <v>73436.24</v>
      </c>
      <c r="P495" s="52" t="n">
        <f aca="false">Sales_Transactions!K495</f>
        <v>39816.84</v>
      </c>
      <c r="Q495" s="42" t="n">
        <f aca="false">IF(ISNUMBER(MATCH(E495,Product_Master!$A$2:$A$9,0)),0,1)</f>
        <v>0</v>
      </c>
      <c r="R495" s="42" t="n">
        <f aca="false">IF(ISNUMBER(MATCH(D495,Customer_Master!$A$2:$A$49,0)),0,1)</f>
        <v>0</v>
      </c>
      <c r="S495" s="42" t="n">
        <f aca="false">IF(ISNUMBER(MATCH(B495,Calendar!$A$2:$A$25,0)),0,1)</f>
        <v>0</v>
      </c>
      <c r="T495" s="42" t="n">
        <f aca="false">IF(COUNTIF(Sales_Transactions!$A$2:$A$865,A495)&gt;1,1,0)</f>
        <v>0</v>
      </c>
      <c r="U495" s="42" t="n">
        <f aca="false">IF(OR(ABS(Sales_Transactions!F495*Sales_Transactions!G495-Sales_Transactions!I495)&gt;0.01,ABS(Sales_Transactions!F495*Sales_Transactions!H495-Sales_Transactions!J495)&gt;0.01,ABS(Sales_Transactions!I495-Sales_Transactions!J495-Sales_Transactions!K495)&gt;0.01),1,0)</f>
        <v>0</v>
      </c>
      <c r="V495" s="42" t="n">
        <f aca="false">IF(C495&lt;&gt;L495,1,0)</f>
        <v>0</v>
      </c>
      <c r="W495" s="42" t="n">
        <f aca="false">IF(SUM(Q495:V495)&gt;0,1,0)</f>
        <v>0</v>
      </c>
    </row>
    <row r="496" customFormat="false" ht="15" hidden="false" customHeight="false" outlineLevel="0" collapsed="false">
      <c r="A496" s="42" t="str">
        <f aca="false">Sales_Transactions!A496</f>
        <v>INV-14-027</v>
      </c>
      <c r="B496" s="42" t="str">
        <f aca="false">Sales_Transactions!B496</f>
        <v>2026-02</v>
      </c>
      <c r="C496" s="42" t="str">
        <f aca="false">Sales_Transactions!C496</f>
        <v>Actual</v>
      </c>
      <c r="D496" s="42" t="str">
        <f aca="false">Sales_Transactions!D496</f>
        <v>C030</v>
      </c>
      <c r="E496" s="42" t="str">
        <f aca="false">Sales_Transactions!E496</f>
        <v>P008</v>
      </c>
      <c r="F496" s="42" t="str">
        <f aca="false">IFERROR(INDEX(Customer_Master!$C$2:$C$49,MATCH(D496,Customer_Master!$A$2:$A$49,0)),"UNMATCHED")</f>
        <v>North</v>
      </c>
      <c r="G496" s="42" t="str">
        <f aca="false">IFERROR(INDEX(Customer_Master!$D$2:$D$49,MATCH(D496,Customer_Master!$A$2:$A$49,0)),"UNMATCHED")</f>
        <v>Retail</v>
      </c>
      <c r="H496" s="42" t="str">
        <f aca="false">IFERROR(INDEX(Product_Master!$C$2:$C$9,MATCH(E496,Product_Master!$A$2:$A$9,0)),"UNMATCHED")</f>
        <v>Personal Care</v>
      </c>
      <c r="I496" s="42" t="str">
        <f aca="false">IFERROR(INDEX(Product_Master!$B$2:$B$9,MATCH(E496,Product_Master!$A$2:$A$9,0)),"UNMATCHED")</f>
        <v>Body Lotion</v>
      </c>
      <c r="J496" s="42" t="n">
        <f aca="false">IFERROR(INDEX(Calendar!$B$2:$B$25,MATCH(B496,Calendar!$A$2:$A$25,0)),0)</f>
        <v>2026</v>
      </c>
      <c r="K496" s="42" t="n">
        <f aca="false">IFERROR(VALUE(RIGHT(B496,2)),0)</f>
        <v>2</v>
      </c>
      <c r="L496" s="42" t="str">
        <f aca="false">IFERROR(INDEX(Calendar!$E$2:$E$25,MATCH(B496,Calendar!$A$2:$A$25,0)),"UNMATCHED")</f>
        <v>Actual</v>
      </c>
      <c r="M496" s="42" t="n">
        <f aca="false">Sales_Transactions!F496</f>
        <v>270</v>
      </c>
      <c r="N496" s="52" t="n">
        <f aca="false">Sales_Transactions!I496</f>
        <v>81621</v>
      </c>
      <c r="O496" s="52" t="n">
        <f aca="false">Sales_Transactions!J496</f>
        <v>58584.6</v>
      </c>
      <c r="P496" s="52" t="n">
        <f aca="false">Sales_Transactions!K496</f>
        <v>23036.4</v>
      </c>
      <c r="Q496" s="42" t="n">
        <f aca="false">IF(ISNUMBER(MATCH(E496,Product_Master!$A$2:$A$9,0)),0,1)</f>
        <v>0</v>
      </c>
      <c r="R496" s="42" t="n">
        <f aca="false">IF(ISNUMBER(MATCH(D496,Customer_Master!$A$2:$A$49,0)),0,1)</f>
        <v>0</v>
      </c>
      <c r="S496" s="42" t="n">
        <f aca="false">IF(ISNUMBER(MATCH(B496,Calendar!$A$2:$A$25,0)),0,1)</f>
        <v>0</v>
      </c>
      <c r="T496" s="42" t="n">
        <f aca="false">IF(COUNTIF(Sales_Transactions!$A$2:$A$865,A496)&gt;1,1,0)</f>
        <v>0</v>
      </c>
      <c r="U496" s="42" t="n">
        <f aca="false">IF(OR(ABS(Sales_Transactions!F496*Sales_Transactions!G496-Sales_Transactions!I496)&gt;0.01,ABS(Sales_Transactions!F496*Sales_Transactions!H496-Sales_Transactions!J496)&gt;0.01,ABS(Sales_Transactions!I496-Sales_Transactions!J496-Sales_Transactions!K496)&gt;0.01),1,0)</f>
        <v>0</v>
      </c>
      <c r="V496" s="42" t="n">
        <f aca="false">IF(C496&lt;&gt;L496,1,0)</f>
        <v>0</v>
      </c>
      <c r="W496" s="42" t="n">
        <f aca="false">IF(SUM(Q496:V496)&gt;0,1,0)</f>
        <v>0</v>
      </c>
    </row>
    <row r="497" customFormat="false" ht="15" hidden="false" customHeight="false" outlineLevel="0" collapsed="false">
      <c r="A497" s="42" t="str">
        <f aca="false">Sales_Transactions!A497</f>
        <v>INV-14-028</v>
      </c>
      <c r="B497" s="42" t="str">
        <f aca="false">Sales_Transactions!B497</f>
        <v>2026-02</v>
      </c>
      <c r="C497" s="42" t="str">
        <f aca="false">Sales_Transactions!C497</f>
        <v>Actual</v>
      </c>
      <c r="D497" s="42" t="str">
        <f aca="false">Sales_Transactions!D497</f>
        <v>C037</v>
      </c>
      <c r="E497" s="42" t="str">
        <f aca="false">Sales_Transactions!E497</f>
        <v>P005</v>
      </c>
      <c r="F497" s="42" t="str">
        <f aca="false">IFERROR(INDEX(Customer_Master!$C$2:$C$49,MATCH(D497,Customer_Master!$A$2:$A$49,0)),"UNMATCHED")</f>
        <v>South</v>
      </c>
      <c r="G497" s="42" t="str">
        <f aca="false">IFERROR(INDEX(Customer_Master!$D$2:$D$49,MATCH(D497,Customer_Master!$A$2:$A$49,0)),"UNMATCHED")</f>
        <v>Distributor</v>
      </c>
      <c r="H497" s="42" t="str">
        <f aca="false">IFERROR(INDEX(Product_Master!$C$2:$C$9,MATCH(E497,Product_Master!$A$2:$A$9,0)),"UNMATCHED")</f>
        <v>Foods</v>
      </c>
      <c r="I497" s="42" t="str">
        <f aca="false">IFERROR(INDEX(Product_Master!$B$2:$B$9,MATCH(E497,Product_Master!$A$2:$A$9,0)),"UNMATCHED")</f>
        <v>Biscuits 500g</v>
      </c>
      <c r="J497" s="42" t="n">
        <f aca="false">IFERROR(INDEX(Calendar!$B$2:$B$25,MATCH(B497,Calendar!$A$2:$A$25,0)),0)</f>
        <v>2026</v>
      </c>
      <c r="K497" s="42" t="n">
        <f aca="false">IFERROR(VALUE(RIGHT(B497,2)),0)</f>
        <v>2</v>
      </c>
      <c r="L497" s="42" t="str">
        <f aca="false">IFERROR(INDEX(Calendar!$E$2:$E$25,MATCH(B497,Calendar!$A$2:$A$25,0)),"UNMATCHED")</f>
        <v>Actual</v>
      </c>
      <c r="M497" s="42" t="n">
        <f aca="false">Sales_Transactions!F497</f>
        <v>259</v>
      </c>
      <c r="N497" s="52" t="n">
        <f aca="false">Sales_Transactions!I497</f>
        <v>28865.55</v>
      </c>
      <c r="O497" s="52" t="n">
        <f aca="false">Sales_Transactions!J497</f>
        <v>17671.57</v>
      </c>
      <c r="P497" s="52" t="n">
        <f aca="false">Sales_Transactions!K497</f>
        <v>11193.98</v>
      </c>
      <c r="Q497" s="42" t="n">
        <f aca="false">IF(ISNUMBER(MATCH(E497,Product_Master!$A$2:$A$9,0)),0,1)</f>
        <v>0</v>
      </c>
      <c r="R497" s="42" t="n">
        <f aca="false">IF(ISNUMBER(MATCH(D497,Customer_Master!$A$2:$A$49,0)),0,1)</f>
        <v>0</v>
      </c>
      <c r="S497" s="42" t="n">
        <f aca="false">IF(ISNUMBER(MATCH(B497,Calendar!$A$2:$A$25,0)),0,1)</f>
        <v>0</v>
      </c>
      <c r="T497" s="42" t="n">
        <f aca="false">IF(COUNTIF(Sales_Transactions!$A$2:$A$865,A497)&gt;1,1,0)</f>
        <v>0</v>
      </c>
      <c r="U497" s="42" t="n">
        <f aca="false">IF(OR(ABS(Sales_Transactions!F497*Sales_Transactions!G497-Sales_Transactions!I497)&gt;0.01,ABS(Sales_Transactions!F497*Sales_Transactions!H497-Sales_Transactions!J497)&gt;0.01,ABS(Sales_Transactions!I497-Sales_Transactions!J497-Sales_Transactions!K497)&gt;0.01),1,0)</f>
        <v>0</v>
      </c>
      <c r="V497" s="42" t="n">
        <f aca="false">IF(C497&lt;&gt;L497,1,0)</f>
        <v>0</v>
      </c>
      <c r="W497" s="42" t="n">
        <f aca="false">IF(SUM(Q497:V497)&gt;0,1,0)</f>
        <v>0</v>
      </c>
    </row>
    <row r="498" customFormat="false" ht="15" hidden="false" customHeight="false" outlineLevel="0" collapsed="false">
      <c r="A498" s="42" t="str">
        <f aca="false">Sales_Transactions!A498</f>
        <v>INV-14-029</v>
      </c>
      <c r="B498" s="42" t="str">
        <f aca="false">Sales_Transactions!B498</f>
        <v>2026-02</v>
      </c>
      <c r="C498" s="42" t="str">
        <f aca="false">Sales_Transactions!C498</f>
        <v>Actual</v>
      </c>
      <c r="D498" s="42" t="str">
        <f aca="false">Sales_Transactions!D498</f>
        <v>C044</v>
      </c>
      <c r="E498" s="42" t="str">
        <f aca="false">Sales_Transactions!E498</f>
        <v>P002</v>
      </c>
      <c r="F498" s="42" t="str">
        <f aca="false">IFERROR(INDEX(Customer_Master!$C$2:$C$49,MATCH(D498,Customer_Master!$A$2:$A$49,0)),"UNMATCHED")</f>
        <v>East</v>
      </c>
      <c r="G498" s="42" t="str">
        <f aca="false">IFERROR(INDEX(Customer_Master!$D$2:$D$49,MATCH(D498,Customer_Master!$A$2:$A$49,0)),"UNMATCHED")</f>
        <v>Modern Trade</v>
      </c>
      <c r="H498" s="42" t="str">
        <f aca="false">IFERROR(INDEX(Product_Master!$C$2:$C$9,MATCH(E498,Product_Master!$A$2:$A$9,0)),"UNMATCHED")</f>
        <v>Home Care</v>
      </c>
      <c r="I498" s="42" t="str">
        <f aca="false">IFERROR(INDEX(Product_Master!$B$2:$B$9,MATCH(E498,Product_Master!$A$2:$A$9,0)),"UNMATCHED")</f>
        <v>Dishwash Gel</v>
      </c>
      <c r="J498" s="42" t="n">
        <f aca="false">IFERROR(INDEX(Calendar!$B$2:$B$25,MATCH(B498,Calendar!$A$2:$A$25,0)),0)</f>
        <v>2026</v>
      </c>
      <c r="K498" s="42" t="n">
        <f aca="false">IFERROR(VALUE(RIGHT(B498,2)),0)</f>
        <v>2</v>
      </c>
      <c r="L498" s="42" t="str">
        <f aca="false">IFERROR(INDEX(Calendar!$E$2:$E$25,MATCH(B498,Calendar!$A$2:$A$25,0)),"UNMATCHED")</f>
        <v>Actual</v>
      </c>
      <c r="M498" s="42" t="n">
        <f aca="false">Sales_Transactions!F498</f>
        <v>200</v>
      </c>
      <c r="N498" s="52" t="n">
        <f aca="false">Sales_Transactions!I498</f>
        <v>29580</v>
      </c>
      <c r="O498" s="52" t="n">
        <f aca="false">Sales_Transactions!J498</f>
        <v>16048</v>
      </c>
      <c r="P498" s="52" t="n">
        <f aca="false">Sales_Transactions!K498</f>
        <v>13532</v>
      </c>
      <c r="Q498" s="42" t="n">
        <f aca="false">IF(ISNUMBER(MATCH(E498,Product_Master!$A$2:$A$9,0)),0,1)</f>
        <v>0</v>
      </c>
      <c r="R498" s="42" t="n">
        <f aca="false">IF(ISNUMBER(MATCH(D498,Customer_Master!$A$2:$A$49,0)),0,1)</f>
        <v>0</v>
      </c>
      <c r="S498" s="42" t="n">
        <f aca="false">IF(ISNUMBER(MATCH(B498,Calendar!$A$2:$A$25,0)),0,1)</f>
        <v>0</v>
      </c>
      <c r="T498" s="42" t="n">
        <f aca="false">IF(COUNTIF(Sales_Transactions!$A$2:$A$865,A498)&gt;1,1,0)</f>
        <v>0</v>
      </c>
      <c r="U498" s="42" t="n">
        <f aca="false">IF(OR(ABS(Sales_Transactions!F498*Sales_Transactions!G498-Sales_Transactions!I498)&gt;0.01,ABS(Sales_Transactions!F498*Sales_Transactions!H498-Sales_Transactions!J498)&gt;0.01,ABS(Sales_Transactions!I498-Sales_Transactions!J498-Sales_Transactions!K498)&gt;0.01),1,0)</f>
        <v>0</v>
      </c>
      <c r="V498" s="42" t="n">
        <f aca="false">IF(C498&lt;&gt;L498,1,0)</f>
        <v>0</v>
      </c>
      <c r="W498" s="42" t="n">
        <f aca="false">IF(SUM(Q498:V498)&gt;0,1,0)</f>
        <v>0</v>
      </c>
    </row>
    <row r="499" customFormat="false" ht="15" hidden="false" customHeight="false" outlineLevel="0" collapsed="false">
      <c r="A499" s="42" t="str">
        <f aca="false">Sales_Transactions!A499</f>
        <v>INV-14-030</v>
      </c>
      <c r="B499" s="42" t="str">
        <f aca="false">Sales_Transactions!B499</f>
        <v>2026-02</v>
      </c>
      <c r="C499" s="42" t="str">
        <f aca="false">Sales_Transactions!C499</f>
        <v>Actual</v>
      </c>
      <c r="D499" s="42" t="str">
        <f aca="false">Sales_Transactions!D499</f>
        <v>C003</v>
      </c>
      <c r="E499" s="42" t="str">
        <f aca="false">Sales_Transactions!E499</f>
        <v>P007</v>
      </c>
      <c r="F499" s="42" t="str">
        <f aca="false">IFERROR(INDEX(Customer_Master!$C$2:$C$49,MATCH(D499,Customer_Master!$A$2:$A$49,0)),"UNMATCHED")</f>
        <v>West</v>
      </c>
      <c r="G499" s="42" t="str">
        <f aca="false">IFERROR(INDEX(Customer_Master!$D$2:$D$49,MATCH(D499,Customer_Master!$A$2:$A$49,0)),"UNMATCHED")</f>
        <v>Retail</v>
      </c>
      <c r="H499" s="42" t="str">
        <f aca="false">IFERROR(INDEX(Product_Master!$C$2:$C$9,MATCH(E499,Product_Master!$A$2:$A$9,0)),"UNMATCHED")</f>
        <v>Home Care</v>
      </c>
      <c r="I499" s="42" t="str">
        <f aca="false">IFERROR(INDEX(Product_Master!$B$2:$B$9,MATCH(E499,Product_Master!$A$2:$A$9,0)),"UNMATCHED")</f>
        <v>Floor Cleaner</v>
      </c>
      <c r="J499" s="42" t="n">
        <f aca="false">IFERROR(INDEX(Calendar!$B$2:$B$25,MATCH(B499,Calendar!$A$2:$A$25,0)),0)</f>
        <v>2026</v>
      </c>
      <c r="K499" s="42" t="n">
        <f aca="false">IFERROR(VALUE(RIGHT(B499,2)),0)</f>
        <v>2</v>
      </c>
      <c r="L499" s="42" t="str">
        <f aca="false">IFERROR(INDEX(Calendar!$E$2:$E$25,MATCH(B499,Calendar!$A$2:$A$25,0)),"UNMATCHED")</f>
        <v>Actual</v>
      </c>
      <c r="M499" s="42" t="n">
        <f aca="false">Sales_Transactions!F499</f>
        <v>236</v>
      </c>
      <c r="N499" s="52" t="n">
        <f aca="false">Sales_Transactions!I499</f>
        <v>44830.56</v>
      </c>
      <c r="O499" s="52" t="n">
        <f aca="false">Sales_Transactions!J499</f>
        <v>25695.68</v>
      </c>
      <c r="P499" s="52" t="n">
        <f aca="false">Sales_Transactions!K499</f>
        <v>19134.88</v>
      </c>
      <c r="Q499" s="42" t="n">
        <f aca="false">IF(ISNUMBER(MATCH(E499,Product_Master!$A$2:$A$9,0)),0,1)</f>
        <v>0</v>
      </c>
      <c r="R499" s="42" t="n">
        <f aca="false">IF(ISNUMBER(MATCH(D499,Customer_Master!$A$2:$A$49,0)),0,1)</f>
        <v>0</v>
      </c>
      <c r="S499" s="42" t="n">
        <f aca="false">IF(ISNUMBER(MATCH(B499,Calendar!$A$2:$A$25,0)),0,1)</f>
        <v>0</v>
      </c>
      <c r="T499" s="42" t="n">
        <f aca="false">IF(COUNTIF(Sales_Transactions!$A$2:$A$865,A499)&gt;1,1,0)</f>
        <v>0</v>
      </c>
      <c r="U499" s="42" t="n">
        <f aca="false">IF(OR(ABS(Sales_Transactions!F499*Sales_Transactions!G499-Sales_Transactions!I499)&gt;0.01,ABS(Sales_Transactions!F499*Sales_Transactions!H499-Sales_Transactions!J499)&gt;0.01,ABS(Sales_Transactions!I499-Sales_Transactions!J499-Sales_Transactions!K499)&gt;0.01),1,0)</f>
        <v>0</v>
      </c>
      <c r="V499" s="42" t="n">
        <f aca="false">IF(C499&lt;&gt;L499,1,0)</f>
        <v>0</v>
      </c>
      <c r="W499" s="42" t="n">
        <f aca="false">IF(SUM(Q499:V499)&gt;0,1,0)</f>
        <v>0</v>
      </c>
    </row>
    <row r="500" customFormat="false" ht="15" hidden="false" customHeight="false" outlineLevel="0" collapsed="false">
      <c r="A500" s="42" t="str">
        <f aca="false">Sales_Transactions!A500</f>
        <v>INV-14-031</v>
      </c>
      <c r="B500" s="42" t="str">
        <f aca="false">Sales_Transactions!B500</f>
        <v>2026-02</v>
      </c>
      <c r="C500" s="42" t="str">
        <f aca="false">Sales_Transactions!C500</f>
        <v>Actual</v>
      </c>
      <c r="D500" s="42" t="str">
        <f aca="false">Sales_Transactions!D500</f>
        <v>C010</v>
      </c>
      <c r="E500" s="42" t="str">
        <f aca="false">Sales_Transactions!E500</f>
        <v>P004</v>
      </c>
      <c r="F500" s="42" t="str">
        <f aca="false">IFERROR(INDEX(Customer_Master!$C$2:$C$49,MATCH(D500,Customer_Master!$A$2:$A$49,0)),"UNMATCHED")</f>
        <v>North</v>
      </c>
      <c r="G500" s="42" t="str">
        <f aca="false">IFERROR(INDEX(Customer_Master!$D$2:$D$49,MATCH(D500,Customer_Master!$A$2:$A$49,0)),"UNMATCHED")</f>
        <v>Distributor</v>
      </c>
      <c r="H500" s="42" t="str">
        <f aca="false">IFERROR(INDEX(Product_Master!$C$2:$C$9,MATCH(E500,Product_Master!$A$2:$A$9,0)),"UNMATCHED")</f>
        <v>Personal Care</v>
      </c>
      <c r="I500" s="42" t="str">
        <f aca="false">IFERROR(INDEX(Product_Master!$B$2:$B$9,MATCH(E500,Product_Master!$A$2:$A$9,0)),"UNMATCHED")</f>
        <v>Soap 4-pack</v>
      </c>
      <c r="J500" s="42" t="n">
        <f aca="false">IFERROR(INDEX(Calendar!$B$2:$B$25,MATCH(B500,Calendar!$A$2:$A$25,0)),0)</f>
        <v>2026</v>
      </c>
      <c r="K500" s="42" t="n">
        <f aca="false">IFERROR(VALUE(RIGHT(B500,2)),0)</f>
        <v>2</v>
      </c>
      <c r="L500" s="42" t="str">
        <f aca="false">IFERROR(INDEX(Calendar!$E$2:$E$25,MATCH(B500,Calendar!$A$2:$A$25,0)),"UNMATCHED")</f>
        <v>Actual</v>
      </c>
      <c r="M500" s="42" t="n">
        <f aca="false">Sales_Transactions!F500</f>
        <v>361</v>
      </c>
      <c r="N500" s="52" t="n">
        <f aca="false">Sales_Transactions!I500</f>
        <v>63084.75</v>
      </c>
      <c r="O500" s="52" t="n">
        <f aca="false">Sales_Transactions!J500</f>
        <v>36944.74</v>
      </c>
      <c r="P500" s="52" t="n">
        <f aca="false">Sales_Transactions!K500</f>
        <v>26140.01</v>
      </c>
      <c r="Q500" s="42" t="n">
        <f aca="false">IF(ISNUMBER(MATCH(E500,Product_Master!$A$2:$A$9,0)),0,1)</f>
        <v>0</v>
      </c>
      <c r="R500" s="42" t="n">
        <f aca="false">IF(ISNUMBER(MATCH(D500,Customer_Master!$A$2:$A$49,0)),0,1)</f>
        <v>0</v>
      </c>
      <c r="S500" s="42" t="n">
        <f aca="false">IF(ISNUMBER(MATCH(B500,Calendar!$A$2:$A$25,0)),0,1)</f>
        <v>0</v>
      </c>
      <c r="T500" s="42" t="n">
        <f aca="false">IF(COUNTIF(Sales_Transactions!$A$2:$A$865,A500)&gt;1,1,0)</f>
        <v>0</v>
      </c>
      <c r="U500" s="42" t="n">
        <f aca="false">IF(OR(ABS(Sales_Transactions!F500*Sales_Transactions!G500-Sales_Transactions!I500)&gt;0.01,ABS(Sales_Transactions!F500*Sales_Transactions!H500-Sales_Transactions!J500)&gt;0.01,ABS(Sales_Transactions!I500-Sales_Transactions!J500-Sales_Transactions!K500)&gt;0.01),1,0)</f>
        <v>0</v>
      </c>
      <c r="V500" s="42" t="n">
        <f aca="false">IF(C500&lt;&gt;L500,1,0)</f>
        <v>0</v>
      </c>
      <c r="W500" s="42" t="n">
        <f aca="false">IF(SUM(Q500:V500)&gt;0,1,0)</f>
        <v>0</v>
      </c>
    </row>
    <row r="501" customFormat="false" ht="15" hidden="false" customHeight="false" outlineLevel="0" collapsed="false">
      <c r="A501" s="42" t="str">
        <f aca="false">Sales_Transactions!A501</f>
        <v>INV-14-032</v>
      </c>
      <c r="B501" s="42" t="str">
        <f aca="false">Sales_Transactions!B501</f>
        <v>2026-02</v>
      </c>
      <c r="C501" s="42" t="str">
        <f aca="false">Sales_Transactions!C501</f>
        <v>Actual</v>
      </c>
      <c r="D501" s="42" t="str">
        <f aca="false">Sales_Transactions!D501</f>
        <v>C017</v>
      </c>
      <c r="E501" s="42" t="str">
        <f aca="false">Sales_Transactions!E501</f>
        <v>P001</v>
      </c>
      <c r="F501" s="42" t="str">
        <f aca="false">IFERROR(INDEX(Customer_Master!$C$2:$C$49,MATCH(D501,Customer_Master!$A$2:$A$49,0)),"UNMATCHED")</f>
        <v>South</v>
      </c>
      <c r="G501" s="42" t="str">
        <f aca="false">IFERROR(INDEX(Customer_Master!$D$2:$D$49,MATCH(D501,Customer_Master!$A$2:$A$49,0)),"UNMATCHED")</f>
        <v>Modern Trade</v>
      </c>
      <c r="H501" s="42" t="str">
        <f aca="false">IFERROR(INDEX(Product_Master!$C$2:$C$9,MATCH(E501,Product_Master!$A$2:$A$9,0)),"UNMATCHED")</f>
        <v>Home Care</v>
      </c>
      <c r="I501" s="42" t="str">
        <f aca="false">IFERROR(INDEX(Product_Master!$B$2:$B$9,MATCH(E501,Product_Master!$A$2:$A$9,0)),"UNMATCHED")</f>
        <v>Detergent 1kg</v>
      </c>
      <c r="J501" s="42" t="n">
        <f aca="false">IFERROR(INDEX(Calendar!$B$2:$B$25,MATCH(B501,Calendar!$A$2:$A$25,0)),0)</f>
        <v>2026</v>
      </c>
      <c r="K501" s="42" t="n">
        <f aca="false">IFERROR(VALUE(RIGHT(B501,2)),0)</f>
        <v>2</v>
      </c>
      <c r="L501" s="42" t="str">
        <f aca="false">IFERROR(INDEX(Calendar!$E$2:$E$25,MATCH(B501,Calendar!$A$2:$A$25,0)),"UNMATCHED")</f>
        <v>Actual</v>
      </c>
      <c r="M501" s="42" t="n">
        <f aca="false">Sales_Transactions!F501</f>
        <v>104</v>
      </c>
      <c r="N501" s="52" t="n">
        <f aca="false">Sales_Transactions!I501</f>
        <v>21316.88</v>
      </c>
      <c r="O501" s="52" t="n">
        <f aca="false">Sales_Transactions!J501</f>
        <v>14622.4</v>
      </c>
      <c r="P501" s="52" t="n">
        <f aca="false">Sales_Transactions!K501</f>
        <v>6694.48</v>
      </c>
      <c r="Q501" s="42" t="n">
        <f aca="false">IF(ISNUMBER(MATCH(E501,Product_Master!$A$2:$A$9,0)),0,1)</f>
        <v>0</v>
      </c>
      <c r="R501" s="42" t="n">
        <f aca="false">IF(ISNUMBER(MATCH(D501,Customer_Master!$A$2:$A$49,0)),0,1)</f>
        <v>0</v>
      </c>
      <c r="S501" s="42" t="n">
        <f aca="false">IF(ISNUMBER(MATCH(B501,Calendar!$A$2:$A$25,0)),0,1)</f>
        <v>0</v>
      </c>
      <c r="T501" s="42" t="n">
        <f aca="false">IF(COUNTIF(Sales_Transactions!$A$2:$A$865,A501)&gt;1,1,0)</f>
        <v>0</v>
      </c>
      <c r="U501" s="42" t="n">
        <f aca="false">IF(OR(ABS(Sales_Transactions!F501*Sales_Transactions!G501-Sales_Transactions!I501)&gt;0.01,ABS(Sales_Transactions!F501*Sales_Transactions!H501-Sales_Transactions!J501)&gt;0.01,ABS(Sales_Transactions!I501-Sales_Transactions!J501-Sales_Transactions!K501)&gt;0.01),1,0)</f>
        <v>0</v>
      </c>
      <c r="V501" s="42" t="n">
        <f aca="false">IF(C501&lt;&gt;L501,1,0)</f>
        <v>0</v>
      </c>
      <c r="W501" s="42" t="n">
        <f aca="false">IF(SUM(Q501:V501)&gt;0,1,0)</f>
        <v>0</v>
      </c>
    </row>
    <row r="502" customFormat="false" ht="15" hidden="false" customHeight="false" outlineLevel="0" collapsed="false">
      <c r="A502" s="42" t="str">
        <f aca="false">Sales_Transactions!A502</f>
        <v>INV-14-033</v>
      </c>
      <c r="B502" s="42" t="str">
        <f aca="false">Sales_Transactions!B502</f>
        <v>2026-02</v>
      </c>
      <c r="C502" s="42" t="str">
        <f aca="false">Sales_Transactions!C502</f>
        <v>Actual</v>
      </c>
      <c r="D502" s="42" t="str">
        <f aca="false">Sales_Transactions!D502</f>
        <v>C024</v>
      </c>
      <c r="E502" s="42" t="str">
        <f aca="false">Sales_Transactions!E502</f>
        <v>P006</v>
      </c>
      <c r="F502" s="42" t="str">
        <f aca="false">IFERROR(INDEX(Customer_Master!$C$2:$C$49,MATCH(D502,Customer_Master!$A$2:$A$49,0)),"UNMATCHED")</f>
        <v>East</v>
      </c>
      <c r="G502" s="42" t="str">
        <f aca="false">IFERROR(INDEX(Customer_Master!$D$2:$D$49,MATCH(D502,Customer_Master!$A$2:$A$49,0)),"UNMATCHED")</f>
        <v>Retail</v>
      </c>
      <c r="H502" s="42" t="str">
        <f aca="false">IFERROR(INDEX(Product_Master!$C$2:$C$9,MATCH(E502,Product_Master!$A$2:$A$9,0)),"UNMATCHED")</f>
        <v>Foods</v>
      </c>
      <c r="I502" s="42" t="str">
        <f aca="false">IFERROR(INDEX(Product_Master!$B$2:$B$9,MATCH(E502,Product_Master!$A$2:$A$9,0)),"UNMATCHED")</f>
        <v>Breakfast Cereal</v>
      </c>
      <c r="J502" s="42" t="n">
        <f aca="false">IFERROR(INDEX(Calendar!$B$2:$B$25,MATCH(B502,Calendar!$A$2:$A$25,0)),0)</f>
        <v>2026</v>
      </c>
      <c r="K502" s="42" t="n">
        <f aca="false">IFERROR(VALUE(RIGHT(B502,2)),0)</f>
        <v>2</v>
      </c>
      <c r="L502" s="42" t="str">
        <f aca="false">IFERROR(INDEX(Calendar!$E$2:$E$25,MATCH(B502,Calendar!$A$2:$A$25,0)),"UNMATCHED")</f>
        <v>Actual</v>
      </c>
      <c r="M502" s="42" t="n">
        <f aca="false">Sales_Transactions!F502</f>
        <v>401</v>
      </c>
      <c r="N502" s="52" t="n">
        <f aca="false">Sales_Transactions!I502</f>
        <v>92747.29</v>
      </c>
      <c r="O502" s="52" t="n">
        <f aca="false">Sales_Transactions!J502</f>
        <v>62880.81</v>
      </c>
      <c r="P502" s="52" t="n">
        <f aca="false">Sales_Transactions!K502</f>
        <v>29866.48</v>
      </c>
      <c r="Q502" s="42" t="n">
        <f aca="false">IF(ISNUMBER(MATCH(E502,Product_Master!$A$2:$A$9,0)),0,1)</f>
        <v>0</v>
      </c>
      <c r="R502" s="42" t="n">
        <f aca="false">IF(ISNUMBER(MATCH(D502,Customer_Master!$A$2:$A$49,0)),0,1)</f>
        <v>0</v>
      </c>
      <c r="S502" s="42" t="n">
        <f aca="false">IF(ISNUMBER(MATCH(B502,Calendar!$A$2:$A$25,0)),0,1)</f>
        <v>0</v>
      </c>
      <c r="T502" s="42" t="n">
        <f aca="false">IF(COUNTIF(Sales_Transactions!$A$2:$A$865,A502)&gt;1,1,0)</f>
        <v>0</v>
      </c>
      <c r="U502" s="42" t="n">
        <f aca="false">IF(OR(ABS(Sales_Transactions!F502*Sales_Transactions!G502-Sales_Transactions!I502)&gt;0.01,ABS(Sales_Transactions!F502*Sales_Transactions!H502-Sales_Transactions!J502)&gt;0.01,ABS(Sales_Transactions!I502-Sales_Transactions!J502-Sales_Transactions!K502)&gt;0.01),1,0)</f>
        <v>0</v>
      </c>
      <c r="V502" s="42" t="n">
        <f aca="false">IF(C502&lt;&gt;L502,1,0)</f>
        <v>0</v>
      </c>
      <c r="W502" s="42" t="n">
        <f aca="false">IF(SUM(Q502:V502)&gt;0,1,0)</f>
        <v>0</v>
      </c>
    </row>
    <row r="503" customFormat="false" ht="15" hidden="false" customHeight="false" outlineLevel="0" collapsed="false">
      <c r="A503" s="42" t="str">
        <f aca="false">Sales_Transactions!A503</f>
        <v>INV-14-034</v>
      </c>
      <c r="B503" s="42" t="str">
        <f aca="false">Sales_Transactions!B503</f>
        <v>2026-02</v>
      </c>
      <c r="C503" s="42" t="str">
        <f aca="false">Sales_Transactions!C503</f>
        <v>Actual</v>
      </c>
      <c r="D503" s="42" t="str">
        <f aca="false">Sales_Transactions!D503</f>
        <v>C031</v>
      </c>
      <c r="E503" s="42" t="str">
        <f aca="false">Sales_Transactions!E503</f>
        <v>P003</v>
      </c>
      <c r="F503" s="42" t="str">
        <f aca="false">IFERROR(INDEX(Customer_Master!$C$2:$C$49,MATCH(D503,Customer_Master!$A$2:$A$49,0)),"UNMATCHED")</f>
        <v>West</v>
      </c>
      <c r="G503" s="42" t="str">
        <f aca="false">IFERROR(INDEX(Customer_Master!$D$2:$D$49,MATCH(D503,Customer_Master!$A$2:$A$49,0)),"UNMATCHED")</f>
        <v>Distributor</v>
      </c>
      <c r="H503" s="42" t="str">
        <f aca="false">IFERROR(INDEX(Product_Master!$C$2:$C$9,MATCH(E503,Product_Master!$A$2:$A$9,0)),"UNMATCHED")</f>
        <v>Personal Care</v>
      </c>
      <c r="I503" s="42" t="str">
        <f aca="false">IFERROR(INDEX(Product_Master!$B$2:$B$9,MATCH(E503,Product_Master!$A$2:$A$9,0)),"UNMATCHED")</f>
        <v>Shampoo 400ml</v>
      </c>
      <c r="J503" s="42" t="n">
        <f aca="false">IFERROR(INDEX(Calendar!$B$2:$B$25,MATCH(B503,Calendar!$A$2:$A$25,0)),0)</f>
        <v>2026</v>
      </c>
      <c r="K503" s="42" t="n">
        <f aca="false">IFERROR(VALUE(RIGHT(B503,2)),0)</f>
        <v>2</v>
      </c>
      <c r="L503" s="42" t="str">
        <f aca="false">IFERROR(INDEX(Calendar!$E$2:$E$25,MATCH(B503,Calendar!$A$2:$A$25,0)),"UNMATCHED")</f>
        <v>Actual</v>
      </c>
      <c r="M503" s="42" t="n">
        <f aca="false">Sales_Transactions!F503</f>
        <v>168</v>
      </c>
      <c r="N503" s="52" t="n">
        <f aca="false">Sales_Transactions!I503</f>
        <v>42971.04</v>
      </c>
      <c r="O503" s="52" t="n">
        <f aca="false">Sales_Transactions!J503</f>
        <v>29967.84</v>
      </c>
      <c r="P503" s="52" t="n">
        <f aca="false">Sales_Transactions!K503</f>
        <v>13003.2</v>
      </c>
      <c r="Q503" s="42" t="n">
        <f aca="false">IF(ISNUMBER(MATCH(E503,Product_Master!$A$2:$A$9,0)),0,1)</f>
        <v>0</v>
      </c>
      <c r="R503" s="42" t="n">
        <f aca="false">IF(ISNUMBER(MATCH(D503,Customer_Master!$A$2:$A$49,0)),0,1)</f>
        <v>0</v>
      </c>
      <c r="S503" s="42" t="n">
        <f aca="false">IF(ISNUMBER(MATCH(B503,Calendar!$A$2:$A$25,0)),0,1)</f>
        <v>0</v>
      </c>
      <c r="T503" s="42" t="n">
        <f aca="false">IF(COUNTIF(Sales_Transactions!$A$2:$A$865,A503)&gt;1,1,0)</f>
        <v>0</v>
      </c>
      <c r="U503" s="42" t="n">
        <f aca="false">IF(OR(ABS(Sales_Transactions!F503*Sales_Transactions!G503-Sales_Transactions!I503)&gt;0.01,ABS(Sales_Transactions!F503*Sales_Transactions!H503-Sales_Transactions!J503)&gt;0.01,ABS(Sales_Transactions!I503-Sales_Transactions!J503-Sales_Transactions!K503)&gt;0.01),1,0)</f>
        <v>0</v>
      </c>
      <c r="V503" s="42" t="n">
        <f aca="false">IF(C503&lt;&gt;L503,1,0)</f>
        <v>0</v>
      </c>
      <c r="W503" s="42" t="n">
        <f aca="false">IF(SUM(Q503:V503)&gt;0,1,0)</f>
        <v>0</v>
      </c>
    </row>
    <row r="504" customFormat="false" ht="15" hidden="false" customHeight="false" outlineLevel="0" collapsed="false">
      <c r="A504" s="42" t="str">
        <f aca="false">Sales_Transactions!A504</f>
        <v>INV-14-035</v>
      </c>
      <c r="B504" s="42" t="str">
        <f aca="false">Sales_Transactions!B504</f>
        <v>2026-02</v>
      </c>
      <c r="C504" s="42" t="str">
        <f aca="false">Sales_Transactions!C504</f>
        <v>Actual</v>
      </c>
      <c r="D504" s="42" t="str">
        <f aca="false">Sales_Transactions!D504</f>
        <v>C038</v>
      </c>
      <c r="E504" s="42" t="str">
        <f aca="false">Sales_Transactions!E504</f>
        <v>P008</v>
      </c>
      <c r="F504" s="42" t="str">
        <f aca="false">IFERROR(INDEX(Customer_Master!$C$2:$C$49,MATCH(D504,Customer_Master!$A$2:$A$49,0)),"UNMATCHED")</f>
        <v>North</v>
      </c>
      <c r="G504" s="42" t="str">
        <f aca="false">IFERROR(INDEX(Customer_Master!$D$2:$D$49,MATCH(D504,Customer_Master!$A$2:$A$49,0)),"UNMATCHED")</f>
        <v>Modern Trade</v>
      </c>
      <c r="H504" s="42" t="str">
        <f aca="false">IFERROR(INDEX(Product_Master!$C$2:$C$9,MATCH(E504,Product_Master!$A$2:$A$9,0)),"UNMATCHED")</f>
        <v>Personal Care</v>
      </c>
      <c r="I504" s="42" t="str">
        <f aca="false">IFERROR(INDEX(Product_Master!$B$2:$B$9,MATCH(E504,Product_Master!$A$2:$A$9,0)),"UNMATCHED")</f>
        <v>Body Lotion</v>
      </c>
      <c r="J504" s="42" t="n">
        <f aca="false">IFERROR(INDEX(Calendar!$B$2:$B$25,MATCH(B504,Calendar!$A$2:$A$25,0)),0)</f>
        <v>2026</v>
      </c>
      <c r="K504" s="42" t="n">
        <f aca="false">IFERROR(VALUE(RIGHT(B504,2)),0)</f>
        <v>2</v>
      </c>
      <c r="L504" s="42" t="str">
        <f aca="false">IFERROR(INDEX(Calendar!$E$2:$E$25,MATCH(B504,Calendar!$A$2:$A$25,0)),"UNMATCHED")</f>
        <v>Actual</v>
      </c>
      <c r="M504" s="42" t="n">
        <f aca="false">Sales_Transactions!F504</f>
        <v>404</v>
      </c>
      <c r="N504" s="52" t="n">
        <f aca="false">Sales_Transactions!I504</f>
        <v>130665.72</v>
      </c>
      <c r="O504" s="52" t="n">
        <f aca="false">Sales_Transactions!J504</f>
        <v>79963.72</v>
      </c>
      <c r="P504" s="52" t="n">
        <f aca="false">Sales_Transactions!K504</f>
        <v>50702</v>
      </c>
      <c r="Q504" s="42" t="n">
        <f aca="false">IF(ISNUMBER(MATCH(E504,Product_Master!$A$2:$A$9,0)),0,1)</f>
        <v>0</v>
      </c>
      <c r="R504" s="42" t="n">
        <f aca="false">IF(ISNUMBER(MATCH(D504,Customer_Master!$A$2:$A$49,0)),0,1)</f>
        <v>0</v>
      </c>
      <c r="S504" s="42" t="n">
        <f aca="false">IF(ISNUMBER(MATCH(B504,Calendar!$A$2:$A$25,0)),0,1)</f>
        <v>0</v>
      </c>
      <c r="T504" s="42" t="n">
        <f aca="false">IF(COUNTIF(Sales_Transactions!$A$2:$A$865,A504)&gt;1,1,0)</f>
        <v>0</v>
      </c>
      <c r="U504" s="42" t="n">
        <f aca="false">IF(OR(ABS(Sales_Transactions!F504*Sales_Transactions!G504-Sales_Transactions!I504)&gt;0.01,ABS(Sales_Transactions!F504*Sales_Transactions!H504-Sales_Transactions!J504)&gt;0.01,ABS(Sales_Transactions!I504-Sales_Transactions!J504-Sales_Transactions!K504)&gt;0.01),1,0)</f>
        <v>0</v>
      </c>
      <c r="V504" s="42" t="n">
        <f aca="false">IF(C504&lt;&gt;L504,1,0)</f>
        <v>0</v>
      </c>
      <c r="W504" s="42" t="n">
        <f aca="false">IF(SUM(Q504:V504)&gt;0,1,0)</f>
        <v>0</v>
      </c>
    </row>
    <row r="505" customFormat="false" ht="15" hidden="false" customHeight="false" outlineLevel="0" collapsed="false">
      <c r="A505" s="42" t="str">
        <f aca="false">Sales_Transactions!A505</f>
        <v>INV-14-036</v>
      </c>
      <c r="B505" s="42" t="str">
        <f aca="false">Sales_Transactions!B505</f>
        <v>2026-02</v>
      </c>
      <c r="C505" s="42" t="str">
        <f aca="false">Sales_Transactions!C505</f>
        <v>Actual</v>
      </c>
      <c r="D505" s="42" t="str">
        <f aca="false">Sales_Transactions!D505</f>
        <v>C045</v>
      </c>
      <c r="E505" s="42" t="str">
        <f aca="false">Sales_Transactions!E505</f>
        <v>P005</v>
      </c>
      <c r="F505" s="42" t="str">
        <f aca="false">IFERROR(INDEX(Customer_Master!$C$2:$C$49,MATCH(D505,Customer_Master!$A$2:$A$49,0)),"UNMATCHED")</f>
        <v>South</v>
      </c>
      <c r="G505" s="42" t="str">
        <f aca="false">IFERROR(INDEX(Customer_Master!$D$2:$D$49,MATCH(D505,Customer_Master!$A$2:$A$49,0)),"UNMATCHED")</f>
        <v>Retail</v>
      </c>
      <c r="H505" s="42" t="str">
        <f aca="false">IFERROR(INDEX(Product_Master!$C$2:$C$9,MATCH(E505,Product_Master!$A$2:$A$9,0)),"UNMATCHED")</f>
        <v>Foods</v>
      </c>
      <c r="I505" s="42" t="str">
        <f aca="false">IFERROR(INDEX(Product_Master!$B$2:$B$9,MATCH(E505,Product_Master!$A$2:$A$9,0)),"UNMATCHED")</f>
        <v>Biscuits 500g</v>
      </c>
      <c r="J505" s="42" t="n">
        <f aca="false">IFERROR(INDEX(Calendar!$B$2:$B$25,MATCH(B505,Calendar!$A$2:$A$25,0)),0)</f>
        <v>2026</v>
      </c>
      <c r="K505" s="42" t="n">
        <f aca="false">IFERROR(VALUE(RIGHT(B505,2)),0)</f>
        <v>2</v>
      </c>
      <c r="L505" s="42" t="str">
        <f aca="false">IFERROR(INDEX(Calendar!$E$2:$E$25,MATCH(B505,Calendar!$A$2:$A$25,0)),"UNMATCHED")</f>
        <v>Actual</v>
      </c>
      <c r="M505" s="42" t="n">
        <f aca="false">Sales_Transactions!F505</f>
        <v>309</v>
      </c>
      <c r="N505" s="52" t="n">
        <f aca="false">Sales_Transactions!I505</f>
        <v>30442.68</v>
      </c>
      <c r="O505" s="52" t="n">
        <f aca="false">Sales_Transactions!J505</f>
        <v>20780.25</v>
      </c>
      <c r="P505" s="52" t="n">
        <f aca="false">Sales_Transactions!K505</f>
        <v>9662.43</v>
      </c>
      <c r="Q505" s="42" t="n">
        <f aca="false">IF(ISNUMBER(MATCH(E505,Product_Master!$A$2:$A$9,0)),0,1)</f>
        <v>0</v>
      </c>
      <c r="R505" s="42" t="n">
        <f aca="false">IF(ISNUMBER(MATCH(D505,Customer_Master!$A$2:$A$49,0)),0,1)</f>
        <v>0</v>
      </c>
      <c r="S505" s="42" t="n">
        <f aca="false">IF(ISNUMBER(MATCH(B505,Calendar!$A$2:$A$25,0)),0,1)</f>
        <v>0</v>
      </c>
      <c r="T505" s="42" t="n">
        <f aca="false">IF(COUNTIF(Sales_Transactions!$A$2:$A$865,A505)&gt;1,1,0)</f>
        <v>0</v>
      </c>
      <c r="U505" s="42" t="n">
        <f aca="false">IF(OR(ABS(Sales_Transactions!F505*Sales_Transactions!G505-Sales_Transactions!I505)&gt;0.01,ABS(Sales_Transactions!F505*Sales_Transactions!H505-Sales_Transactions!J505)&gt;0.01,ABS(Sales_Transactions!I505-Sales_Transactions!J505-Sales_Transactions!K505)&gt;0.01),1,0)</f>
        <v>0</v>
      </c>
      <c r="V505" s="42" t="n">
        <f aca="false">IF(C505&lt;&gt;L505,1,0)</f>
        <v>0</v>
      </c>
      <c r="W505" s="42" t="n">
        <f aca="false">IF(SUM(Q505:V505)&gt;0,1,0)</f>
        <v>0</v>
      </c>
    </row>
    <row r="506" customFormat="false" ht="15" hidden="false" customHeight="false" outlineLevel="0" collapsed="false">
      <c r="A506" s="42" t="str">
        <f aca="false">Sales_Transactions!A506</f>
        <v>INV-15-001</v>
      </c>
      <c r="B506" s="42" t="str">
        <f aca="false">Sales_Transactions!B506</f>
        <v>2026-03</v>
      </c>
      <c r="C506" s="42" t="str">
        <f aca="false">Sales_Transactions!C506</f>
        <v>Actual</v>
      </c>
      <c r="D506" s="42" t="str">
        <f aca="false">Sales_Transactions!D506</f>
        <v>C043</v>
      </c>
      <c r="E506" s="42" t="str">
        <f aca="false">Sales_Transactions!E506</f>
        <v>P007</v>
      </c>
      <c r="F506" s="42" t="str">
        <f aca="false">IFERROR(INDEX(Customer_Master!$C$2:$C$49,MATCH(D506,Customer_Master!$A$2:$A$49,0)),"UNMATCHED")</f>
        <v>West</v>
      </c>
      <c r="G506" s="42" t="str">
        <f aca="false">IFERROR(INDEX(Customer_Master!$D$2:$D$49,MATCH(D506,Customer_Master!$A$2:$A$49,0)),"UNMATCHED")</f>
        <v>Distributor</v>
      </c>
      <c r="H506" s="42" t="str">
        <f aca="false">IFERROR(INDEX(Product_Master!$C$2:$C$9,MATCH(E506,Product_Master!$A$2:$A$9,0)),"UNMATCHED")</f>
        <v>Home Care</v>
      </c>
      <c r="I506" s="42" t="str">
        <f aca="false">IFERROR(INDEX(Product_Master!$B$2:$B$9,MATCH(E506,Product_Master!$A$2:$A$9,0)),"UNMATCHED")</f>
        <v>Floor Cleaner</v>
      </c>
      <c r="J506" s="42" t="n">
        <f aca="false">IFERROR(INDEX(Calendar!$B$2:$B$25,MATCH(B506,Calendar!$A$2:$A$25,0)),0)</f>
        <v>2026</v>
      </c>
      <c r="K506" s="42" t="n">
        <f aca="false">IFERROR(VALUE(RIGHT(B506,2)),0)</f>
        <v>3</v>
      </c>
      <c r="L506" s="42" t="str">
        <f aca="false">IFERROR(INDEX(Calendar!$E$2:$E$25,MATCH(B506,Calendar!$A$2:$A$25,0)),"UNMATCHED")</f>
        <v>Actual</v>
      </c>
      <c r="M506" s="42" t="n">
        <f aca="false">Sales_Transactions!F506</f>
        <v>453</v>
      </c>
      <c r="N506" s="52" t="n">
        <f aca="false">Sales_Transactions!I506</f>
        <v>79261.41</v>
      </c>
      <c r="O506" s="52" t="n">
        <f aca="false">Sales_Transactions!J506</f>
        <v>51410.97</v>
      </c>
      <c r="P506" s="52" t="n">
        <f aca="false">Sales_Transactions!K506</f>
        <v>27850.44</v>
      </c>
      <c r="Q506" s="42" t="n">
        <f aca="false">IF(ISNUMBER(MATCH(E506,Product_Master!$A$2:$A$9,0)),0,1)</f>
        <v>0</v>
      </c>
      <c r="R506" s="42" t="n">
        <f aca="false">IF(ISNUMBER(MATCH(D506,Customer_Master!$A$2:$A$49,0)),0,1)</f>
        <v>0</v>
      </c>
      <c r="S506" s="42" t="n">
        <f aca="false">IF(ISNUMBER(MATCH(B506,Calendar!$A$2:$A$25,0)),0,1)</f>
        <v>0</v>
      </c>
      <c r="T506" s="42" t="n">
        <f aca="false">IF(COUNTIF(Sales_Transactions!$A$2:$A$865,A506)&gt;1,1,0)</f>
        <v>0</v>
      </c>
      <c r="U506" s="42" t="n">
        <f aca="false">IF(OR(ABS(Sales_Transactions!F506*Sales_Transactions!G506-Sales_Transactions!I506)&gt;0.01,ABS(Sales_Transactions!F506*Sales_Transactions!H506-Sales_Transactions!J506)&gt;0.01,ABS(Sales_Transactions!I506-Sales_Transactions!J506-Sales_Transactions!K506)&gt;0.01),1,0)</f>
        <v>0</v>
      </c>
      <c r="V506" s="42" t="n">
        <f aca="false">IF(C506&lt;&gt;L506,1,0)</f>
        <v>0</v>
      </c>
      <c r="W506" s="42" t="n">
        <f aca="false">IF(SUM(Q506:V506)&gt;0,1,0)</f>
        <v>0</v>
      </c>
    </row>
    <row r="507" customFormat="false" ht="15" hidden="false" customHeight="false" outlineLevel="0" collapsed="false">
      <c r="A507" s="42" t="str">
        <f aca="false">Sales_Transactions!A507</f>
        <v>INV-15-002</v>
      </c>
      <c r="B507" s="42" t="str">
        <f aca="false">Sales_Transactions!B507</f>
        <v>2026-03</v>
      </c>
      <c r="C507" s="42" t="str">
        <f aca="false">Sales_Transactions!C507</f>
        <v>Actual</v>
      </c>
      <c r="D507" s="42" t="str">
        <f aca="false">Sales_Transactions!D507</f>
        <v>C002</v>
      </c>
      <c r="E507" s="42" t="str">
        <f aca="false">Sales_Transactions!E507</f>
        <v>P004</v>
      </c>
      <c r="F507" s="42" t="str">
        <f aca="false">IFERROR(INDEX(Customer_Master!$C$2:$C$49,MATCH(D507,Customer_Master!$A$2:$A$49,0)),"UNMATCHED")</f>
        <v>North</v>
      </c>
      <c r="G507" s="42" t="str">
        <f aca="false">IFERROR(INDEX(Customer_Master!$D$2:$D$49,MATCH(D507,Customer_Master!$A$2:$A$49,0)),"UNMATCHED")</f>
        <v>Modern Trade</v>
      </c>
      <c r="H507" s="42" t="str">
        <f aca="false">IFERROR(INDEX(Product_Master!$C$2:$C$9,MATCH(E507,Product_Master!$A$2:$A$9,0)),"UNMATCHED")</f>
        <v>Personal Care</v>
      </c>
      <c r="I507" s="42" t="str">
        <f aca="false">IFERROR(INDEX(Product_Master!$B$2:$B$9,MATCH(E507,Product_Master!$A$2:$A$9,0)),"UNMATCHED")</f>
        <v>Soap 4-pack</v>
      </c>
      <c r="J507" s="42" t="n">
        <f aca="false">IFERROR(INDEX(Calendar!$B$2:$B$25,MATCH(B507,Calendar!$A$2:$A$25,0)),0)</f>
        <v>2026</v>
      </c>
      <c r="K507" s="42" t="n">
        <f aca="false">IFERROR(VALUE(RIGHT(B507,2)),0)</f>
        <v>3</v>
      </c>
      <c r="L507" s="42" t="str">
        <f aca="false">IFERROR(INDEX(Calendar!$E$2:$E$25,MATCH(B507,Calendar!$A$2:$A$25,0)),"UNMATCHED")</f>
        <v>Actual</v>
      </c>
      <c r="M507" s="42" t="n">
        <f aca="false">Sales_Transactions!F507</f>
        <v>230</v>
      </c>
      <c r="N507" s="52" t="n">
        <f aca="false">Sales_Transactions!I507</f>
        <v>39760.1</v>
      </c>
      <c r="O507" s="52" t="n">
        <f aca="false">Sales_Transactions!J507</f>
        <v>23273.7</v>
      </c>
      <c r="P507" s="52" t="n">
        <f aca="false">Sales_Transactions!K507</f>
        <v>16486.4</v>
      </c>
      <c r="Q507" s="42" t="n">
        <f aca="false">IF(ISNUMBER(MATCH(E507,Product_Master!$A$2:$A$9,0)),0,1)</f>
        <v>0</v>
      </c>
      <c r="R507" s="42" t="n">
        <f aca="false">IF(ISNUMBER(MATCH(D507,Customer_Master!$A$2:$A$49,0)),0,1)</f>
        <v>0</v>
      </c>
      <c r="S507" s="42" t="n">
        <f aca="false">IF(ISNUMBER(MATCH(B507,Calendar!$A$2:$A$25,0)),0,1)</f>
        <v>0</v>
      </c>
      <c r="T507" s="42" t="n">
        <f aca="false">IF(COUNTIF(Sales_Transactions!$A$2:$A$865,A507)&gt;1,1,0)</f>
        <v>0</v>
      </c>
      <c r="U507" s="42" t="n">
        <f aca="false">IF(OR(ABS(Sales_Transactions!F507*Sales_Transactions!G507-Sales_Transactions!I507)&gt;0.01,ABS(Sales_Transactions!F507*Sales_Transactions!H507-Sales_Transactions!J507)&gt;0.01,ABS(Sales_Transactions!I507-Sales_Transactions!J507-Sales_Transactions!K507)&gt;0.01),1,0)</f>
        <v>0</v>
      </c>
      <c r="V507" s="42" t="n">
        <f aca="false">IF(C507&lt;&gt;L507,1,0)</f>
        <v>0</v>
      </c>
      <c r="W507" s="42" t="n">
        <f aca="false">IF(SUM(Q507:V507)&gt;0,1,0)</f>
        <v>0</v>
      </c>
    </row>
    <row r="508" customFormat="false" ht="15" hidden="false" customHeight="false" outlineLevel="0" collapsed="false">
      <c r="A508" s="42" t="str">
        <f aca="false">Sales_Transactions!A508</f>
        <v>INV-15-003</v>
      </c>
      <c r="B508" s="42" t="str">
        <f aca="false">Sales_Transactions!B508</f>
        <v>2026-03</v>
      </c>
      <c r="C508" s="42" t="str">
        <f aca="false">Sales_Transactions!C508</f>
        <v>Actual</v>
      </c>
      <c r="D508" s="42" t="str">
        <f aca="false">Sales_Transactions!D508</f>
        <v>C009</v>
      </c>
      <c r="E508" s="42" t="str">
        <f aca="false">Sales_Transactions!E508</f>
        <v>P001</v>
      </c>
      <c r="F508" s="42" t="str">
        <f aca="false">IFERROR(INDEX(Customer_Master!$C$2:$C$49,MATCH(D508,Customer_Master!$A$2:$A$49,0)),"UNMATCHED")</f>
        <v>South</v>
      </c>
      <c r="G508" s="42" t="str">
        <f aca="false">IFERROR(INDEX(Customer_Master!$D$2:$D$49,MATCH(D508,Customer_Master!$A$2:$A$49,0)),"UNMATCHED")</f>
        <v>Retail</v>
      </c>
      <c r="H508" s="42" t="str">
        <f aca="false">IFERROR(INDEX(Product_Master!$C$2:$C$9,MATCH(E508,Product_Master!$A$2:$A$9,0)),"UNMATCHED")</f>
        <v>Home Care</v>
      </c>
      <c r="I508" s="42" t="str">
        <f aca="false">IFERROR(INDEX(Product_Master!$B$2:$B$9,MATCH(E508,Product_Master!$A$2:$A$9,0)),"UNMATCHED")</f>
        <v>Detergent 1kg</v>
      </c>
      <c r="J508" s="42" t="n">
        <f aca="false">IFERROR(INDEX(Calendar!$B$2:$B$25,MATCH(B508,Calendar!$A$2:$A$25,0)),0)</f>
        <v>2026</v>
      </c>
      <c r="K508" s="42" t="n">
        <f aca="false">IFERROR(VALUE(RIGHT(B508,2)),0)</f>
        <v>3</v>
      </c>
      <c r="L508" s="42" t="str">
        <f aca="false">IFERROR(INDEX(Calendar!$E$2:$E$25,MATCH(B508,Calendar!$A$2:$A$25,0)),"UNMATCHED")</f>
        <v>Actual</v>
      </c>
      <c r="M508" s="42" t="n">
        <f aca="false">Sales_Transactions!F508</f>
        <v>204</v>
      </c>
      <c r="N508" s="52" t="n">
        <f aca="false">Sales_Transactions!I508</f>
        <v>41101.92</v>
      </c>
      <c r="O508" s="52" t="n">
        <f aca="false">Sales_Transactions!J508</f>
        <v>26850.48</v>
      </c>
      <c r="P508" s="52" t="n">
        <f aca="false">Sales_Transactions!K508</f>
        <v>14251.44</v>
      </c>
      <c r="Q508" s="42" t="n">
        <f aca="false">IF(ISNUMBER(MATCH(E508,Product_Master!$A$2:$A$9,0)),0,1)</f>
        <v>0</v>
      </c>
      <c r="R508" s="42" t="n">
        <f aca="false">IF(ISNUMBER(MATCH(D508,Customer_Master!$A$2:$A$49,0)),0,1)</f>
        <v>0</v>
      </c>
      <c r="S508" s="42" t="n">
        <f aca="false">IF(ISNUMBER(MATCH(B508,Calendar!$A$2:$A$25,0)),0,1)</f>
        <v>0</v>
      </c>
      <c r="T508" s="42" t="n">
        <f aca="false">IF(COUNTIF(Sales_Transactions!$A$2:$A$865,A508)&gt;1,1,0)</f>
        <v>0</v>
      </c>
      <c r="U508" s="42" t="n">
        <f aca="false">IF(OR(ABS(Sales_Transactions!F508*Sales_Transactions!G508-Sales_Transactions!I508)&gt;0.01,ABS(Sales_Transactions!F508*Sales_Transactions!H508-Sales_Transactions!J508)&gt;0.01,ABS(Sales_Transactions!I508-Sales_Transactions!J508-Sales_Transactions!K508)&gt;0.01),1,0)</f>
        <v>0</v>
      </c>
      <c r="V508" s="42" t="n">
        <f aca="false">IF(C508&lt;&gt;L508,1,0)</f>
        <v>0</v>
      </c>
      <c r="W508" s="42" t="n">
        <f aca="false">IF(SUM(Q508:V508)&gt;0,1,0)</f>
        <v>0</v>
      </c>
    </row>
    <row r="509" customFormat="false" ht="15" hidden="false" customHeight="false" outlineLevel="0" collapsed="false">
      <c r="A509" s="42" t="str">
        <f aca="false">Sales_Transactions!A509</f>
        <v>INV-15-004</v>
      </c>
      <c r="B509" s="42" t="str">
        <f aca="false">Sales_Transactions!B509</f>
        <v>2026-03</v>
      </c>
      <c r="C509" s="42" t="str">
        <f aca="false">Sales_Transactions!C509</f>
        <v>Actual</v>
      </c>
      <c r="D509" s="42" t="str">
        <f aca="false">Sales_Transactions!D509</f>
        <v>C016</v>
      </c>
      <c r="E509" s="42" t="str">
        <f aca="false">Sales_Transactions!E509</f>
        <v>P006</v>
      </c>
      <c r="F509" s="42" t="str">
        <f aca="false">IFERROR(INDEX(Customer_Master!$C$2:$C$49,MATCH(D509,Customer_Master!$A$2:$A$49,0)),"UNMATCHED")</f>
        <v>East</v>
      </c>
      <c r="G509" s="42" t="str">
        <f aca="false">IFERROR(INDEX(Customer_Master!$D$2:$D$49,MATCH(D509,Customer_Master!$A$2:$A$49,0)),"UNMATCHED")</f>
        <v>Distributor</v>
      </c>
      <c r="H509" s="42" t="str">
        <f aca="false">IFERROR(INDEX(Product_Master!$C$2:$C$9,MATCH(E509,Product_Master!$A$2:$A$9,0)),"UNMATCHED")</f>
        <v>Foods</v>
      </c>
      <c r="I509" s="42" t="str">
        <f aca="false">IFERROR(INDEX(Product_Master!$B$2:$B$9,MATCH(E509,Product_Master!$A$2:$A$9,0)),"UNMATCHED")</f>
        <v>Breakfast Cereal</v>
      </c>
      <c r="J509" s="42" t="n">
        <f aca="false">IFERROR(INDEX(Calendar!$B$2:$B$25,MATCH(B509,Calendar!$A$2:$A$25,0)),0)</f>
        <v>2026</v>
      </c>
      <c r="K509" s="42" t="n">
        <f aca="false">IFERROR(VALUE(RIGHT(B509,2)),0)</f>
        <v>3</v>
      </c>
      <c r="L509" s="42" t="str">
        <f aca="false">IFERROR(INDEX(Calendar!$E$2:$E$25,MATCH(B509,Calendar!$A$2:$A$25,0)),"UNMATCHED")</f>
        <v>Actual</v>
      </c>
      <c r="M509" s="42" t="n">
        <f aca="false">Sales_Transactions!F509</f>
        <v>325</v>
      </c>
      <c r="N509" s="52" t="n">
        <f aca="false">Sales_Transactions!I509</f>
        <v>83499</v>
      </c>
      <c r="O509" s="52" t="n">
        <f aca="false">Sales_Transactions!J509</f>
        <v>49851.75</v>
      </c>
      <c r="P509" s="52" t="n">
        <f aca="false">Sales_Transactions!K509</f>
        <v>33647.25</v>
      </c>
      <c r="Q509" s="42" t="n">
        <f aca="false">IF(ISNUMBER(MATCH(E509,Product_Master!$A$2:$A$9,0)),0,1)</f>
        <v>0</v>
      </c>
      <c r="R509" s="42" t="n">
        <f aca="false">IF(ISNUMBER(MATCH(D509,Customer_Master!$A$2:$A$49,0)),0,1)</f>
        <v>0</v>
      </c>
      <c r="S509" s="42" t="n">
        <f aca="false">IF(ISNUMBER(MATCH(B509,Calendar!$A$2:$A$25,0)),0,1)</f>
        <v>0</v>
      </c>
      <c r="T509" s="42" t="n">
        <f aca="false">IF(COUNTIF(Sales_Transactions!$A$2:$A$865,A509)&gt;1,1,0)</f>
        <v>0</v>
      </c>
      <c r="U509" s="42" t="n">
        <f aca="false">IF(OR(ABS(Sales_Transactions!F509*Sales_Transactions!G509-Sales_Transactions!I509)&gt;0.01,ABS(Sales_Transactions!F509*Sales_Transactions!H509-Sales_Transactions!J509)&gt;0.01,ABS(Sales_Transactions!I509-Sales_Transactions!J509-Sales_Transactions!K509)&gt;0.01),1,0)</f>
        <v>0</v>
      </c>
      <c r="V509" s="42" t="n">
        <f aca="false">IF(C509&lt;&gt;L509,1,0)</f>
        <v>0</v>
      </c>
      <c r="W509" s="42" t="n">
        <f aca="false">IF(SUM(Q509:V509)&gt;0,1,0)</f>
        <v>0</v>
      </c>
    </row>
    <row r="510" customFormat="false" ht="15" hidden="false" customHeight="false" outlineLevel="0" collapsed="false">
      <c r="A510" s="42" t="str">
        <f aca="false">Sales_Transactions!A510</f>
        <v>INV-15-005</v>
      </c>
      <c r="B510" s="42" t="str">
        <f aca="false">Sales_Transactions!B510</f>
        <v>2026-03</v>
      </c>
      <c r="C510" s="42" t="str">
        <f aca="false">Sales_Transactions!C510</f>
        <v>Actual</v>
      </c>
      <c r="D510" s="42" t="str">
        <f aca="false">Sales_Transactions!D510</f>
        <v>C023</v>
      </c>
      <c r="E510" s="42" t="str">
        <f aca="false">Sales_Transactions!E510</f>
        <v>P003</v>
      </c>
      <c r="F510" s="42" t="str">
        <f aca="false">IFERROR(INDEX(Customer_Master!$C$2:$C$49,MATCH(D510,Customer_Master!$A$2:$A$49,0)),"UNMATCHED")</f>
        <v>West</v>
      </c>
      <c r="G510" s="42" t="str">
        <f aca="false">IFERROR(INDEX(Customer_Master!$D$2:$D$49,MATCH(D510,Customer_Master!$A$2:$A$49,0)),"UNMATCHED")</f>
        <v>Modern Trade</v>
      </c>
      <c r="H510" s="42" t="str">
        <f aca="false">IFERROR(INDEX(Product_Master!$C$2:$C$9,MATCH(E510,Product_Master!$A$2:$A$9,0)),"UNMATCHED")</f>
        <v>Personal Care</v>
      </c>
      <c r="I510" s="42" t="str">
        <f aca="false">IFERROR(INDEX(Product_Master!$B$2:$B$9,MATCH(E510,Product_Master!$A$2:$A$9,0)),"UNMATCHED")</f>
        <v>Shampoo 400ml</v>
      </c>
      <c r="J510" s="42" t="n">
        <f aca="false">IFERROR(INDEX(Calendar!$B$2:$B$25,MATCH(B510,Calendar!$A$2:$A$25,0)),0)</f>
        <v>2026</v>
      </c>
      <c r="K510" s="42" t="n">
        <f aca="false">IFERROR(VALUE(RIGHT(B510,2)),0)</f>
        <v>3</v>
      </c>
      <c r="L510" s="42" t="str">
        <f aca="false">IFERROR(INDEX(Calendar!$E$2:$E$25,MATCH(B510,Calendar!$A$2:$A$25,0)),"UNMATCHED")</f>
        <v>Actual</v>
      </c>
      <c r="M510" s="42" t="n">
        <f aca="false">Sales_Transactions!F510</f>
        <v>432</v>
      </c>
      <c r="N510" s="52" t="n">
        <f aca="false">Sales_Transactions!I510</f>
        <v>122549.76</v>
      </c>
      <c r="O510" s="52" t="n">
        <f aca="false">Sales_Transactions!J510</f>
        <v>79643.52</v>
      </c>
      <c r="P510" s="52" t="n">
        <f aca="false">Sales_Transactions!K510</f>
        <v>42906.24</v>
      </c>
      <c r="Q510" s="42" t="n">
        <f aca="false">IF(ISNUMBER(MATCH(E510,Product_Master!$A$2:$A$9,0)),0,1)</f>
        <v>0</v>
      </c>
      <c r="R510" s="42" t="n">
        <f aca="false">IF(ISNUMBER(MATCH(D510,Customer_Master!$A$2:$A$49,0)),0,1)</f>
        <v>0</v>
      </c>
      <c r="S510" s="42" t="n">
        <f aca="false">IF(ISNUMBER(MATCH(B510,Calendar!$A$2:$A$25,0)),0,1)</f>
        <v>0</v>
      </c>
      <c r="T510" s="42" t="n">
        <f aca="false">IF(COUNTIF(Sales_Transactions!$A$2:$A$865,A510)&gt;1,1,0)</f>
        <v>0</v>
      </c>
      <c r="U510" s="42" t="n">
        <f aca="false">IF(OR(ABS(Sales_Transactions!F510*Sales_Transactions!G510-Sales_Transactions!I510)&gt;0.01,ABS(Sales_Transactions!F510*Sales_Transactions!H510-Sales_Transactions!J510)&gt;0.01,ABS(Sales_Transactions!I510-Sales_Transactions!J510-Sales_Transactions!K510)&gt;0.01),1,0)</f>
        <v>0</v>
      </c>
      <c r="V510" s="42" t="n">
        <f aca="false">IF(C510&lt;&gt;L510,1,0)</f>
        <v>0</v>
      </c>
      <c r="W510" s="42" t="n">
        <f aca="false">IF(SUM(Q510:V510)&gt;0,1,0)</f>
        <v>0</v>
      </c>
    </row>
    <row r="511" customFormat="false" ht="15" hidden="false" customHeight="false" outlineLevel="0" collapsed="false">
      <c r="A511" s="42" t="str">
        <f aca="false">Sales_Transactions!A511</f>
        <v>INV-15-006</v>
      </c>
      <c r="B511" s="42" t="str">
        <f aca="false">Sales_Transactions!B511</f>
        <v>2026-03</v>
      </c>
      <c r="C511" s="42" t="str">
        <f aca="false">Sales_Transactions!C511</f>
        <v>Actual</v>
      </c>
      <c r="D511" s="42" t="str">
        <f aca="false">Sales_Transactions!D511</f>
        <v>C030</v>
      </c>
      <c r="E511" s="42" t="str">
        <f aca="false">Sales_Transactions!E511</f>
        <v>P008</v>
      </c>
      <c r="F511" s="42" t="str">
        <f aca="false">IFERROR(INDEX(Customer_Master!$C$2:$C$49,MATCH(D511,Customer_Master!$A$2:$A$49,0)),"UNMATCHED")</f>
        <v>North</v>
      </c>
      <c r="G511" s="42" t="str">
        <f aca="false">IFERROR(INDEX(Customer_Master!$D$2:$D$49,MATCH(D511,Customer_Master!$A$2:$A$49,0)),"UNMATCHED")</f>
        <v>Retail</v>
      </c>
      <c r="H511" s="42" t="str">
        <f aca="false">IFERROR(INDEX(Product_Master!$C$2:$C$9,MATCH(E511,Product_Master!$A$2:$A$9,0)),"UNMATCHED")</f>
        <v>Personal Care</v>
      </c>
      <c r="I511" s="42" t="str">
        <f aca="false">IFERROR(INDEX(Product_Master!$B$2:$B$9,MATCH(E511,Product_Master!$A$2:$A$9,0)),"UNMATCHED")</f>
        <v>Body Lotion</v>
      </c>
      <c r="J511" s="42" t="n">
        <f aca="false">IFERROR(INDEX(Calendar!$B$2:$B$25,MATCH(B511,Calendar!$A$2:$A$25,0)),0)</f>
        <v>2026</v>
      </c>
      <c r="K511" s="42" t="n">
        <f aca="false">IFERROR(VALUE(RIGHT(B511,2)),0)</f>
        <v>3</v>
      </c>
      <c r="L511" s="42" t="str">
        <f aca="false">IFERROR(INDEX(Calendar!$E$2:$E$25,MATCH(B511,Calendar!$A$2:$A$25,0)),"UNMATCHED")</f>
        <v>Actual</v>
      </c>
      <c r="M511" s="42" t="n">
        <f aca="false">Sales_Transactions!F511</f>
        <v>321</v>
      </c>
      <c r="N511" s="52" t="n">
        <f aca="false">Sales_Transactions!I511</f>
        <v>103284.96</v>
      </c>
      <c r="O511" s="52" t="n">
        <f aca="false">Sales_Transactions!J511</f>
        <v>68302.38</v>
      </c>
      <c r="P511" s="52" t="n">
        <f aca="false">Sales_Transactions!K511</f>
        <v>34982.58</v>
      </c>
      <c r="Q511" s="42" t="n">
        <f aca="false">IF(ISNUMBER(MATCH(E511,Product_Master!$A$2:$A$9,0)),0,1)</f>
        <v>0</v>
      </c>
      <c r="R511" s="42" t="n">
        <f aca="false">IF(ISNUMBER(MATCH(D511,Customer_Master!$A$2:$A$49,0)),0,1)</f>
        <v>0</v>
      </c>
      <c r="S511" s="42" t="n">
        <f aca="false">IF(ISNUMBER(MATCH(B511,Calendar!$A$2:$A$25,0)),0,1)</f>
        <v>0</v>
      </c>
      <c r="T511" s="42" t="n">
        <f aca="false">IF(COUNTIF(Sales_Transactions!$A$2:$A$865,A511)&gt;1,1,0)</f>
        <v>0</v>
      </c>
      <c r="U511" s="42" t="n">
        <f aca="false">IF(OR(ABS(Sales_Transactions!F511*Sales_Transactions!G511-Sales_Transactions!I511)&gt;0.01,ABS(Sales_Transactions!F511*Sales_Transactions!H511-Sales_Transactions!J511)&gt;0.01,ABS(Sales_Transactions!I511-Sales_Transactions!J511-Sales_Transactions!K511)&gt;0.01),1,0)</f>
        <v>0</v>
      </c>
      <c r="V511" s="42" t="n">
        <f aca="false">IF(C511&lt;&gt;L511,1,0)</f>
        <v>0</v>
      </c>
      <c r="W511" s="42" t="n">
        <f aca="false">IF(SUM(Q511:V511)&gt;0,1,0)</f>
        <v>0</v>
      </c>
    </row>
    <row r="512" customFormat="false" ht="15" hidden="false" customHeight="false" outlineLevel="0" collapsed="false">
      <c r="A512" s="42" t="str">
        <f aca="false">Sales_Transactions!A512</f>
        <v>INV-15-007</v>
      </c>
      <c r="B512" s="42" t="str">
        <f aca="false">Sales_Transactions!B512</f>
        <v>2026-03</v>
      </c>
      <c r="C512" s="42" t="str">
        <f aca="false">Sales_Transactions!C512</f>
        <v>Actual</v>
      </c>
      <c r="D512" s="42" t="str">
        <f aca="false">Sales_Transactions!D512</f>
        <v>C037</v>
      </c>
      <c r="E512" s="42" t="str">
        <f aca="false">Sales_Transactions!E512</f>
        <v>P005</v>
      </c>
      <c r="F512" s="42" t="str">
        <f aca="false">IFERROR(INDEX(Customer_Master!$C$2:$C$49,MATCH(D512,Customer_Master!$A$2:$A$49,0)),"UNMATCHED")</f>
        <v>South</v>
      </c>
      <c r="G512" s="42" t="str">
        <f aca="false">IFERROR(INDEX(Customer_Master!$D$2:$D$49,MATCH(D512,Customer_Master!$A$2:$A$49,0)),"UNMATCHED")</f>
        <v>Distributor</v>
      </c>
      <c r="H512" s="42" t="str">
        <f aca="false">IFERROR(INDEX(Product_Master!$C$2:$C$9,MATCH(E512,Product_Master!$A$2:$A$9,0)),"UNMATCHED")</f>
        <v>Foods</v>
      </c>
      <c r="I512" s="42" t="str">
        <f aca="false">IFERROR(INDEX(Product_Master!$B$2:$B$9,MATCH(E512,Product_Master!$A$2:$A$9,0)),"UNMATCHED")</f>
        <v>Biscuits 500g</v>
      </c>
      <c r="J512" s="42" t="n">
        <f aca="false">IFERROR(INDEX(Calendar!$B$2:$B$25,MATCH(B512,Calendar!$A$2:$A$25,0)),0)</f>
        <v>2026</v>
      </c>
      <c r="K512" s="42" t="n">
        <f aca="false">IFERROR(VALUE(RIGHT(B512,2)),0)</f>
        <v>3</v>
      </c>
      <c r="L512" s="42" t="str">
        <f aca="false">IFERROR(INDEX(Calendar!$E$2:$E$25,MATCH(B512,Calendar!$A$2:$A$25,0)),"UNMATCHED")</f>
        <v>Actual</v>
      </c>
      <c r="M512" s="42" t="n">
        <f aca="false">Sales_Transactions!F512</f>
        <v>342</v>
      </c>
      <c r="N512" s="52" t="n">
        <f aca="false">Sales_Transactions!I512</f>
        <v>36060.48</v>
      </c>
      <c r="O512" s="52" t="n">
        <f aca="false">Sales_Transactions!J512</f>
        <v>24654.78</v>
      </c>
      <c r="P512" s="52" t="n">
        <f aca="false">Sales_Transactions!K512</f>
        <v>11405.7</v>
      </c>
      <c r="Q512" s="42" t="n">
        <f aca="false">IF(ISNUMBER(MATCH(E512,Product_Master!$A$2:$A$9,0)),0,1)</f>
        <v>0</v>
      </c>
      <c r="R512" s="42" t="n">
        <f aca="false">IF(ISNUMBER(MATCH(D512,Customer_Master!$A$2:$A$49,0)),0,1)</f>
        <v>0</v>
      </c>
      <c r="S512" s="42" t="n">
        <f aca="false">IF(ISNUMBER(MATCH(B512,Calendar!$A$2:$A$25,0)),0,1)</f>
        <v>0</v>
      </c>
      <c r="T512" s="42" t="n">
        <f aca="false">IF(COUNTIF(Sales_Transactions!$A$2:$A$865,A512)&gt;1,1,0)</f>
        <v>0</v>
      </c>
      <c r="U512" s="42" t="n">
        <f aca="false">IF(OR(ABS(Sales_Transactions!F512*Sales_Transactions!G512-Sales_Transactions!I512)&gt;0.01,ABS(Sales_Transactions!F512*Sales_Transactions!H512-Sales_Transactions!J512)&gt;0.01,ABS(Sales_Transactions!I512-Sales_Transactions!J512-Sales_Transactions!K512)&gt;0.01),1,0)</f>
        <v>0</v>
      </c>
      <c r="V512" s="42" t="n">
        <f aca="false">IF(C512&lt;&gt;L512,1,0)</f>
        <v>0</v>
      </c>
      <c r="W512" s="42" t="n">
        <f aca="false">IF(SUM(Q512:V512)&gt;0,1,0)</f>
        <v>0</v>
      </c>
    </row>
    <row r="513" customFormat="false" ht="15" hidden="false" customHeight="false" outlineLevel="0" collapsed="false">
      <c r="A513" s="42" t="str">
        <f aca="false">Sales_Transactions!A513</f>
        <v>INV-15-008</v>
      </c>
      <c r="B513" s="42" t="str">
        <f aca="false">Sales_Transactions!B513</f>
        <v>2026-03</v>
      </c>
      <c r="C513" s="42" t="str">
        <f aca="false">Sales_Transactions!C513</f>
        <v>Actual</v>
      </c>
      <c r="D513" s="42" t="str">
        <f aca="false">Sales_Transactions!D513</f>
        <v>C044</v>
      </c>
      <c r="E513" s="42" t="str">
        <f aca="false">Sales_Transactions!E513</f>
        <v>P002</v>
      </c>
      <c r="F513" s="42" t="str">
        <f aca="false">IFERROR(INDEX(Customer_Master!$C$2:$C$49,MATCH(D513,Customer_Master!$A$2:$A$49,0)),"UNMATCHED")</f>
        <v>East</v>
      </c>
      <c r="G513" s="42" t="str">
        <f aca="false">IFERROR(INDEX(Customer_Master!$D$2:$D$49,MATCH(D513,Customer_Master!$A$2:$A$49,0)),"UNMATCHED")</f>
        <v>Modern Trade</v>
      </c>
      <c r="H513" s="42" t="str">
        <f aca="false">IFERROR(INDEX(Product_Master!$C$2:$C$9,MATCH(E513,Product_Master!$A$2:$A$9,0)),"UNMATCHED")</f>
        <v>Home Care</v>
      </c>
      <c r="I513" s="42" t="str">
        <f aca="false">IFERROR(INDEX(Product_Master!$B$2:$B$9,MATCH(E513,Product_Master!$A$2:$A$9,0)),"UNMATCHED")</f>
        <v>Dishwash Gel</v>
      </c>
      <c r="J513" s="42" t="n">
        <f aca="false">IFERROR(INDEX(Calendar!$B$2:$B$25,MATCH(B513,Calendar!$A$2:$A$25,0)),0)</f>
        <v>2026</v>
      </c>
      <c r="K513" s="42" t="n">
        <f aca="false">IFERROR(VALUE(RIGHT(B513,2)),0)</f>
        <v>3</v>
      </c>
      <c r="L513" s="42" t="str">
        <f aca="false">IFERROR(INDEX(Calendar!$E$2:$E$25,MATCH(B513,Calendar!$A$2:$A$25,0)),"UNMATCHED")</f>
        <v>Actual</v>
      </c>
      <c r="M513" s="42" t="n">
        <f aca="false">Sales_Transactions!F513</f>
        <v>187</v>
      </c>
      <c r="N513" s="52" t="n">
        <f aca="false">Sales_Transactions!I513</f>
        <v>26956.05</v>
      </c>
      <c r="O513" s="52" t="n">
        <f aca="false">Sales_Transactions!J513</f>
        <v>14974.96</v>
      </c>
      <c r="P513" s="52" t="n">
        <f aca="false">Sales_Transactions!K513</f>
        <v>11981.09</v>
      </c>
      <c r="Q513" s="42" t="n">
        <f aca="false">IF(ISNUMBER(MATCH(E513,Product_Master!$A$2:$A$9,0)),0,1)</f>
        <v>0</v>
      </c>
      <c r="R513" s="42" t="n">
        <f aca="false">IF(ISNUMBER(MATCH(D513,Customer_Master!$A$2:$A$49,0)),0,1)</f>
        <v>0</v>
      </c>
      <c r="S513" s="42" t="n">
        <f aca="false">IF(ISNUMBER(MATCH(B513,Calendar!$A$2:$A$25,0)),0,1)</f>
        <v>0</v>
      </c>
      <c r="T513" s="42" t="n">
        <f aca="false">IF(COUNTIF(Sales_Transactions!$A$2:$A$865,A513)&gt;1,1,0)</f>
        <v>0</v>
      </c>
      <c r="U513" s="42" t="n">
        <f aca="false">IF(OR(ABS(Sales_Transactions!F513*Sales_Transactions!G513-Sales_Transactions!I513)&gt;0.01,ABS(Sales_Transactions!F513*Sales_Transactions!H513-Sales_Transactions!J513)&gt;0.01,ABS(Sales_Transactions!I513-Sales_Transactions!J513-Sales_Transactions!K513)&gt;0.01),1,0)</f>
        <v>0</v>
      </c>
      <c r="V513" s="42" t="n">
        <f aca="false">IF(C513&lt;&gt;L513,1,0)</f>
        <v>0</v>
      </c>
      <c r="W513" s="42" t="n">
        <f aca="false">IF(SUM(Q513:V513)&gt;0,1,0)</f>
        <v>0</v>
      </c>
    </row>
    <row r="514" customFormat="false" ht="15" hidden="false" customHeight="false" outlineLevel="0" collapsed="false">
      <c r="A514" s="42" t="str">
        <f aca="false">Sales_Transactions!A514</f>
        <v>INV-15-009</v>
      </c>
      <c r="B514" s="42" t="str">
        <f aca="false">Sales_Transactions!B514</f>
        <v>2026-03</v>
      </c>
      <c r="C514" s="42" t="str">
        <f aca="false">Sales_Transactions!C514</f>
        <v>Actual</v>
      </c>
      <c r="D514" s="42" t="str">
        <f aca="false">Sales_Transactions!D514</f>
        <v>C003</v>
      </c>
      <c r="E514" s="42" t="str">
        <f aca="false">Sales_Transactions!E514</f>
        <v>P007</v>
      </c>
      <c r="F514" s="42" t="str">
        <f aca="false">IFERROR(INDEX(Customer_Master!$C$2:$C$49,MATCH(D514,Customer_Master!$A$2:$A$49,0)),"UNMATCHED")</f>
        <v>West</v>
      </c>
      <c r="G514" s="42" t="str">
        <f aca="false">IFERROR(INDEX(Customer_Master!$D$2:$D$49,MATCH(D514,Customer_Master!$A$2:$A$49,0)),"UNMATCHED")</f>
        <v>Retail</v>
      </c>
      <c r="H514" s="42" t="str">
        <f aca="false">IFERROR(INDEX(Product_Master!$C$2:$C$9,MATCH(E514,Product_Master!$A$2:$A$9,0)),"UNMATCHED")</f>
        <v>Home Care</v>
      </c>
      <c r="I514" s="42" t="str">
        <f aca="false">IFERROR(INDEX(Product_Master!$B$2:$B$9,MATCH(E514,Product_Master!$A$2:$A$9,0)),"UNMATCHED")</f>
        <v>Floor Cleaner</v>
      </c>
      <c r="J514" s="42" t="n">
        <f aca="false">IFERROR(INDEX(Calendar!$B$2:$B$25,MATCH(B514,Calendar!$A$2:$A$25,0)),0)</f>
        <v>2026</v>
      </c>
      <c r="K514" s="42" t="n">
        <f aca="false">IFERROR(VALUE(RIGHT(B514,2)),0)</f>
        <v>3</v>
      </c>
      <c r="L514" s="42" t="str">
        <f aca="false">IFERROR(INDEX(Calendar!$E$2:$E$25,MATCH(B514,Calendar!$A$2:$A$25,0)),"UNMATCHED")</f>
        <v>Actual</v>
      </c>
      <c r="M514" s="42" t="n">
        <f aca="false">Sales_Transactions!F514</f>
        <v>213</v>
      </c>
      <c r="N514" s="52" t="n">
        <f aca="false">Sales_Transactions!I514</f>
        <v>36293.07</v>
      </c>
      <c r="O514" s="52" t="n">
        <f aca="false">Sales_Transactions!J514</f>
        <v>24277.74</v>
      </c>
      <c r="P514" s="52" t="n">
        <f aca="false">Sales_Transactions!K514</f>
        <v>12015.33</v>
      </c>
      <c r="Q514" s="42" t="n">
        <f aca="false">IF(ISNUMBER(MATCH(E514,Product_Master!$A$2:$A$9,0)),0,1)</f>
        <v>0</v>
      </c>
      <c r="R514" s="42" t="n">
        <f aca="false">IF(ISNUMBER(MATCH(D514,Customer_Master!$A$2:$A$49,0)),0,1)</f>
        <v>0</v>
      </c>
      <c r="S514" s="42" t="n">
        <f aca="false">IF(ISNUMBER(MATCH(B514,Calendar!$A$2:$A$25,0)),0,1)</f>
        <v>0</v>
      </c>
      <c r="T514" s="42" t="n">
        <f aca="false">IF(COUNTIF(Sales_Transactions!$A$2:$A$865,A514)&gt;1,1,0)</f>
        <v>0</v>
      </c>
      <c r="U514" s="42" t="n">
        <f aca="false">IF(OR(ABS(Sales_Transactions!F514*Sales_Transactions!G514-Sales_Transactions!I514)&gt;0.01,ABS(Sales_Transactions!F514*Sales_Transactions!H514-Sales_Transactions!J514)&gt;0.01,ABS(Sales_Transactions!I514-Sales_Transactions!J514-Sales_Transactions!K514)&gt;0.01),1,0)</f>
        <v>0</v>
      </c>
      <c r="V514" s="42" t="n">
        <f aca="false">IF(C514&lt;&gt;L514,1,0)</f>
        <v>0</v>
      </c>
      <c r="W514" s="42" t="n">
        <f aca="false">IF(SUM(Q514:V514)&gt;0,1,0)</f>
        <v>0</v>
      </c>
    </row>
    <row r="515" customFormat="false" ht="15" hidden="false" customHeight="false" outlineLevel="0" collapsed="false">
      <c r="A515" s="42" t="str">
        <f aca="false">Sales_Transactions!A515</f>
        <v>INV-15-010</v>
      </c>
      <c r="B515" s="42" t="str">
        <f aca="false">Sales_Transactions!B515</f>
        <v>2026-03</v>
      </c>
      <c r="C515" s="42" t="str">
        <f aca="false">Sales_Transactions!C515</f>
        <v>Actual</v>
      </c>
      <c r="D515" s="42" t="str">
        <f aca="false">Sales_Transactions!D515</f>
        <v>C010</v>
      </c>
      <c r="E515" s="42" t="str">
        <f aca="false">Sales_Transactions!E515</f>
        <v>P004</v>
      </c>
      <c r="F515" s="42" t="str">
        <f aca="false">IFERROR(INDEX(Customer_Master!$C$2:$C$49,MATCH(D515,Customer_Master!$A$2:$A$49,0)),"UNMATCHED")</f>
        <v>North</v>
      </c>
      <c r="G515" s="42" t="str">
        <f aca="false">IFERROR(INDEX(Customer_Master!$D$2:$D$49,MATCH(D515,Customer_Master!$A$2:$A$49,0)),"UNMATCHED")</f>
        <v>Distributor</v>
      </c>
      <c r="H515" s="42" t="str">
        <f aca="false">IFERROR(INDEX(Product_Master!$C$2:$C$9,MATCH(E515,Product_Master!$A$2:$A$9,0)),"UNMATCHED")</f>
        <v>Personal Care</v>
      </c>
      <c r="I515" s="42" t="str">
        <f aca="false">IFERROR(INDEX(Product_Master!$B$2:$B$9,MATCH(E515,Product_Master!$A$2:$A$9,0)),"UNMATCHED")</f>
        <v>Soap 4-pack</v>
      </c>
      <c r="J515" s="42" t="n">
        <f aca="false">IFERROR(INDEX(Calendar!$B$2:$B$25,MATCH(B515,Calendar!$A$2:$A$25,0)),0)</f>
        <v>2026</v>
      </c>
      <c r="K515" s="42" t="n">
        <f aca="false">IFERROR(VALUE(RIGHT(B515,2)),0)</f>
        <v>3</v>
      </c>
      <c r="L515" s="42" t="str">
        <f aca="false">IFERROR(INDEX(Calendar!$E$2:$E$25,MATCH(B515,Calendar!$A$2:$A$25,0)),"UNMATCHED")</f>
        <v>Actual</v>
      </c>
      <c r="M515" s="42" t="n">
        <f aca="false">Sales_Transactions!F515</f>
        <v>275</v>
      </c>
      <c r="N515" s="52" t="n">
        <f aca="false">Sales_Transactions!I515</f>
        <v>46301.75</v>
      </c>
      <c r="O515" s="52" t="n">
        <f aca="false">Sales_Transactions!J515</f>
        <v>25668.5</v>
      </c>
      <c r="P515" s="52" t="n">
        <f aca="false">Sales_Transactions!K515</f>
        <v>20633.25</v>
      </c>
      <c r="Q515" s="42" t="n">
        <f aca="false">IF(ISNUMBER(MATCH(E515,Product_Master!$A$2:$A$9,0)),0,1)</f>
        <v>0</v>
      </c>
      <c r="R515" s="42" t="n">
        <f aca="false">IF(ISNUMBER(MATCH(D515,Customer_Master!$A$2:$A$49,0)),0,1)</f>
        <v>0</v>
      </c>
      <c r="S515" s="42" t="n">
        <f aca="false">IF(ISNUMBER(MATCH(B515,Calendar!$A$2:$A$25,0)),0,1)</f>
        <v>0</v>
      </c>
      <c r="T515" s="42" t="n">
        <f aca="false">IF(COUNTIF(Sales_Transactions!$A$2:$A$865,A515)&gt;1,1,0)</f>
        <v>0</v>
      </c>
      <c r="U515" s="42" t="n">
        <f aca="false">IF(OR(ABS(Sales_Transactions!F515*Sales_Transactions!G515-Sales_Transactions!I515)&gt;0.01,ABS(Sales_Transactions!F515*Sales_Transactions!H515-Sales_Transactions!J515)&gt;0.01,ABS(Sales_Transactions!I515-Sales_Transactions!J515-Sales_Transactions!K515)&gt;0.01),1,0)</f>
        <v>0</v>
      </c>
      <c r="V515" s="42" t="n">
        <f aca="false">IF(C515&lt;&gt;L515,1,0)</f>
        <v>0</v>
      </c>
      <c r="W515" s="42" t="n">
        <f aca="false">IF(SUM(Q515:V515)&gt;0,1,0)</f>
        <v>0</v>
      </c>
    </row>
    <row r="516" customFormat="false" ht="15" hidden="false" customHeight="false" outlineLevel="0" collapsed="false">
      <c r="A516" s="42" t="str">
        <f aca="false">Sales_Transactions!A516</f>
        <v>INV-15-011</v>
      </c>
      <c r="B516" s="42" t="str">
        <f aca="false">Sales_Transactions!B516</f>
        <v>2026-03</v>
      </c>
      <c r="C516" s="42" t="str">
        <f aca="false">Sales_Transactions!C516</f>
        <v>Actual</v>
      </c>
      <c r="D516" s="42" t="str">
        <f aca="false">Sales_Transactions!D516</f>
        <v>C017</v>
      </c>
      <c r="E516" s="42" t="str">
        <f aca="false">Sales_Transactions!E516</f>
        <v>P001</v>
      </c>
      <c r="F516" s="42" t="str">
        <f aca="false">IFERROR(INDEX(Customer_Master!$C$2:$C$49,MATCH(D516,Customer_Master!$A$2:$A$49,0)),"UNMATCHED")</f>
        <v>South</v>
      </c>
      <c r="G516" s="42" t="str">
        <f aca="false">IFERROR(INDEX(Customer_Master!$D$2:$D$49,MATCH(D516,Customer_Master!$A$2:$A$49,0)),"UNMATCHED")</f>
        <v>Modern Trade</v>
      </c>
      <c r="H516" s="42" t="str">
        <f aca="false">IFERROR(INDEX(Product_Master!$C$2:$C$9,MATCH(E516,Product_Master!$A$2:$A$9,0)),"UNMATCHED")</f>
        <v>Home Care</v>
      </c>
      <c r="I516" s="42" t="str">
        <f aca="false">IFERROR(INDEX(Product_Master!$B$2:$B$9,MATCH(E516,Product_Master!$A$2:$A$9,0)),"UNMATCHED")</f>
        <v>Detergent 1kg</v>
      </c>
      <c r="J516" s="42" t="n">
        <f aca="false">IFERROR(INDEX(Calendar!$B$2:$B$25,MATCH(B516,Calendar!$A$2:$A$25,0)),0)</f>
        <v>2026</v>
      </c>
      <c r="K516" s="42" t="n">
        <f aca="false">IFERROR(VALUE(RIGHT(B516,2)),0)</f>
        <v>3</v>
      </c>
      <c r="L516" s="42" t="str">
        <f aca="false">IFERROR(INDEX(Calendar!$E$2:$E$25,MATCH(B516,Calendar!$A$2:$A$25,0)),"UNMATCHED")</f>
        <v>Actual</v>
      </c>
      <c r="M516" s="42" t="n">
        <f aca="false">Sales_Transactions!F516</f>
        <v>349</v>
      </c>
      <c r="N516" s="52" t="n">
        <f aca="false">Sales_Transactions!I516</f>
        <v>73338.86</v>
      </c>
      <c r="O516" s="52" t="n">
        <f aca="false">Sales_Transactions!J516</f>
        <v>45802.76</v>
      </c>
      <c r="P516" s="52" t="n">
        <f aca="false">Sales_Transactions!K516</f>
        <v>27536.1</v>
      </c>
      <c r="Q516" s="42" t="n">
        <f aca="false">IF(ISNUMBER(MATCH(E516,Product_Master!$A$2:$A$9,0)),0,1)</f>
        <v>0</v>
      </c>
      <c r="R516" s="42" t="n">
        <f aca="false">IF(ISNUMBER(MATCH(D516,Customer_Master!$A$2:$A$49,0)),0,1)</f>
        <v>0</v>
      </c>
      <c r="S516" s="42" t="n">
        <f aca="false">IF(ISNUMBER(MATCH(B516,Calendar!$A$2:$A$25,0)),0,1)</f>
        <v>0</v>
      </c>
      <c r="T516" s="42" t="n">
        <f aca="false">IF(COUNTIF(Sales_Transactions!$A$2:$A$865,A516)&gt;1,1,0)</f>
        <v>0</v>
      </c>
      <c r="U516" s="42" t="n">
        <f aca="false">IF(OR(ABS(Sales_Transactions!F516*Sales_Transactions!G516-Sales_Transactions!I516)&gt;0.01,ABS(Sales_Transactions!F516*Sales_Transactions!H516-Sales_Transactions!J516)&gt;0.01,ABS(Sales_Transactions!I516-Sales_Transactions!J516-Sales_Transactions!K516)&gt;0.01),1,0)</f>
        <v>0</v>
      </c>
      <c r="V516" s="42" t="n">
        <f aca="false">IF(C516&lt;&gt;L516,1,0)</f>
        <v>0</v>
      </c>
      <c r="W516" s="42" t="n">
        <f aca="false">IF(SUM(Q516:V516)&gt;0,1,0)</f>
        <v>0</v>
      </c>
    </row>
    <row r="517" customFormat="false" ht="15" hidden="false" customHeight="false" outlineLevel="0" collapsed="false">
      <c r="A517" s="42" t="str">
        <f aca="false">Sales_Transactions!A517</f>
        <v>INV-15-012</v>
      </c>
      <c r="B517" s="42" t="str">
        <f aca="false">Sales_Transactions!B517</f>
        <v>2026-03</v>
      </c>
      <c r="C517" s="42" t="str">
        <f aca="false">Sales_Transactions!C517</f>
        <v>Actual</v>
      </c>
      <c r="D517" s="42" t="str">
        <f aca="false">Sales_Transactions!D517</f>
        <v>C024</v>
      </c>
      <c r="E517" s="42" t="str">
        <f aca="false">Sales_Transactions!E517</f>
        <v>P006</v>
      </c>
      <c r="F517" s="42" t="str">
        <f aca="false">IFERROR(INDEX(Customer_Master!$C$2:$C$49,MATCH(D517,Customer_Master!$A$2:$A$49,0)),"UNMATCHED")</f>
        <v>East</v>
      </c>
      <c r="G517" s="42" t="str">
        <f aca="false">IFERROR(INDEX(Customer_Master!$D$2:$D$49,MATCH(D517,Customer_Master!$A$2:$A$49,0)),"UNMATCHED")</f>
        <v>Retail</v>
      </c>
      <c r="H517" s="42" t="str">
        <f aca="false">IFERROR(INDEX(Product_Master!$C$2:$C$9,MATCH(E517,Product_Master!$A$2:$A$9,0)),"UNMATCHED")</f>
        <v>Foods</v>
      </c>
      <c r="I517" s="42" t="str">
        <f aca="false">IFERROR(INDEX(Product_Master!$B$2:$B$9,MATCH(E517,Product_Master!$A$2:$A$9,0)),"UNMATCHED")</f>
        <v>Breakfast Cereal</v>
      </c>
      <c r="J517" s="42" t="n">
        <f aca="false">IFERROR(INDEX(Calendar!$B$2:$B$25,MATCH(B517,Calendar!$A$2:$A$25,0)),0)</f>
        <v>2026</v>
      </c>
      <c r="K517" s="42" t="n">
        <f aca="false">IFERROR(VALUE(RIGHT(B517,2)),0)</f>
        <v>3</v>
      </c>
      <c r="L517" s="42" t="str">
        <f aca="false">IFERROR(INDEX(Calendar!$E$2:$E$25,MATCH(B517,Calendar!$A$2:$A$25,0)),"UNMATCHED")</f>
        <v>Actual</v>
      </c>
      <c r="M517" s="42" t="n">
        <f aca="false">Sales_Transactions!F517</f>
        <v>167</v>
      </c>
      <c r="N517" s="52" t="n">
        <f aca="false">Sales_Transactions!I517</f>
        <v>39410.33</v>
      </c>
      <c r="O517" s="52" t="n">
        <f aca="false">Sales_Transactions!J517</f>
        <v>27840.57</v>
      </c>
      <c r="P517" s="52" t="n">
        <f aca="false">Sales_Transactions!K517</f>
        <v>11569.76</v>
      </c>
      <c r="Q517" s="42" t="n">
        <f aca="false">IF(ISNUMBER(MATCH(E517,Product_Master!$A$2:$A$9,0)),0,1)</f>
        <v>0</v>
      </c>
      <c r="R517" s="42" t="n">
        <f aca="false">IF(ISNUMBER(MATCH(D517,Customer_Master!$A$2:$A$49,0)),0,1)</f>
        <v>0</v>
      </c>
      <c r="S517" s="42" t="n">
        <f aca="false">IF(ISNUMBER(MATCH(B517,Calendar!$A$2:$A$25,0)),0,1)</f>
        <v>0</v>
      </c>
      <c r="T517" s="42" t="n">
        <f aca="false">IF(COUNTIF(Sales_Transactions!$A$2:$A$865,A517)&gt;1,1,0)</f>
        <v>0</v>
      </c>
      <c r="U517" s="42" t="n">
        <f aca="false">IF(OR(ABS(Sales_Transactions!F517*Sales_Transactions!G517-Sales_Transactions!I517)&gt;0.01,ABS(Sales_Transactions!F517*Sales_Transactions!H517-Sales_Transactions!J517)&gt;0.01,ABS(Sales_Transactions!I517-Sales_Transactions!J517-Sales_Transactions!K517)&gt;0.01),1,0)</f>
        <v>0</v>
      </c>
      <c r="V517" s="42" t="n">
        <f aca="false">IF(C517&lt;&gt;L517,1,0)</f>
        <v>0</v>
      </c>
      <c r="W517" s="42" t="n">
        <f aca="false">IF(SUM(Q517:V517)&gt;0,1,0)</f>
        <v>0</v>
      </c>
    </row>
    <row r="518" customFormat="false" ht="15" hidden="false" customHeight="false" outlineLevel="0" collapsed="false">
      <c r="A518" s="42" t="str">
        <f aca="false">Sales_Transactions!A518</f>
        <v>INV-15-013</v>
      </c>
      <c r="B518" s="42" t="str">
        <f aca="false">Sales_Transactions!B518</f>
        <v>2026-03</v>
      </c>
      <c r="C518" s="42" t="str">
        <f aca="false">Sales_Transactions!C518</f>
        <v>Actual</v>
      </c>
      <c r="D518" s="42" t="str">
        <f aca="false">Sales_Transactions!D518</f>
        <v>C031</v>
      </c>
      <c r="E518" s="42" t="str">
        <f aca="false">Sales_Transactions!E518</f>
        <v>P003</v>
      </c>
      <c r="F518" s="42" t="str">
        <f aca="false">IFERROR(INDEX(Customer_Master!$C$2:$C$49,MATCH(D518,Customer_Master!$A$2:$A$49,0)),"UNMATCHED")</f>
        <v>West</v>
      </c>
      <c r="G518" s="42" t="str">
        <f aca="false">IFERROR(INDEX(Customer_Master!$D$2:$D$49,MATCH(D518,Customer_Master!$A$2:$A$49,0)),"UNMATCHED")</f>
        <v>Distributor</v>
      </c>
      <c r="H518" s="42" t="str">
        <f aca="false">IFERROR(INDEX(Product_Master!$C$2:$C$9,MATCH(E518,Product_Master!$A$2:$A$9,0)),"UNMATCHED")</f>
        <v>Personal Care</v>
      </c>
      <c r="I518" s="42" t="str">
        <f aca="false">IFERROR(INDEX(Product_Master!$B$2:$B$9,MATCH(E518,Product_Master!$A$2:$A$9,0)),"UNMATCHED")</f>
        <v>Shampoo 400ml</v>
      </c>
      <c r="J518" s="42" t="n">
        <f aca="false">IFERROR(INDEX(Calendar!$B$2:$B$25,MATCH(B518,Calendar!$A$2:$A$25,0)),0)</f>
        <v>2026</v>
      </c>
      <c r="K518" s="42" t="n">
        <f aca="false">IFERROR(VALUE(RIGHT(B518,2)),0)</f>
        <v>3</v>
      </c>
      <c r="L518" s="42" t="str">
        <f aca="false">IFERROR(INDEX(Calendar!$E$2:$E$25,MATCH(B518,Calendar!$A$2:$A$25,0)),"UNMATCHED")</f>
        <v>Actual</v>
      </c>
      <c r="M518" s="42" t="n">
        <f aca="false">Sales_Transactions!F518</f>
        <v>160</v>
      </c>
      <c r="N518" s="52" t="n">
        <f aca="false">Sales_Transactions!I518</f>
        <v>44712</v>
      </c>
      <c r="O518" s="52" t="n">
        <f aca="false">Sales_Transactions!J518</f>
        <v>26566.4</v>
      </c>
      <c r="P518" s="52" t="n">
        <f aca="false">Sales_Transactions!K518</f>
        <v>18145.6</v>
      </c>
      <c r="Q518" s="42" t="n">
        <f aca="false">IF(ISNUMBER(MATCH(E518,Product_Master!$A$2:$A$9,0)),0,1)</f>
        <v>0</v>
      </c>
      <c r="R518" s="42" t="n">
        <f aca="false">IF(ISNUMBER(MATCH(D518,Customer_Master!$A$2:$A$49,0)),0,1)</f>
        <v>0</v>
      </c>
      <c r="S518" s="42" t="n">
        <f aca="false">IF(ISNUMBER(MATCH(B518,Calendar!$A$2:$A$25,0)),0,1)</f>
        <v>0</v>
      </c>
      <c r="T518" s="42" t="n">
        <f aca="false">IF(COUNTIF(Sales_Transactions!$A$2:$A$865,A518)&gt;1,1,0)</f>
        <v>0</v>
      </c>
      <c r="U518" s="42" t="n">
        <f aca="false">IF(OR(ABS(Sales_Transactions!F518*Sales_Transactions!G518-Sales_Transactions!I518)&gt;0.01,ABS(Sales_Transactions!F518*Sales_Transactions!H518-Sales_Transactions!J518)&gt;0.01,ABS(Sales_Transactions!I518-Sales_Transactions!J518-Sales_Transactions!K518)&gt;0.01),1,0)</f>
        <v>0</v>
      </c>
      <c r="V518" s="42" t="n">
        <f aca="false">IF(C518&lt;&gt;L518,1,0)</f>
        <v>0</v>
      </c>
      <c r="W518" s="42" t="n">
        <f aca="false">IF(SUM(Q518:V518)&gt;0,1,0)</f>
        <v>0</v>
      </c>
    </row>
    <row r="519" customFormat="false" ht="15" hidden="false" customHeight="false" outlineLevel="0" collapsed="false">
      <c r="A519" s="42" t="str">
        <f aca="false">Sales_Transactions!A519</f>
        <v>INV-15-014</v>
      </c>
      <c r="B519" s="42" t="str">
        <f aca="false">Sales_Transactions!B519</f>
        <v>2026-03</v>
      </c>
      <c r="C519" s="42" t="str">
        <f aca="false">Sales_Transactions!C519</f>
        <v>Actual</v>
      </c>
      <c r="D519" s="42" t="str">
        <f aca="false">Sales_Transactions!D519</f>
        <v>C038</v>
      </c>
      <c r="E519" s="42" t="str">
        <f aca="false">Sales_Transactions!E519</f>
        <v>P008</v>
      </c>
      <c r="F519" s="42" t="str">
        <f aca="false">IFERROR(INDEX(Customer_Master!$C$2:$C$49,MATCH(D519,Customer_Master!$A$2:$A$49,0)),"UNMATCHED")</f>
        <v>North</v>
      </c>
      <c r="G519" s="42" t="str">
        <f aca="false">IFERROR(INDEX(Customer_Master!$D$2:$D$49,MATCH(D519,Customer_Master!$A$2:$A$49,0)),"UNMATCHED")</f>
        <v>Modern Trade</v>
      </c>
      <c r="H519" s="42" t="str">
        <f aca="false">IFERROR(INDEX(Product_Master!$C$2:$C$9,MATCH(E519,Product_Master!$A$2:$A$9,0)),"UNMATCHED")</f>
        <v>Personal Care</v>
      </c>
      <c r="I519" s="42" t="str">
        <f aca="false">IFERROR(INDEX(Product_Master!$B$2:$B$9,MATCH(E519,Product_Master!$A$2:$A$9,0)),"UNMATCHED")</f>
        <v>Body Lotion</v>
      </c>
      <c r="J519" s="42" t="n">
        <f aca="false">IFERROR(INDEX(Calendar!$B$2:$B$25,MATCH(B519,Calendar!$A$2:$A$25,0)),0)</f>
        <v>2026</v>
      </c>
      <c r="K519" s="42" t="n">
        <f aca="false">IFERROR(VALUE(RIGHT(B519,2)),0)</f>
        <v>3</v>
      </c>
      <c r="L519" s="42" t="str">
        <f aca="false">IFERROR(INDEX(Calendar!$E$2:$E$25,MATCH(B519,Calendar!$A$2:$A$25,0)),"UNMATCHED")</f>
        <v>Actual</v>
      </c>
      <c r="M519" s="42" t="n">
        <f aca="false">Sales_Transactions!F519</f>
        <v>198</v>
      </c>
      <c r="N519" s="52" t="n">
        <f aca="false">Sales_Transactions!I519</f>
        <v>64104.48</v>
      </c>
      <c r="O519" s="52" t="n">
        <f aca="false">Sales_Transactions!J519</f>
        <v>42641.28</v>
      </c>
      <c r="P519" s="52" t="n">
        <f aca="false">Sales_Transactions!K519</f>
        <v>21463.2</v>
      </c>
      <c r="Q519" s="42" t="n">
        <f aca="false">IF(ISNUMBER(MATCH(E519,Product_Master!$A$2:$A$9,0)),0,1)</f>
        <v>0</v>
      </c>
      <c r="R519" s="42" t="n">
        <f aca="false">IF(ISNUMBER(MATCH(D519,Customer_Master!$A$2:$A$49,0)),0,1)</f>
        <v>0</v>
      </c>
      <c r="S519" s="42" t="n">
        <f aca="false">IF(ISNUMBER(MATCH(B519,Calendar!$A$2:$A$25,0)),0,1)</f>
        <v>0</v>
      </c>
      <c r="T519" s="42" t="n">
        <f aca="false">IF(COUNTIF(Sales_Transactions!$A$2:$A$865,A519)&gt;1,1,0)</f>
        <v>0</v>
      </c>
      <c r="U519" s="42" t="n">
        <f aca="false">IF(OR(ABS(Sales_Transactions!F519*Sales_Transactions!G519-Sales_Transactions!I519)&gt;0.01,ABS(Sales_Transactions!F519*Sales_Transactions!H519-Sales_Transactions!J519)&gt;0.01,ABS(Sales_Transactions!I519-Sales_Transactions!J519-Sales_Transactions!K519)&gt;0.01),1,0)</f>
        <v>0</v>
      </c>
      <c r="V519" s="42" t="n">
        <f aca="false">IF(C519&lt;&gt;L519,1,0)</f>
        <v>0</v>
      </c>
      <c r="W519" s="42" t="n">
        <f aca="false">IF(SUM(Q519:V519)&gt;0,1,0)</f>
        <v>0</v>
      </c>
    </row>
    <row r="520" customFormat="false" ht="15" hidden="false" customHeight="false" outlineLevel="0" collapsed="false">
      <c r="A520" s="42" t="str">
        <f aca="false">Sales_Transactions!A520</f>
        <v>INV-15-015</v>
      </c>
      <c r="B520" s="42" t="str">
        <f aca="false">Sales_Transactions!B520</f>
        <v>2026-03</v>
      </c>
      <c r="C520" s="42" t="str">
        <f aca="false">Sales_Transactions!C520</f>
        <v>Actual</v>
      </c>
      <c r="D520" s="42" t="str">
        <f aca="false">Sales_Transactions!D520</f>
        <v>C045</v>
      </c>
      <c r="E520" s="42" t="str">
        <f aca="false">Sales_Transactions!E520</f>
        <v>P005</v>
      </c>
      <c r="F520" s="42" t="str">
        <f aca="false">IFERROR(INDEX(Customer_Master!$C$2:$C$49,MATCH(D520,Customer_Master!$A$2:$A$49,0)),"UNMATCHED")</f>
        <v>South</v>
      </c>
      <c r="G520" s="42" t="str">
        <f aca="false">IFERROR(INDEX(Customer_Master!$D$2:$D$49,MATCH(D520,Customer_Master!$A$2:$A$49,0)),"UNMATCHED")</f>
        <v>Retail</v>
      </c>
      <c r="H520" s="42" t="str">
        <f aca="false">IFERROR(INDEX(Product_Master!$C$2:$C$9,MATCH(E520,Product_Master!$A$2:$A$9,0)),"UNMATCHED")</f>
        <v>Foods</v>
      </c>
      <c r="I520" s="42" t="str">
        <f aca="false">IFERROR(INDEX(Product_Master!$B$2:$B$9,MATCH(E520,Product_Master!$A$2:$A$9,0)),"UNMATCHED")</f>
        <v>Biscuits 500g</v>
      </c>
      <c r="J520" s="42" t="n">
        <f aca="false">IFERROR(INDEX(Calendar!$B$2:$B$25,MATCH(B520,Calendar!$A$2:$A$25,0)),0)</f>
        <v>2026</v>
      </c>
      <c r="K520" s="42" t="n">
        <f aca="false">IFERROR(VALUE(RIGHT(B520,2)),0)</f>
        <v>3</v>
      </c>
      <c r="L520" s="42" t="str">
        <f aca="false">IFERROR(INDEX(Calendar!$E$2:$E$25,MATCH(B520,Calendar!$A$2:$A$25,0)),"UNMATCHED")</f>
        <v>Actual</v>
      </c>
      <c r="M520" s="42" t="n">
        <f aca="false">Sales_Transactions!F520</f>
        <v>98</v>
      </c>
      <c r="N520" s="52" t="n">
        <f aca="false">Sales_Transactions!I520</f>
        <v>10175.34</v>
      </c>
      <c r="O520" s="52" t="n">
        <f aca="false">Sales_Transactions!J520</f>
        <v>6615.98</v>
      </c>
      <c r="P520" s="52" t="n">
        <f aca="false">Sales_Transactions!K520</f>
        <v>3559.36</v>
      </c>
      <c r="Q520" s="42" t="n">
        <f aca="false">IF(ISNUMBER(MATCH(E520,Product_Master!$A$2:$A$9,0)),0,1)</f>
        <v>0</v>
      </c>
      <c r="R520" s="42" t="n">
        <f aca="false">IF(ISNUMBER(MATCH(D520,Customer_Master!$A$2:$A$49,0)),0,1)</f>
        <v>0</v>
      </c>
      <c r="S520" s="42" t="n">
        <f aca="false">IF(ISNUMBER(MATCH(B520,Calendar!$A$2:$A$25,0)),0,1)</f>
        <v>0</v>
      </c>
      <c r="T520" s="42" t="n">
        <f aca="false">IF(COUNTIF(Sales_Transactions!$A$2:$A$865,A520)&gt;1,1,0)</f>
        <v>0</v>
      </c>
      <c r="U520" s="42" t="n">
        <f aca="false">IF(OR(ABS(Sales_Transactions!F520*Sales_Transactions!G520-Sales_Transactions!I520)&gt;0.01,ABS(Sales_Transactions!F520*Sales_Transactions!H520-Sales_Transactions!J520)&gt;0.01,ABS(Sales_Transactions!I520-Sales_Transactions!J520-Sales_Transactions!K520)&gt;0.01),1,0)</f>
        <v>0</v>
      </c>
      <c r="V520" s="42" t="n">
        <f aca="false">IF(C520&lt;&gt;L520,1,0)</f>
        <v>0</v>
      </c>
      <c r="W520" s="42" t="n">
        <f aca="false">IF(SUM(Q520:V520)&gt;0,1,0)</f>
        <v>0</v>
      </c>
    </row>
    <row r="521" customFormat="false" ht="15" hidden="false" customHeight="false" outlineLevel="0" collapsed="false">
      <c r="A521" s="42" t="str">
        <f aca="false">Sales_Transactions!A521</f>
        <v>INV-15-016</v>
      </c>
      <c r="B521" s="42" t="str">
        <f aca="false">Sales_Transactions!B521</f>
        <v>2026-03</v>
      </c>
      <c r="C521" s="42" t="str">
        <f aca="false">Sales_Transactions!C521</f>
        <v>Actual</v>
      </c>
      <c r="D521" s="42" t="str">
        <f aca="false">Sales_Transactions!D521</f>
        <v>C004</v>
      </c>
      <c r="E521" s="42" t="str">
        <f aca="false">Sales_Transactions!E521</f>
        <v>P002</v>
      </c>
      <c r="F521" s="42" t="str">
        <f aca="false">IFERROR(INDEX(Customer_Master!$C$2:$C$49,MATCH(D521,Customer_Master!$A$2:$A$49,0)),"UNMATCHED")</f>
        <v>East</v>
      </c>
      <c r="G521" s="42" t="str">
        <f aca="false">IFERROR(INDEX(Customer_Master!$D$2:$D$49,MATCH(D521,Customer_Master!$A$2:$A$49,0)),"UNMATCHED")</f>
        <v>Distributor</v>
      </c>
      <c r="H521" s="42" t="str">
        <f aca="false">IFERROR(INDEX(Product_Master!$C$2:$C$9,MATCH(E521,Product_Master!$A$2:$A$9,0)),"UNMATCHED")</f>
        <v>Home Care</v>
      </c>
      <c r="I521" s="42" t="str">
        <f aca="false">IFERROR(INDEX(Product_Master!$B$2:$B$9,MATCH(E521,Product_Master!$A$2:$A$9,0)),"UNMATCHED")</f>
        <v>Dishwash Gel</v>
      </c>
      <c r="J521" s="42" t="n">
        <f aca="false">IFERROR(INDEX(Calendar!$B$2:$B$25,MATCH(B521,Calendar!$A$2:$A$25,0)),0)</f>
        <v>2026</v>
      </c>
      <c r="K521" s="42" t="n">
        <f aca="false">IFERROR(VALUE(RIGHT(B521,2)),0)</f>
        <v>3</v>
      </c>
      <c r="L521" s="42" t="str">
        <f aca="false">IFERROR(INDEX(Calendar!$E$2:$E$25,MATCH(B521,Calendar!$A$2:$A$25,0)),"UNMATCHED")</f>
        <v>Actual</v>
      </c>
      <c r="M521" s="42" t="n">
        <f aca="false">Sales_Transactions!F521</f>
        <v>276</v>
      </c>
      <c r="N521" s="52" t="n">
        <f aca="false">Sales_Transactions!I521</f>
        <v>36843.24</v>
      </c>
      <c r="O521" s="52" t="n">
        <f aca="false">Sales_Transactions!J521</f>
        <v>24428.76</v>
      </c>
      <c r="P521" s="52" t="n">
        <f aca="false">Sales_Transactions!K521</f>
        <v>12414.48</v>
      </c>
      <c r="Q521" s="42" t="n">
        <f aca="false">IF(ISNUMBER(MATCH(E521,Product_Master!$A$2:$A$9,0)),0,1)</f>
        <v>0</v>
      </c>
      <c r="R521" s="42" t="n">
        <f aca="false">IF(ISNUMBER(MATCH(D521,Customer_Master!$A$2:$A$49,0)),0,1)</f>
        <v>0</v>
      </c>
      <c r="S521" s="42" t="n">
        <f aca="false">IF(ISNUMBER(MATCH(B521,Calendar!$A$2:$A$25,0)),0,1)</f>
        <v>0</v>
      </c>
      <c r="T521" s="42" t="n">
        <f aca="false">IF(COUNTIF(Sales_Transactions!$A$2:$A$865,A521)&gt;1,1,0)</f>
        <v>0</v>
      </c>
      <c r="U521" s="42" t="n">
        <f aca="false">IF(OR(ABS(Sales_Transactions!F521*Sales_Transactions!G521-Sales_Transactions!I521)&gt;0.01,ABS(Sales_Transactions!F521*Sales_Transactions!H521-Sales_Transactions!J521)&gt;0.01,ABS(Sales_Transactions!I521-Sales_Transactions!J521-Sales_Transactions!K521)&gt;0.01),1,0)</f>
        <v>0</v>
      </c>
      <c r="V521" s="42" t="n">
        <f aca="false">IF(C521&lt;&gt;L521,1,0)</f>
        <v>0</v>
      </c>
      <c r="W521" s="42" t="n">
        <f aca="false">IF(SUM(Q521:V521)&gt;0,1,0)</f>
        <v>0</v>
      </c>
    </row>
    <row r="522" customFormat="false" ht="15" hidden="false" customHeight="false" outlineLevel="0" collapsed="false">
      <c r="A522" s="42" t="str">
        <f aca="false">Sales_Transactions!A522</f>
        <v>INV-15-017</v>
      </c>
      <c r="B522" s="42" t="str">
        <f aca="false">Sales_Transactions!B522</f>
        <v>2026-03</v>
      </c>
      <c r="C522" s="42" t="str">
        <f aca="false">Sales_Transactions!C522</f>
        <v>Actual</v>
      </c>
      <c r="D522" s="42" t="str">
        <f aca="false">Sales_Transactions!D522</f>
        <v>C011</v>
      </c>
      <c r="E522" s="42" t="str">
        <f aca="false">Sales_Transactions!E522</f>
        <v>P007</v>
      </c>
      <c r="F522" s="42" t="str">
        <f aca="false">IFERROR(INDEX(Customer_Master!$C$2:$C$49,MATCH(D522,Customer_Master!$A$2:$A$49,0)),"UNMATCHED")</f>
        <v>West</v>
      </c>
      <c r="G522" s="42" t="str">
        <f aca="false">IFERROR(INDEX(Customer_Master!$D$2:$D$49,MATCH(D522,Customer_Master!$A$2:$A$49,0)),"UNMATCHED")</f>
        <v>Modern Trade</v>
      </c>
      <c r="H522" s="42" t="str">
        <f aca="false">IFERROR(INDEX(Product_Master!$C$2:$C$9,MATCH(E522,Product_Master!$A$2:$A$9,0)),"UNMATCHED")</f>
        <v>Home Care</v>
      </c>
      <c r="I522" s="42" t="str">
        <f aca="false">IFERROR(INDEX(Product_Master!$B$2:$B$9,MATCH(E522,Product_Master!$A$2:$A$9,0)),"UNMATCHED")</f>
        <v>Floor Cleaner</v>
      </c>
      <c r="J522" s="42" t="n">
        <f aca="false">IFERROR(INDEX(Calendar!$B$2:$B$25,MATCH(B522,Calendar!$A$2:$A$25,0)),0)</f>
        <v>2026</v>
      </c>
      <c r="K522" s="42" t="n">
        <f aca="false">IFERROR(VALUE(RIGHT(B522,2)),0)</f>
        <v>3</v>
      </c>
      <c r="L522" s="42" t="str">
        <f aca="false">IFERROR(INDEX(Calendar!$E$2:$E$25,MATCH(B522,Calendar!$A$2:$A$25,0)),"UNMATCHED")</f>
        <v>Actual</v>
      </c>
      <c r="M522" s="42" t="n">
        <f aca="false">Sales_Transactions!F522</f>
        <v>276</v>
      </c>
      <c r="N522" s="52" t="n">
        <f aca="false">Sales_Transactions!I522</f>
        <v>48203.4</v>
      </c>
      <c r="O522" s="52" t="n">
        <f aca="false">Sales_Transactions!J522</f>
        <v>30856.8</v>
      </c>
      <c r="P522" s="52" t="n">
        <f aca="false">Sales_Transactions!K522</f>
        <v>17346.6</v>
      </c>
      <c r="Q522" s="42" t="n">
        <f aca="false">IF(ISNUMBER(MATCH(E522,Product_Master!$A$2:$A$9,0)),0,1)</f>
        <v>0</v>
      </c>
      <c r="R522" s="42" t="n">
        <f aca="false">IF(ISNUMBER(MATCH(D522,Customer_Master!$A$2:$A$49,0)),0,1)</f>
        <v>0</v>
      </c>
      <c r="S522" s="42" t="n">
        <f aca="false">IF(ISNUMBER(MATCH(B522,Calendar!$A$2:$A$25,0)),0,1)</f>
        <v>0</v>
      </c>
      <c r="T522" s="42" t="n">
        <f aca="false">IF(COUNTIF(Sales_Transactions!$A$2:$A$865,A522)&gt;1,1,0)</f>
        <v>0</v>
      </c>
      <c r="U522" s="42" t="n">
        <f aca="false">IF(OR(ABS(Sales_Transactions!F522*Sales_Transactions!G522-Sales_Transactions!I522)&gt;0.01,ABS(Sales_Transactions!F522*Sales_Transactions!H522-Sales_Transactions!J522)&gt;0.01,ABS(Sales_Transactions!I522-Sales_Transactions!J522-Sales_Transactions!K522)&gt;0.01),1,0)</f>
        <v>0</v>
      </c>
      <c r="V522" s="42" t="n">
        <f aca="false">IF(C522&lt;&gt;L522,1,0)</f>
        <v>0</v>
      </c>
      <c r="W522" s="42" t="n">
        <f aca="false">IF(SUM(Q522:V522)&gt;0,1,0)</f>
        <v>0</v>
      </c>
    </row>
    <row r="523" customFormat="false" ht="15" hidden="false" customHeight="false" outlineLevel="0" collapsed="false">
      <c r="A523" s="42" t="str">
        <f aca="false">Sales_Transactions!A523</f>
        <v>INV-15-018</v>
      </c>
      <c r="B523" s="42" t="str">
        <f aca="false">Sales_Transactions!B523</f>
        <v>2026-03</v>
      </c>
      <c r="C523" s="42" t="str">
        <f aca="false">Sales_Transactions!C523</f>
        <v>Actual</v>
      </c>
      <c r="D523" s="42" t="str">
        <f aca="false">Sales_Transactions!D523</f>
        <v>C018</v>
      </c>
      <c r="E523" s="42" t="str">
        <f aca="false">Sales_Transactions!E523</f>
        <v>P004</v>
      </c>
      <c r="F523" s="42" t="str">
        <f aca="false">IFERROR(INDEX(Customer_Master!$C$2:$C$49,MATCH(D523,Customer_Master!$A$2:$A$49,0)),"UNMATCHED")</f>
        <v>North</v>
      </c>
      <c r="G523" s="42" t="str">
        <f aca="false">IFERROR(INDEX(Customer_Master!$D$2:$D$49,MATCH(D523,Customer_Master!$A$2:$A$49,0)),"UNMATCHED")</f>
        <v>Retail</v>
      </c>
      <c r="H523" s="42" t="str">
        <f aca="false">IFERROR(INDEX(Product_Master!$C$2:$C$9,MATCH(E523,Product_Master!$A$2:$A$9,0)),"UNMATCHED")</f>
        <v>Personal Care</v>
      </c>
      <c r="I523" s="42" t="str">
        <f aca="false">IFERROR(INDEX(Product_Master!$B$2:$B$9,MATCH(E523,Product_Master!$A$2:$A$9,0)),"UNMATCHED")</f>
        <v>Soap 4-pack</v>
      </c>
      <c r="J523" s="42" t="n">
        <f aca="false">IFERROR(INDEX(Calendar!$B$2:$B$25,MATCH(B523,Calendar!$A$2:$A$25,0)),0)</f>
        <v>2026</v>
      </c>
      <c r="K523" s="42" t="n">
        <f aca="false">IFERROR(VALUE(RIGHT(B523,2)),0)</f>
        <v>3</v>
      </c>
      <c r="L523" s="42" t="str">
        <f aca="false">IFERROR(INDEX(Calendar!$E$2:$E$25,MATCH(B523,Calendar!$A$2:$A$25,0)),"UNMATCHED")</f>
        <v>Actual</v>
      </c>
      <c r="M523" s="42" t="n">
        <f aca="false">Sales_Transactions!F523</f>
        <v>135</v>
      </c>
      <c r="N523" s="52" t="n">
        <f aca="false">Sales_Transactions!I523</f>
        <v>23603.4</v>
      </c>
      <c r="O523" s="52" t="n">
        <f aca="false">Sales_Transactions!J523</f>
        <v>13452.75</v>
      </c>
      <c r="P523" s="52" t="n">
        <f aca="false">Sales_Transactions!K523</f>
        <v>10150.65</v>
      </c>
      <c r="Q523" s="42" t="n">
        <f aca="false">IF(ISNUMBER(MATCH(E523,Product_Master!$A$2:$A$9,0)),0,1)</f>
        <v>0</v>
      </c>
      <c r="R523" s="42" t="n">
        <f aca="false">IF(ISNUMBER(MATCH(D523,Customer_Master!$A$2:$A$49,0)),0,1)</f>
        <v>0</v>
      </c>
      <c r="S523" s="42" t="n">
        <f aca="false">IF(ISNUMBER(MATCH(B523,Calendar!$A$2:$A$25,0)),0,1)</f>
        <v>0</v>
      </c>
      <c r="T523" s="42" t="n">
        <f aca="false">IF(COUNTIF(Sales_Transactions!$A$2:$A$865,A523)&gt;1,1,0)</f>
        <v>0</v>
      </c>
      <c r="U523" s="42" t="n">
        <f aca="false">IF(OR(ABS(Sales_Transactions!F523*Sales_Transactions!G523-Sales_Transactions!I523)&gt;0.01,ABS(Sales_Transactions!F523*Sales_Transactions!H523-Sales_Transactions!J523)&gt;0.01,ABS(Sales_Transactions!I523-Sales_Transactions!J523-Sales_Transactions!K523)&gt;0.01),1,0)</f>
        <v>0</v>
      </c>
      <c r="V523" s="42" t="n">
        <f aca="false">IF(C523&lt;&gt;L523,1,0)</f>
        <v>0</v>
      </c>
      <c r="W523" s="42" t="n">
        <f aca="false">IF(SUM(Q523:V523)&gt;0,1,0)</f>
        <v>0</v>
      </c>
    </row>
    <row r="524" customFormat="false" ht="15" hidden="false" customHeight="false" outlineLevel="0" collapsed="false">
      <c r="A524" s="42" t="str">
        <f aca="false">Sales_Transactions!A524</f>
        <v>INV-15-019</v>
      </c>
      <c r="B524" s="42" t="str">
        <f aca="false">Sales_Transactions!B524</f>
        <v>2026-03</v>
      </c>
      <c r="C524" s="42" t="str">
        <f aca="false">Sales_Transactions!C524</f>
        <v>Actual</v>
      </c>
      <c r="D524" s="42" t="str">
        <f aca="false">Sales_Transactions!D524</f>
        <v>C025</v>
      </c>
      <c r="E524" s="42" t="str">
        <f aca="false">Sales_Transactions!E524</f>
        <v>P001</v>
      </c>
      <c r="F524" s="42" t="str">
        <f aca="false">IFERROR(INDEX(Customer_Master!$C$2:$C$49,MATCH(D524,Customer_Master!$A$2:$A$49,0)),"UNMATCHED")</f>
        <v>South</v>
      </c>
      <c r="G524" s="42" t="str">
        <f aca="false">IFERROR(INDEX(Customer_Master!$D$2:$D$49,MATCH(D524,Customer_Master!$A$2:$A$49,0)),"UNMATCHED")</f>
        <v>Distributor</v>
      </c>
      <c r="H524" s="42" t="str">
        <f aca="false">IFERROR(INDEX(Product_Master!$C$2:$C$9,MATCH(E524,Product_Master!$A$2:$A$9,0)),"UNMATCHED")</f>
        <v>Home Care</v>
      </c>
      <c r="I524" s="42" t="str">
        <f aca="false">IFERROR(INDEX(Product_Master!$B$2:$B$9,MATCH(E524,Product_Master!$A$2:$A$9,0)),"UNMATCHED")</f>
        <v>Detergent 1kg</v>
      </c>
      <c r="J524" s="42" t="n">
        <f aca="false">IFERROR(INDEX(Calendar!$B$2:$B$25,MATCH(B524,Calendar!$A$2:$A$25,0)),0)</f>
        <v>2026</v>
      </c>
      <c r="K524" s="42" t="n">
        <f aca="false">IFERROR(VALUE(RIGHT(B524,2)),0)</f>
        <v>3</v>
      </c>
      <c r="L524" s="42" t="str">
        <f aca="false">IFERROR(INDEX(Calendar!$E$2:$E$25,MATCH(B524,Calendar!$A$2:$A$25,0)),"UNMATCHED")</f>
        <v>Actual</v>
      </c>
      <c r="M524" s="42" t="n">
        <f aca="false">Sales_Transactions!F524</f>
        <v>159</v>
      </c>
      <c r="N524" s="52" t="n">
        <f aca="false">Sales_Transactions!I524</f>
        <v>30314.94</v>
      </c>
      <c r="O524" s="52" t="n">
        <f aca="false">Sales_Transactions!J524</f>
        <v>20870.34</v>
      </c>
      <c r="P524" s="52" t="n">
        <f aca="false">Sales_Transactions!K524</f>
        <v>9444.6</v>
      </c>
      <c r="Q524" s="42" t="n">
        <f aca="false">IF(ISNUMBER(MATCH(E524,Product_Master!$A$2:$A$9,0)),0,1)</f>
        <v>0</v>
      </c>
      <c r="R524" s="42" t="n">
        <f aca="false">IF(ISNUMBER(MATCH(D524,Customer_Master!$A$2:$A$49,0)),0,1)</f>
        <v>0</v>
      </c>
      <c r="S524" s="42" t="n">
        <f aca="false">IF(ISNUMBER(MATCH(B524,Calendar!$A$2:$A$25,0)),0,1)</f>
        <v>0</v>
      </c>
      <c r="T524" s="42" t="n">
        <f aca="false">IF(COUNTIF(Sales_Transactions!$A$2:$A$865,A524)&gt;1,1,0)</f>
        <v>0</v>
      </c>
      <c r="U524" s="42" t="n">
        <f aca="false">IF(OR(ABS(Sales_Transactions!F524*Sales_Transactions!G524-Sales_Transactions!I524)&gt;0.01,ABS(Sales_Transactions!F524*Sales_Transactions!H524-Sales_Transactions!J524)&gt;0.01,ABS(Sales_Transactions!I524-Sales_Transactions!J524-Sales_Transactions!K524)&gt;0.01),1,0)</f>
        <v>0</v>
      </c>
      <c r="V524" s="42" t="n">
        <f aca="false">IF(C524&lt;&gt;L524,1,0)</f>
        <v>0</v>
      </c>
      <c r="W524" s="42" t="n">
        <f aca="false">IF(SUM(Q524:V524)&gt;0,1,0)</f>
        <v>0</v>
      </c>
    </row>
    <row r="525" customFormat="false" ht="15" hidden="false" customHeight="false" outlineLevel="0" collapsed="false">
      <c r="A525" s="42" t="str">
        <f aca="false">Sales_Transactions!A525</f>
        <v>INV-15-020</v>
      </c>
      <c r="B525" s="42" t="str">
        <f aca="false">Sales_Transactions!B525</f>
        <v>2026-03</v>
      </c>
      <c r="C525" s="42" t="str">
        <f aca="false">Sales_Transactions!C525</f>
        <v>Actual</v>
      </c>
      <c r="D525" s="42" t="str">
        <f aca="false">Sales_Transactions!D525</f>
        <v>C032</v>
      </c>
      <c r="E525" s="42" t="str">
        <f aca="false">Sales_Transactions!E525</f>
        <v>P006</v>
      </c>
      <c r="F525" s="42" t="str">
        <f aca="false">IFERROR(INDEX(Customer_Master!$C$2:$C$49,MATCH(D525,Customer_Master!$A$2:$A$49,0)),"UNMATCHED")</f>
        <v>East</v>
      </c>
      <c r="G525" s="42" t="str">
        <f aca="false">IFERROR(INDEX(Customer_Master!$D$2:$D$49,MATCH(D525,Customer_Master!$A$2:$A$49,0)),"UNMATCHED")</f>
        <v>Modern Trade</v>
      </c>
      <c r="H525" s="42" t="str">
        <f aca="false">IFERROR(INDEX(Product_Master!$C$2:$C$9,MATCH(E525,Product_Master!$A$2:$A$9,0)),"UNMATCHED")</f>
        <v>Foods</v>
      </c>
      <c r="I525" s="42" t="str">
        <f aca="false">IFERROR(INDEX(Product_Master!$B$2:$B$9,MATCH(E525,Product_Master!$A$2:$A$9,0)),"UNMATCHED")</f>
        <v>Breakfast Cereal</v>
      </c>
      <c r="J525" s="42" t="n">
        <f aca="false">IFERROR(INDEX(Calendar!$B$2:$B$25,MATCH(B525,Calendar!$A$2:$A$25,0)),0)</f>
        <v>2026</v>
      </c>
      <c r="K525" s="42" t="n">
        <f aca="false">IFERROR(VALUE(RIGHT(B525,2)),0)</f>
        <v>3</v>
      </c>
      <c r="L525" s="42" t="str">
        <f aca="false">IFERROR(INDEX(Calendar!$E$2:$E$25,MATCH(B525,Calendar!$A$2:$A$25,0)),"UNMATCHED")</f>
        <v>Actual</v>
      </c>
      <c r="M525" s="42" t="n">
        <f aca="false">Sales_Transactions!F525</f>
        <v>326</v>
      </c>
      <c r="N525" s="52" t="n">
        <f aca="false">Sales_Transactions!I525</f>
        <v>81506.52</v>
      </c>
      <c r="O525" s="52" t="n">
        <f aca="false">Sales_Transactions!J525</f>
        <v>49669.36</v>
      </c>
      <c r="P525" s="52" t="n">
        <f aca="false">Sales_Transactions!K525</f>
        <v>31837.16</v>
      </c>
      <c r="Q525" s="42" t="n">
        <f aca="false">IF(ISNUMBER(MATCH(E525,Product_Master!$A$2:$A$9,0)),0,1)</f>
        <v>0</v>
      </c>
      <c r="R525" s="42" t="n">
        <f aca="false">IF(ISNUMBER(MATCH(D525,Customer_Master!$A$2:$A$49,0)),0,1)</f>
        <v>0</v>
      </c>
      <c r="S525" s="42" t="n">
        <f aca="false">IF(ISNUMBER(MATCH(B525,Calendar!$A$2:$A$25,0)),0,1)</f>
        <v>0</v>
      </c>
      <c r="T525" s="42" t="n">
        <f aca="false">IF(COUNTIF(Sales_Transactions!$A$2:$A$865,A525)&gt;1,1,0)</f>
        <v>0</v>
      </c>
      <c r="U525" s="42" t="n">
        <f aca="false">IF(OR(ABS(Sales_Transactions!F525*Sales_Transactions!G525-Sales_Transactions!I525)&gt;0.01,ABS(Sales_Transactions!F525*Sales_Transactions!H525-Sales_Transactions!J525)&gt;0.01,ABS(Sales_Transactions!I525-Sales_Transactions!J525-Sales_Transactions!K525)&gt;0.01),1,0)</f>
        <v>0</v>
      </c>
      <c r="V525" s="42" t="n">
        <f aca="false">IF(C525&lt;&gt;L525,1,0)</f>
        <v>0</v>
      </c>
      <c r="W525" s="42" t="n">
        <f aca="false">IF(SUM(Q525:V525)&gt;0,1,0)</f>
        <v>0</v>
      </c>
    </row>
    <row r="526" customFormat="false" ht="15" hidden="false" customHeight="false" outlineLevel="0" collapsed="false">
      <c r="A526" s="42" t="str">
        <f aca="false">Sales_Transactions!A526</f>
        <v>INV-15-021</v>
      </c>
      <c r="B526" s="42" t="str">
        <f aca="false">Sales_Transactions!B526</f>
        <v>2026-03</v>
      </c>
      <c r="C526" s="42" t="str">
        <f aca="false">Sales_Transactions!C526</f>
        <v>Actual</v>
      </c>
      <c r="D526" s="42" t="str">
        <f aca="false">Sales_Transactions!D526</f>
        <v>C039</v>
      </c>
      <c r="E526" s="42" t="str">
        <f aca="false">Sales_Transactions!E526</f>
        <v>P003</v>
      </c>
      <c r="F526" s="42" t="str">
        <f aca="false">IFERROR(INDEX(Customer_Master!$C$2:$C$49,MATCH(D526,Customer_Master!$A$2:$A$49,0)),"UNMATCHED")</f>
        <v>West</v>
      </c>
      <c r="G526" s="42" t="str">
        <f aca="false">IFERROR(INDEX(Customer_Master!$D$2:$D$49,MATCH(D526,Customer_Master!$A$2:$A$49,0)),"UNMATCHED")</f>
        <v>Retail</v>
      </c>
      <c r="H526" s="42" t="str">
        <f aca="false">IFERROR(INDEX(Product_Master!$C$2:$C$9,MATCH(E526,Product_Master!$A$2:$A$9,0)),"UNMATCHED")</f>
        <v>Personal Care</v>
      </c>
      <c r="I526" s="42" t="str">
        <f aca="false">IFERROR(INDEX(Product_Master!$B$2:$B$9,MATCH(E526,Product_Master!$A$2:$A$9,0)),"UNMATCHED")</f>
        <v>Shampoo 400ml</v>
      </c>
      <c r="J526" s="42" t="n">
        <f aca="false">IFERROR(INDEX(Calendar!$B$2:$B$25,MATCH(B526,Calendar!$A$2:$A$25,0)),0)</f>
        <v>2026</v>
      </c>
      <c r="K526" s="42" t="n">
        <f aca="false">IFERROR(VALUE(RIGHT(B526,2)),0)</f>
        <v>3</v>
      </c>
      <c r="L526" s="42" t="str">
        <f aca="false">IFERROR(INDEX(Calendar!$E$2:$E$25,MATCH(B526,Calendar!$A$2:$A$25,0)),"UNMATCHED")</f>
        <v>Actual</v>
      </c>
      <c r="M526" s="42" t="n">
        <f aca="false">Sales_Transactions!F526</f>
        <v>446</v>
      </c>
      <c r="N526" s="52" t="n">
        <f aca="false">Sales_Transactions!I526</f>
        <v>118760.88</v>
      </c>
      <c r="O526" s="52" t="n">
        <f aca="false">Sales_Transactions!J526</f>
        <v>78848.34</v>
      </c>
      <c r="P526" s="52" t="n">
        <f aca="false">Sales_Transactions!K526</f>
        <v>39912.54</v>
      </c>
      <c r="Q526" s="42" t="n">
        <f aca="false">IF(ISNUMBER(MATCH(E526,Product_Master!$A$2:$A$9,0)),0,1)</f>
        <v>0</v>
      </c>
      <c r="R526" s="42" t="n">
        <f aca="false">IF(ISNUMBER(MATCH(D526,Customer_Master!$A$2:$A$49,0)),0,1)</f>
        <v>0</v>
      </c>
      <c r="S526" s="42" t="n">
        <f aca="false">IF(ISNUMBER(MATCH(B526,Calendar!$A$2:$A$25,0)),0,1)</f>
        <v>0</v>
      </c>
      <c r="T526" s="42" t="n">
        <f aca="false">IF(COUNTIF(Sales_Transactions!$A$2:$A$865,A526)&gt;1,1,0)</f>
        <v>0</v>
      </c>
      <c r="U526" s="42" t="n">
        <f aca="false">IF(OR(ABS(Sales_Transactions!F526*Sales_Transactions!G526-Sales_Transactions!I526)&gt;0.01,ABS(Sales_Transactions!F526*Sales_Transactions!H526-Sales_Transactions!J526)&gt;0.01,ABS(Sales_Transactions!I526-Sales_Transactions!J526-Sales_Transactions!K526)&gt;0.01),1,0)</f>
        <v>0</v>
      </c>
      <c r="V526" s="42" t="n">
        <f aca="false">IF(C526&lt;&gt;L526,1,0)</f>
        <v>0</v>
      </c>
      <c r="W526" s="42" t="n">
        <f aca="false">IF(SUM(Q526:V526)&gt;0,1,0)</f>
        <v>0</v>
      </c>
    </row>
    <row r="527" customFormat="false" ht="15" hidden="false" customHeight="false" outlineLevel="0" collapsed="false">
      <c r="A527" s="42" t="str">
        <f aca="false">Sales_Transactions!A527</f>
        <v>INV-15-022</v>
      </c>
      <c r="B527" s="42" t="str">
        <f aca="false">Sales_Transactions!B527</f>
        <v>2026-03</v>
      </c>
      <c r="C527" s="42" t="str">
        <f aca="false">Sales_Transactions!C527</f>
        <v>Actual</v>
      </c>
      <c r="D527" s="42" t="str">
        <f aca="false">Sales_Transactions!D527</f>
        <v>C046</v>
      </c>
      <c r="E527" s="42" t="str">
        <f aca="false">Sales_Transactions!E527</f>
        <v>P008</v>
      </c>
      <c r="F527" s="42" t="str">
        <f aca="false">IFERROR(INDEX(Customer_Master!$C$2:$C$49,MATCH(D527,Customer_Master!$A$2:$A$49,0)),"UNMATCHED")</f>
        <v>North</v>
      </c>
      <c r="G527" s="42" t="str">
        <f aca="false">IFERROR(INDEX(Customer_Master!$D$2:$D$49,MATCH(D527,Customer_Master!$A$2:$A$49,0)),"UNMATCHED")</f>
        <v>Distributor</v>
      </c>
      <c r="H527" s="42" t="str">
        <f aca="false">IFERROR(INDEX(Product_Master!$C$2:$C$9,MATCH(E527,Product_Master!$A$2:$A$9,0)),"UNMATCHED")</f>
        <v>Personal Care</v>
      </c>
      <c r="I527" s="42" t="str">
        <f aca="false">IFERROR(INDEX(Product_Master!$B$2:$B$9,MATCH(E527,Product_Master!$A$2:$A$9,0)),"UNMATCHED")</f>
        <v>Body Lotion</v>
      </c>
      <c r="J527" s="42" t="n">
        <f aca="false">IFERROR(INDEX(Calendar!$B$2:$B$25,MATCH(B527,Calendar!$A$2:$A$25,0)),0)</f>
        <v>2026</v>
      </c>
      <c r="K527" s="42" t="n">
        <f aca="false">IFERROR(VALUE(RIGHT(B527,2)),0)</f>
        <v>3</v>
      </c>
      <c r="L527" s="42" t="str">
        <f aca="false">IFERROR(INDEX(Calendar!$E$2:$E$25,MATCH(B527,Calendar!$A$2:$A$25,0)),"UNMATCHED")</f>
        <v>Actual</v>
      </c>
      <c r="M527" s="42" t="n">
        <f aca="false">Sales_Transactions!F527</f>
        <v>125</v>
      </c>
      <c r="N527" s="52" t="n">
        <f aca="false">Sales_Transactions!I527</f>
        <v>36256.25</v>
      </c>
      <c r="O527" s="52" t="n">
        <f aca="false">Sales_Transactions!J527</f>
        <v>24893.75</v>
      </c>
      <c r="P527" s="52" t="n">
        <f aca="false">Sales_Transactions!K527</f>
        <v>11362.5</v>
      </c>
      <c r="Q527" s="42" t="n">
        <f aca="false">IF(ISNUMBER(MATCH(E527,Product_Master!$A$2:$A$9,0)),0,1)</f>
        <v>0</v>
      </c>
      <c r="R527" s="42" t="n">
        <f aca="false">IF(ISNUMBER(MATCH(D527,Customer_Master!$A$2:$A$49,0)),0,1)</f>
        <v>0</v>
      </c>
      <c r="S527" s="42" t="n">
        <f aca="false">IF(ISNUMBER(MATCH(B527,Calendar!$A$2:$A$25,0)),0,1)</f>
        <v>0</v>
      </c>
      <c r="T527" s="42" t="n">
        <f aca="false">IF(COUNTIF(Sales_Transactions!$A$2:$A$865,A527)&gt;1,1,0)</f>
        <v>0</v>
      </c>
      <c r="U527" s="42" t="n">
        <f aca="false">IF(OR(ABS(Sales_Transactions!F527*Sales_Transactions!G527-Sales_Transactions!I527)&gt;0.01,ABS(Sales_Transactions!F527*Sales_Transactions!H527-Sales_Transactions!J527)&gt;0.01,ABS(Sales_Transactions!I527-Sales_Transactions!J527-Sales_Transactions!K527)&gt;0.01),1,0)</f>
        <v>0</v>
      </c>
      <c r="V527" s="42" t="n">
        <f aca="false">IF(C527&lt;&gt;L527,1,0)</f>
        <v>0</v>
      </c>
      <c r="W527" s="42" t="n">
        <f aca="false">IF(SUM(Q527:V527)&gt;0,1,0)</f>
        <v>0</v>
      </c>
    </row>
    <row r="528" customFormat="false" ht="15" hidden="false" customHeight="false" outlineLevel="0" collapsed="false">
      <c r="A528" s="42" t="str">
        <f aca="false">Sales_Transactions!A528</f>
        <v>INV-15-023</v>
      </c>
      <c r="B528" s="42" t="str">
        <f aca="false">Sales_Transactions!B528</f>
        <v>2026-03</v>
      </c>
      <c r="C528" s="42" t="str">
        <f aca="false">Sales_Transactions!C528</f>
        <v>Actual</v>
      </c>
      <c r="D528" s="42" t="str">
        <f aca="false">Sales_Transactions!D528</f>
        <v>C005</v>
      </c>
      <c r="E528" s="42" t="str">
        <f aca="false">Sales_Transactions!E528</f>
        <v>P005</v>
      </c>
      <c r="F528" s="42" t="str">
        <f aca="false">IFERROR(INDEX(Customer_Master!$C$2:$C$49,MATCH(D528,Customer_Master!$A$2:$A$49,0)),"UNMATCHED")</f>
        <v>South</v>
      </c>
      <c r="G528" s="42" t="str">
        <f aca="false">IFERROR(INDEX(Customer_Master!$D$2:$D$49,MATCH(D528,Customer_Master!$A$2:$A$49,0)),"UNMATCHED")</f>
        <v>Modern Trade</v>
      </c>
      <c r="H528" s="42" t="str">
        <f aca="false">IFERROR(INDEX(Product_Master!$C$2:$C$9,MATCH(E528,Product_Master!$A$2:$A$9,0)),"UNMATCHED")</f>
        <v>Foods</v>
      </c>
      <c r="I528" s="42" t="str">
        <f aca="false">IFERROR(INDEX(Product_Master!$B$2:$B$9,MATCH(E528,Product_Master!$A$2:$A$9,0)),"UNMATCHED")</f>
        <v>Biscuits 500g</v>
      </c>
      <c r="J528" s="42" t="n">
        <f aca="false">IFERROR(INDEX(Calendar!$B$2:$B$25,MATCH(B528,Calendar!$A$2:$A$25,0)),0)</f>
        <v>2026</v>
      </c>
      <c r="K528" s="42" t="n">
        <f aca="false">IFERROR(VALUE(RIGHT(B528,2)),0)</f>
        <v>3</v>
      </c>
      <c r="L528" s="42" t="str">
        <f aca="false">IFERROR(INDEX(Calendar!$E$2:$E$25,MATCH(B528,Calendar!$A$2:$A$25,0)),"UNMATCHED")</f>
        <v>Actual</v>
      </c>
      <c r="M528" s="42" t="n">
        <f aca="false">Sales_Transactions!F528</f>
        <v>161</v>
      </c>
      <c r="N528" s="52" t="n">
        <f aca="false">Sales_Transactions!I528</f>
        <v>17025.75</v>
      </c>
      <c r="O528" s="52" t="n">
        <f aca="false">Sales_Transactions!J528</f>
        <v>11297.37</v>
      </c>
      <c r="P528" s="52" t="n">
        <f aca="false">Sales_Transactions!K528</f>
        <v>5728.38</v>
      </c>
      <c r="Q528" s="42" t="n">
        <f aca="false">IF(ISNUMBER(MATCH(E528,Product_Master!$A$2:$A$9,0)),0,1)</f>
        <v>0</v>
      </c>
      <c r="R528" s="42" t="n">
        <f aca="false">IF(ISNUMBER(MATCH(D528,Customer_Master!$A$2:$A$49,0)),0,1)</f>
        <v>0</v>
      </c>
      <c r="S528" s="42" t="n">
        <f aca="false">IF(ISNUMBER(MATCH(B528,Calendar!$A$2:$A$25,0)),0,1)</f>
        <v>0</v>
      </c>
      <c r="T528" s="42" t="n">
        <f aca="false">IF(COUNTIF(Sales_Transactions!$A$2:$A$865,A528)&gt;1,1,0)</f>
        <v>0</v>
      </c>
      <c r="U528" s="42" t="n">
        <f aca="false">IF(OR(ABS(Sales_Transactions!F528*Sales_Transactions!G528-Sales_Transactions!I528)&gt;0.01,ABS(Sales_Transactions!F528*Sales_Transactions!H528-Sales_Transactions!J528)&gt;0.01,ABS(Sales_Transactions!I528-Sales_Transactions!J528-Sales_Transactions!K528)&gt;0.01),1,0)</f>
        <v>0</v>
      </c>
      <c r="V528" s="42" t="n">
        <f aca="false">IF(C528&lt;&gt;L528,1,0)</f>
        <v>0</v>
      </c>
      <c r="W528" s="42" t="n">
        <f aca="false">IF(SUM(Q528:V528)&gt;0,1,0)</f>
        <v>0</v>
      </c>
    </row>
    <row r="529" customFormat="false" ht="15" hidden="false" customHeight="false" outlineLevel="0" collapsed="false">
      <c r="A529" s="42" t="str">
        <f aca="false">Sales_Transactions!A529</f>
        <v>INV-15-024</v>
      </c>
      <c r="B529" s="42" t="str">
        <f aca="false">Sales_Transactions!B529</f>
        <v>2026-03</v>
      </c>
      <c r="C529" s="42" t="str">
        <f aca="false">Sales_Transactions!C529</f>
        <v>Actual</v>
      </c>
      <c r="D529" s="42" t="str">
        <f aca="false">Sales_Transactions!D529</f>
        <v>C012</v>
      </c>
      <c r="E529" s="42" t="str">
        <f aca="false">Sales_Transactions!E529</f>
        <v>P002</v>
      </c>
      <c r="F529" s="42" t="str">
        <f aca="false">IFERROR(INDEX(Customer_Master!$C$2:$C$49,MATCH(D529,Customer_Master!$A$2:$A$49,0)),"UNMATCHED")</f>
        <v>East</v>
      </c>
      <c r="G529" s="42" t="str">
        <f aca="false">IFERROR(INDEX(Customer_Master!$D$2:$D$49,MATCH(D529,Customer_Master!$A$2:$A$49,0)),"UNMATCHED")</f>
        <v>Retail</v>
      </c>
      <c r="H529" s="42" t="str">
        <f aca="false">IFERROR(INDEX(Product_Master!$C$2:$C$9,MATCH(E529,Product_Master!$A$2:$A$9,0)),"UNMATCHED")</f>
        <v>Home Care</v>
      </c>
      <c r="I529" s="42" t="str">
        <f aca="false">IFERROR(INDEX(Product_Master!$B$2:$B$9,MATCH(E529,Product_Master!$A$2:$A$9,0)),"UNMATCHED")</f>
        <v>Dishwash Gel</v>
      </c>
      <c r="J529" s="42" t="n">
        <f aca="false">IFERROR(INDEX(Calendar!$B$2:$B$25,MATCH(B529,Calendar!$A$2:$A$25,0)),0)</f>
        <v>2026</v>
      </c>
      <c r="K529" s="42" t="n">
        <f aca="false">IFERROR(VALUE(RIGHT(B529,2)),0)</f>
        <v>3</v>
      </c>
      <c r="L529" s="42" t="str">
        <f aca="false">IFERROR(INDEX(Calendar!$E$2:$E$25,MATCH(B529,Calendar!$A$2:$A$25,0)),"UNMATCHED")</f>
        <v>Actual</v>
      </c>
      <c r="M529" s="42" t="n">
        <f aca="false">Sales_Transactions!F529</f>
        <v>355</v>
      </c>
      <c r="N529" s="52" t="n">
        <f aca="false">Sales_Transactions!I529</f>
        <v>48645.65</v>
      </c>
      <c r="O529" s="52" t="n">
        <f aca="false">Sales_Transactions!J529</f>
        <v>30657.8</v>
      </c>
      <c r="P529" s="52" t="n">
        <f aca="false">Sales_Transactions!K529</f>
        <v>17987.85</v>
      </c>
      <c r="Q529" s="42" t="n">
        <f aca="false">IF(ISNUMBER(MATCH(E529,Product_Master!$A$2:$A$9,0)),0,1)</f>
        <v>0</v>
      </c>
      <c r="R529" s="42" t="n">
        <f aca="false">IF(ISNUMBER(MATCH(D529,Customer_Master!$A$2:$A$49,0)),0,1)</f>
        <v>0</v>
      </c>
      <c r="S529" s="42" t="n">
        <f aca="false">IF(ISNUMBER(MATCH(B529,Calendar!$A$2:$A$25,0)),0,1)</f>
        <v>0</v>
      </c>
      <c r="T529" s="42" t="n">
        <f aca="false">IF(COUNTIF(Sales_Transactions!$A$2:$A$865,A529)&gt;1,1,0)</f>
        <v>0</v>
      </c>
      <c r="U529" s="42" t="n">
        <f aca="false">IF(OR(ABS(Sales_Transactions!F529*Sales_Transactions!G529-Sales_Transactions!I529)&gt;0.01,ABS(Sales_Transactions!F529*Sales_Transactions!H529-Sales_Transactions!J529)&gt;0.01,ABS(Sales_Transactions!I529-Sales_Transactions!J529-Sales_Transactions!K529)&gt;0.01),1,0)</f>
        <v>0</v>
      </c>
      <c r="V529" s="42" t="n">
        <f aca="false">IF(C529&lt;&gt;L529,1,0)</f>
        <v>0</v>
      </c>
      <c r="W529" s="42" t="n">
        <f aca="false">IF(SUM(Q529:V529)&gt;0,1,0)</f>
        <v>0</v>
      </c>
    </row>
    <row r="530" customFormat="false" ht="15" hidden="false" customHeight="false" outlineLevel="0" collapsed="false">
      <c r="A530" s="42" t="str">
        <f aca="false">Sales_Transactions!A530</f>
        <v>INV-15-025</v>
      </c>
      <c r="B530" s="42" t="str">
        <f aca="false">Sales_Transactions!B530</f>
        <v>2026-03</v>
      </c>
      <c r="C530" s="42" t="str">
        <f aca="false">Sales_Transactions!C530</f>
        <v>Actual</v>
      </c>
      <c r="D530" s="42" t="str">
        <f aca="false">Sales_Transactions!D530</f>
        <v>C019</v>
      </c>
      <c r="E530" s="42" t="str">
        <f aca="false">Sales_Transactions!E530</f>
        <v>P007</v>
      </c>
      <c r="F530" s="42" t="str">
        <f aca="false">IFERROR(INDEX(Customer_Master!$C$2:$C$49,MATCH(D530,Customer_Master!$A$2:$A$49,0)),"UNMATCHED")</f>
        <v>West</v>
      </c>
      <c r="G530" s="42" t="str">
        <f aca="false">IFERROR(INDEX(Customer_Master!$D$2:$D$49,MATCH(D530,Customer_Master!$A$2:$A$49,0)),"UNMATCHED")</f>
        <v>Distributor</v>
      </c>
      <c r="H530" s="42" t="str">
        <f aca="false">IFERROR(INDEX(Product_Master!$C$2:$C$9,MATCH(E530,Product_Master!$A$2:$A$9,0)),"UNMATCHED")</f>
        <v>Home Care</v>
      </c>
      <c r="I530" s="42" t="str">
        <f aca="false">IFERROR(INDEX(Product_Master!$B$2:$B$9,MATCH(E530,Product_Master!$A$2:$A$9,0)),"UNMATCHED")</f>
        <v>Floor Cleaner</v>
      </c>
      <c r="J530" s="42" t="n">
        <f aca="false">IFERROR(INDEX(Calendar!$B$2:$B$25,MATCH(B530,Calendar!$A$2:$A$25,0)),0)</f>
        <v>2026</v>
      </c>
      <c r="K530" s="42" t="n">
        <f aca="false">IFERROR(VALUE(RIGHT(B530,2)),0)</f>
        <v>3</v>
      </c>
      <c r="L530" s="42" t="str">
        <f aca="false">IFERROR(INDEX(Calendar!$E$2:$E$25,MATCH(B530,Calendar!$A$2:$A$25,0)),"UNMATCHED")</f>
        <v>Actual</v>
      </c>
      <c r="M530" s="42" t="n">
        <f aca="false">Sales_Transactions!F530</f>
        <v>206</v>
      </c>
      <c r="N530" s="52" t="n">
        <f aca="false">Sales_Transactions!I530</f>
        <v>36367.24</v>
      </c>
      <c r="O530" s="52" t="n">
        <f aca="false">Sales_Transactions!J530</f>
        <v>22280.96</v>
      </c>
      <c r="P530" s="52" t="n">
        <f aca="false">Sales_Transactions!K530</f>
        <v>14086.28</v>
      </c>
      <c r="Q530" s="42" t="n">
        <f aca="false">IF(ISNUMBER(MATCH(E530,Product_Master!$A$2:$A$9,0)),0,1)</f>
        <v>0</v>
      </c>
      <c r="R530" s="42" t="n">
        <f aca="false">IF(ISNUMBER(MATCH(D530,Customer_Master!$A$2:$A$49,0)),0,1)</f>
        <v>0</v>
      </c>
      <c r="S530" s="42" t="n">
        <f aca="false">IF(ISNUMBER(MATCH(B530,Calendar!$A$2:$A$25,0)),0,1)</f>
        <v>0</v>
      </c>
      <c r="T530" s="42" t="n">
        <f aca="false">IF(COUNTIF(Sales_Transactions!$A$2:$A$865,A530)&gt;1,1,0)</f>
        <v>0</v>
      </c>
      <c r="U530" s="42" t="n">
        <f aca="false">IF(OR(ABS(Sales_Transactions!F530*Sales_Transactions!G530-Sales_Transactions!I530)&gt;0.01,ABS(Sales_Transactions!F530*Sales_Transactions!H530-Sales_Transactions!J530)&gt;0.01,ABS(Sales_Transactions!I530-Sales_Transactions!J530-Sales_Transactions!K530)&gt;0.01),1,0)</f>
        <v>0</v>
      </c>
      <c r="V530" s="42" t="n">
        <f aca="false">IF(C530&lt;&gt;L530,1,0)</f>
        <v>0</v>
      </c>
      <c r="W530" s="42" t="n">
        <f aca="false">IF(SUM(Q530:V530)&gt;0,1,0)</f>
        <v>0</v>
      </c>
    </row>
    <row r="531" customFormat="false" ht="15" hidden="false" customHeight="false" outlineLevel="0" collapsed="false">
      <c r="A531" s="42" t="str">
        <f aca="false">Sales_Transactions!A531</f>
        <v>INV-15-026</v>
      </c>
      <c r="B531" s="42" t="str">
        <f aca="false">Sales_Transactions!B531</f>
        <v>2026-03</v>
      </c>
      <c r="C531" s="42" t="str">
        <f aca="false">Sales_Transactions!C531</f>
        <v>Actual</v>
      </c>
      <c r="D531" s="42" t="str">
        <f aca="false">Sales_Transactions!D531</f>
        <v>C026</v>
      </c>
      <c r="E531" s="42" t="str">
        <f aca="false">Sales_Transactions!E531</f>
        <v>P004</v>
      </c>
      <c r="F531" s="42" t="str">
        <f aca="false">IFERROR(INDEX(Customer_Master!$C$2:$C$49,MATCH(D531,Customer_Master!$A$2:$A$49,0)),"UNMATCHED")</f>
        <v>North</v>
      </c>
      <c r="G531" s="42" t="str">
        <f aca="false">IFERROR(INDEX(Customer_Master!$D$2:$D$49,MATCH(D531,Customer_Master!$A$2:$A$49,0)),"UNMATCHED")</f>
        <v>Modern Trade</v>
      </c>
      <c r="H531" s="42" t="str">
        <f aca="false">IFERROR(INDEX(Product_Master!$C$2:$C$9,MATCH(E531,Product_Master!$A$2:$A$9,0)),"UNMATCHED")</f>
        <v>Personal Care</v>
      </c>
      <c r="I531" s="42" t="str">
        <f aca="false">IFERROR(INDEX(Product_Master!$B$2:$B$9,MATCH(E531,Product_Master!$A$2:$A$9,0)),"UNMATCHED")</f>
        <v>Soap 4-pack</v>
      </c>
      <c r="J531" s="42" t="n">
        <f aca="false">IFERROR(INDEX(Calendar!$B$2:$B$25,MATCH(B531,Calendar!$A$2:$A$25,0)),0)</f>
        <v>2026</v>
      </c>
      <c r="K531" s="42" t="n">
        <f aca="false">IFERROR(VALUE(RIGHT(B531,2)),0)</f>
        <v>3</v>
      </c>
      <c r="L531" s="42" t="str">
        <f aca="false">IFERROR(INDEX(Calendar!$E$2:$E$25,MATCH(B531,Calendar!$A$2:$A$25,0)),"UNMATCHED")</f>
        <v>Actual</v>
      </c>
      <c r="M531" s="42" t="n">
        <f aca="false">Sales_Transactions!F531</f>
        <v>299</v>
      </c>
      <c r="N531" s="52" t="n">
        <f aca="false">Sales_Transactions!I531</f>
        <v>50916.71</v>
      </c>
      <c r="O531" s="52" t="n">
        <f aca="false">Sales_Transactions!J531</f>
        <v>29699.67</v>
      </c>
      <c r="P531" s="52" t="n">
        <f aca="false">Sales_Transactions!K531</f>
        <v>21217.04</v>
      </c>
      <c r="Q531" s="42" t="n">
        <f aca="false">IF(ISNUMBER(MATCH(E531,Product_Master!$A$2:$A$9,0)),0,1)</f>
        <v>0</v>
      </c>
      <c r="R531" s="42" t="n">
        <f aca="false">IF(ISNUMBER(MATCH(D531,Customer_Master!$A$2:$A$49,0)),0,1)</f>
        <v>0</v>
      </c>
      <c r="S531" s="42" t="n">
        <f aca="false">IF(ISNUMBER(MATCH(B531,Calendar!$A$2:$A$25,0)),0,1)</f>
        <v>0</v>
      </c>
      <c r="T531" s="42" t="n">
        <f aca="false">IF(COUNTIF(Sales_Transactions!$A$2:$A$865,A531)&gt;1,1,0)</f>
        <v>0</v>
      </c>
      <c r="U531" s="42" t="n">
        <f aca="false">IF(OR(ABS(Sales_Transactions!F531*Sales_Transactions!G531-Sales_Transactions!I531)&gt;0.01,ABS(Sales_Transactions!F531*Sales_Transactions!H531-Sales_Transactions!J531)&gt;0.01,ABS(Sales_Transactions!I531-Sales_Transactions!J531-Sales_Transactions!K531)&gt;0.01),1,0)</f>
        <v>0</v>
      </c>
      <c r="V531" s="42" t="n">
        <f aca="false">IF(C531&lt;&gt;L531,1,0)</f>
        <v>0</v>
      </c>
      <c r="W531" s="42" t="n">
        <f aca="false">IF(SUM(Q531:V531)&gt;0,1,0)</f>
        <v>0</v>
      </c>
    </row>
    <row r="532" customFormat="false" ht="15" hidden="false" customHeight="false" outlineLevel="0" collapsed="false">
      <c r="A532" s="42" t="str">
        <f aca="false">Sales_Transactions!A532</f>
        <v>INV-15-027</v>
      </c>
      <c r="B532" s="42" t="str">
        <f aca="false">Sales_Transactions!B532</f>
        <v>2026-03</v>
      </c>
      <c r="C532" s="42" t="str">
        <f aca="false">Sales_Transactions!C532</f>
        <v>Actual</v>
      </c>
      <c r="D532" s="42" t="str">
        <f aca="false">Sales_Transactions!D532</f>
        <v>C033</v>
      </c>
      <c r="E532" s="42" t="str">
        <f aca="false">Sales_Transactions!E532</f>
        <v>P001</v>
      </c>
      <c r="F532" s="42" t="str">
        <f aca="false">IFERROR(INDEX(Customer_Master!$C$2:$C$49,MATCH(D532,Customer_Master!$A$2:$A$49,0)),"UNMATCHED")</f>
        <v>South</v>
      </c>
      <c r="G532" s="42" t="str">
        <f aca="false">IFERROR(INDEX(Customer_Master!$D$2:$D$49,MATCH(D532,Customer_Master!$A$2:$A$49,0)),"UNMATCHED")</f>
        <v>Retail</v>
      </c>
      <c r="H532" s="42" t="str">
        <f aca="false">IFERROR(INDEX(Product_Master!$C$2:$C$9,MATCH(E532,Product_Master!$A$2:$A$9,0)),"UNMATCHED")</f>
        <v>Home Care</v>
      </c>
      <c r="I532" s="42" t="str">
        <f aca="false">IFERROR(INDEX(Product_Master!$B$2:$B$9,MATCH(E532,Product_Master!$A$2:$A$9,0)),"UNMATCHED")</f>
        <v>Detergent 1kg</v>
      </c>
      <c r="J532" s="42" t="n">
        <f aca="false">IFERROR(INDEX(Calendar!$B$2:$B$25,MATCH(B532,Calendar!$A$2:$A$25,0)),0)</f>
        <v>2026</v>
      </c>
      <c r="K532" s="42" t="n">
        <f aca="false">IFERROR(VALUE(RIGHT(B532,2)),0)</f>
        <v>3</v>
      </c>
      <c r="L532" s="42" t="str">
        <f aca="false">IFERROR(INDEX(Calendar!$E$2:$E$25,MATCH(B532,Calendar!$A$2:$A$25,0)),"UNMATCHED")</f>
        <v>Actual</v>
      </c>
      <c r="M532" s="42" t="n">
        <f aca="false">Sales_Transactions!F532</f>
        <v>117</v>
      </c>
      <c r="N532" s="52" t="n">
        <f aca="false">Sales_Transactions!I532</f>
        <v>22221.81</v>
      </c>
      <c r="O532" s="52" t="n">
        <f aca="false">Sales_Transactions!J532</f>
        <v>16504.02</v>
      </c>
      <c r="P532" s="52" t="n">
        <f aca="false">Sales_Transactions!K532</f>
        <v>5717.79</v>
      </c>
      <c r="Q532" s="42" t="n">
        <f aca="false">IF(ISNUMBER(MATCH(E532,Product_Master!$A$2:$A$9,0)),0,1)</f>
        <v>0</v>
      </c>
      <c r="R532" s="42" t="n">
        <f aca="false">IF(ISNUMBER(MATCH(D532,Customer_Master!$A$2:$A$49,0)),0,1)</f>
        <v>0</v>
      </c>
      <c r="S532" s="42" t="n">
        <f aca="false">IF(ISNUMBER(MATCH(B532,Calendar!$A$2:$A$25,0)),0,1)</f>
        <v>0</v>
      </c>
      <c r="T532" s="42" t="n">
        <f aca="false">IF(COUNTIF(Sales_Transactions!$A$2:$A$865,A532)&gt;1,1,0)</f>
        <v>0</v>
      </c>
      <c r="U532" s="42" t="n">
        <f aca="false">IF(OR(ABS(Sales_Transactions!F532*Sales_Transactions!G532-Sales_Transactions!I532)&gt;0.01,ABS(Sales_Transactions!F532*Sales_Transactions!H532-Sales_Transactions!J532)&gt;0.01,ABS(Sales_Transactions!I532-Sales_Transactions!J532-Sales_Transactions!K532)&gt;0.01),1,0)</f>
        <v>0</v>
      </c>
      <c r="V532" s="42" t="n">
        <f aca="false">IF(C532&lt;&gt;L532,1,0)</f>
        <v>0</v>
      </c>
      <c r="W532" s="42" t="n">
        <f aca="false">IF(SUM(Q532:V532)&gt;0,1,0)</f>
        <v>0</v>
      </c>
    </row>
    <row r="533" customFormat="false" ht="15" hidden="false" customHeight="false" outlineLevel="0" collapsed="false">
      <c r="A533" s="42" t="str">
        <f aca="false">Sales_Transactions!A533</f>
        <v>INV-15-028</v>
      </c>
      <c r="B533" s="42" t="str">
        <f aca="false">Sales_Transactions!B533</f>
        <v>2026-03</v>
      </c>
      <c r="C533" s="42" t="str">
        <f aca="false">Sales_Transactions!C533</f>
        <v>Actual</v>
      </c>
      <c r="D533" s="42" t="str">
        <f aca="false">Sales_Transactions!D533</f>
        <v>C040</v>
      </c>
      <c r="E533" s="42" t="str">
        <f aca="false">Sales_Transactions!E533</f>
        <v>P006</v>
      </c>
      <c r="F533" s="42" t="str">
        <f aca="false">IFERROR(INDEX(Customer_Master!$C$2:$C$49,MATCH(D533,Customer_Master!$A$2:$A$49,0)),"UNMATCHED")</f>
        <v>East</v>
      </c>
      <c r="G533" s="42" t="str">
        <f aca="false">IFERROR(INDEX(Customer_Master!$D$2:$D$49,MATCH(D533,Customer_Master!$A$2:$A$49,0)),"UNMATCHED")</f>
        <v>Distributor</v>
      </c>
      <c r="H533" s="42" t="str">
        <f aca="false">IFERROR(INDEX(Product_Master!$C$2:$C$9,MATCH(E533,Product_Master!$A$2:$A$9,0)),"UNMATCHED")</f>
        <v>Foods</v>
      </c>
      <c r="I533" s="42" t="str">
        <f aca="false">IFERROR(INDEX(Product_Master!$B$2:$B$9,MATCH(E533,Product_Master!$A$2:$A$9,0)),"UNMATCHED")</f>
        <v>Breakfast Cereal</v>
      </c>
      <c r="J533" s="42" t="n">
        <f aca="false">IFERROR(INDEX(Calendar!$B$2:$B$25,MATCH(B533,Calendar!$A$2:$A$25,0)),0)</f>
        <v>2026</v>
      </c>
      <c r="K533" s="42" t="n">
        <f aca="false">IFERROR(VALUE(RIGHT(B533,2)),0)</f>
        <v>3</v>
      </c>
      <c r="L533" s="42" t="str">
        <f aca="false">IFERROR(INDEX(Calendar!$E$2:$E$25,MATCH(B533,Calendar!$A$2:$A$25,0)),"UNMATCHED")</f>
        <v>Actual</v>
      </c>
      <c r="M533" s="42" t="n">
        <f aca="false">Sales_Transactions!F533</f>
        <v>390</v>
      </c>
      <c r="N533" s="52" t="n">
        <f aca="false">Sales_Transactions!I533</f>
        <v>95440.8</v>
      </c>
      <c r="O533" s="52" t="n">
        <f aca="false">Sales_Transactions!J533</f>
        <v>63020.1</v>
      </c>
      <c r="P533" s="52" t="n">
        <f aca="false">Sales_Transactions!K533</f>
        <v>32420.7</v>
      </c>
      <c r="Q533" s="42" t="n">
        <f aca="false">IF(ISNUMBER(MATCH(E533,Product_Master!$A$2:$A$9,0)),0,1)</f>
        <v>0</v>
      </c>
      <c r="R533" s="42" t="n">
        <f aca="false">IF(ISNUMBER(MATCH(D533,Customer_Master!$A$2:$A$49,0)),0,1)</f>
        <v>0</v>
      </c>
      <c r="S533" s="42" t="n">
        <f aca="false">IF(ISNUMBER(MATCH(B533,Calendar!$A$2:$A$25,0)),0,1)</f>
        <v>0</v>
      </c>
      <c r="T533" s="42" t="n">
        <f aca="false">IF(COUNTIF(Sales_Transactions!$A$2:$A$865,A533)&gt;1,1,0)</f>
        <v>0</v>
      </c>
      <c r="U533" s="42" t="n">
        <f aca="false">IF(OR(ABS(Sales_Transactions!F533*Sales_Transactions!G533-Sales_Transactions!I533)&gt;0.01,ABS(Sales_Transactions!F533*Sales_Transactions!H533-Sales_Transactions!J533)&gt;0.01,ABS(Sales_Transactions!I533-Sales_Transactions!J533-Sales_Transactions!K533)&gt;0.01),1,0)</f>
        <v>0</v>
      </c>
      <c r="V533" s="42" t="n">
        <f aca="false">IF(C533&lt;&gt;L533,1,0)</f>
        <v>0</v>
      </c>
      <c r="W533" s="42" t="n">
        <f aca="false">IF(SUM(Q533:V533)&gt;0,1,0)</f>
        <v>0</v>
      </c>
    </row>
    <row r="534" customFormat="false" ht="15" hidden="false" customHeight="false" outlineLevel="0" collapsed="false">
      <c r="A534" s="42" t="str">
        <f aca="false">Sales_Transactions!A534</f>
        <v>INV-15-029</v>
      </c>
      <c r="B534" s="42" t="str">
        <f aca="false">Sales_Transactions!B534</f>
        <v>2026-03</v>
      </c>
      <c r="C534" s="42" t="str">
        <f aca="false">Sales_Transactions!C534</f>
        <v>Actual</v>
      </c>
      <c r="D534" s="42" t="str">
        <f aca="false">Sales_Transactions!D534</f>
        <v>C047</v>
      </c>
      <c r="E534" s="42" t="str">
        <f aca="false">Sales_Transactions!E534</f>
        <v>P003</v>
      </c>
      <c r="F534" s="42" t="str">
        <f aca="false">IFERROR(INDEX(Customer_Master!$C$2:$C$49,MATCH(D534,Customer_Master!$A$2:$A$49,0)),"UNMATCHED")</f>
        <v>West</v>
      </c>
      <c r="G534" s="42" t="str">
        <f aca="false">IFERROR(INDEX(Customer_Master!$D$2:$D$49,MATCH(D534,Customer_Master!$A$2:$A$49,0)),"UNMATCHED")</f>
        <v>Modern Trade</v>
      </c>
      <c r="H534" s="42" t="str">
        <f aca="false">IFERROR(INDEX(Product_Master!$C$2:$C$9,MATCH(E534,Product_Master!$A$2:$A$9,0)),"UNMATCHED")</f>
        <v>Personal Care</v>
      </c>
      <c r="I534" s="42" t="str">
        <f aca="false">IFERROR(INDEX(Product_Master!$B$2:$B$9,MATCH(E534,Product_Master!$A$2:$A$9,0)),"UNMATCHED")</f>
        <v>Shampoo 400ml</v>
      </c>
      <c r="J534" s="42" t="n">
        <f aca="false">IFERROR(INDEX(Calendar!$B$2:$B$25,MATCH(B534,Calendar!$A$2:$A$25,0)),0)</f>
        <v>2026</v>
      </c>
      <c r="K534" s="42" t="n">
        <f aca="false">IFERROR(VALUE(RIGHT(B534,2)),0)</f>
        <v>3</v>
      </c>
      <c r="L534" s="42" t="str">
        <f aca="false">IFERROR(INDEX(Calendar!$E$2:$E$25,MATCH(B534,Calendar!$A$2:$A$25,0)),"UNMATCHED")</f>
        <v>Actual</v>
      </c>
      <c r="M534" s="42" t="n">
        <f aca="false">Sales_Transactions!F534</f>
        <v>379</v>
      </c>
      <c r="N534" s="52" t="n">
        <f aca="false">Sales_Transactions!I534</f>
        <v>97785.79</v>
      </c>
      <c r="O534" s="52" t="n">
        <f aca="false">Sales_Transactions!J534</f>
        <v>63334.69</v>
      </c>
      <c r="P534" s="52" t="n">
        <f aca="false">Sales_Transactions!K534</f>
        <v>34451.1</v>
      </c>
      <c r="Q534" s="42" t="n">
        <f aca="false">IF(ISNUMBER(MATCH(E534,Product_Master!$A$2:$A$9,0)),0,1)</f>
        <v>0</v>
      </c>
      <c r="R534" s="42" t="n">
        <f aca="false">IF(ISNUMBER(MATCH(D534,Customer_Master!$A$2:$A$49,0)),0,1)</f>
        <v>0</v>
      </c>
      <c r="S534" s="42" t="n">
        <f aca="false">IF(ISNUMBER(MATCH(B534,Calendar!$A$2:$A$25,0)),0,1)</f>
        <v>0</v>
      </c>
      <c r="T534" s="42" t="n">
        <f aca="false">IF(COUNTIF(Sales_Transactions!$A$2:$A$865,A534)&gt;1,1,0)</f>
        <v>0</v>
      </c>
      <c r="U534" s="42" t="n">
        <f aca="false">IF(OR(ABS(Sales_Transactions!F534*Sales_Transactions!G534-Sales_Transactions!I534)&gt;0.01,ABS(Sales_Transactions!F534*Sales_Transactions!H534-Sales_Transactions!J534)&gt;0.01,ABS(Sales_Transactions!I534-Sales_Transactions!J534-Sales_Transactions!K534)&gt;0.01),1,0)</f>
        <v>0</v>
      </c>
      <c r="V534" s="42" t="n">
        <f aca="false">IF(C534&lt;&gt;L534,1,0)</f>
        <v>0</v>
      </c>
      <c r="W534" s="42" t="n">
        <f aca="false">IF(SUM(Q534:V534)&gt;0,1,0)</f>
        <v>0</v>
      </c>
    </row>
    <row r="535" customFormat="false" ht="15" hidden="false" customHeight="false" outlineLevel="0" collapsed="false">
      <c r="A535" s="42" t="str">
        <f aca="false">Sales_Transactions!A535</f>
        <v>INV-15-030</v>
      </c>
      <c r="B535" s="42" t="str">
        <f aca="false">Sales_Transactions!B535</f>
        <v>2026-03</v>
      </c>
      <c r="C535" s="42" t="str">
        <f aca="false">Sales_Transactions!C535</f>
        <v>Actual</v>
      </c>
      <c r="D535" s="42" t="str">
        <f aca="false">Sales_Transactions!D535</f>
        <v>C006</v>
      </c>
      <c r="E535" s="42" t="str">
        <f aca="false">Sales_Transactions!E535</f>
        <v>P008</v>
      </c>
      <c r="F535" s="42" t="str">
        <f aca="false">IFERROR(INDEX(Customer_Master!$C$2:$C$49,MATCH(D535,Customer_Master!$A$2:$A$49,0)),"UNMATCHED")</f>
        <v>North</v>
      </c>
      <c r="G535" s="42" t="str">
        <f aca="false">IFERROR(INDEX(Customer_Master!$D$2:$D$49,MATCH(D535,Customer_Master!$A$2:$A$49,0)),"UNMATCHED")</f>
        <v>Retail</v>
      </c>
      <c r="H535" s="42" t="str">
        <f aca="false">IFERROR(INDEX(Product_Master!$C$2:$C$9,MATCH(E535,Product_Master!$A$2:$A$9,0)),"UNMATCHED")</f>
        <v>Personal Care</v>
      </c>
      <c r="I535" s="42" t="str">
        <f aca="false">IFERROR(INDEX(Product_Master!$B$2:$B$9,MATCH(E535,Product_Master!$A$2:$A$9,0)),"UNMATCHED")</f>
        <v>Body Lotion</v>
      </c>
      <c r="J535" s="42" t="n">
        <f aca="false">IFERROR(INDEX(Calendar!$B$2:$B$25,MATCH(B535,Calendar!$A$2:$A$25,0)),0)</f>
        <v>2026</v>
      </c>
      <c r="K535" s="42" t="n">
        <f aca="false">IFERROR(VALUE(RIGHT(B535,2)),0)</f>
        <v>3</v>
      </c>
      <c r="L535" s="42" t="str">
        <f aca="false">IFERROR(INDEX(Calendar!$E$2:$E$25,MATCH(B535,Calendar!$A$2:$A$25,0)),"UNMATCHED")</f>
        <v>Actual</v>
      </c>
      <c r="M535" s="42" t="n">
        <f aca="false">Sales_Transactions!F535</f>
        <v>304</v>
      </c>
      <c r="N535" s="52" t="n">
        <f aca="false">Sales_Transactions!I535</f>
        <v>87953.28</v>
      </c>
      <c r="O535" s="52" t="n">
        <f aca="false">Sales_Transactions!J535</f>
        <v>61550.88</v>
      </c>
      <c r="P535" s="52" t="n">
        <f aca="false">Sales_Transactions!K535</f>
        <v>26402.4</v>
      </c>
      <c r="Q535" s="42" t="n">
        <f aca="false">IF(ISNUMBER(MATCH(E535,Product_Master!$A$2:$A$9,0)),0,1)</f>
        <v>0</v>
      </c>
      <c r="R535" s="42" t="n">
        <f aca="false">IF(ISNUMBER(MATCH(D535,Customer_Master!$A$2:$A$49,0)),0,1)</f>
        <v>0</v>
      </c>
      <c r="S535" s="42" t="n">
        <f aca="false">IF(ISNUMBER(MATCH(B535,Calendar!$A$2:$A$25,0)),0,1)</f>
        <v>0</v>
      </c>
      <c r="T535" s="42" t="n">
        <f aca="false">IF(COUNTIF(Sales_Transactions!$A$2:$A$865,A535)&gt;1,1,0)</f>
        <v>0</v>
      </c>
      <c r="U535" s="42" t="n">
        <f aca="false">IF(OR(ABS(Sales_Transactions!F535*Sales_Transactions!G535-Sales_Transactions!I535)&gt;0.01,ABS(Sales_Transactions!F535*Sales_Transactions!H535-Sales_Transactions!J535)&gt;0.01,ABS(Sales_Transactions!I535-Sales_Transactions!J535-Sales_Transactions!K535)&gt;0.01),1,0)</f>
        <v>0</v>
      </c>
      <c r="V535" s="42" t="n">
        <f aca="false">IF(C535&lt;&gt;L535,1,0)</f>
        <v>0</v>
      </c>
      <c r="W535" s="42" t="n">
        <f aca="false">IF(SUM(Q535:V535)&gt;0,1,0)</f>
        <v>0</v>
      </c>
    </row>
    <row r="536" customFormat="false" ht="15" hidden="false" customHeight="false" outlineLevel="0" collapsed="false">
      <c r="A536" s="42" t="str">
        <f aca="false">Sales_Transactions!A536</f>
        <v>INV-15-031</v>
      </c>
      <c r="B536" s="42" t="str">
        <f aca="false">Sales_Transactions!B536</f>
        <v>2026-03</v>
      </c>
      <c r="C536" s="42" t="str">
        <f aca="false">Sales_Transactions!C536</f>
        <v>Actual</v>
      </c>
      <c r="D536" s="42" t="str">
        <f aca="false">Sales_Transactions!D536</f>
        <v>C013</v>
      </c>
      <c r="E536" s="42" t="str">
        <f aca="false">Sales_Transactions!E536</f>
        <v>P005</v>
      </c>
      <c r="F536" s="42" t="str">
        <f aca="false">IFERROR(INDEX(Customer_Master!$C$2:$C$49,MATCH(D536,Customer_Master!$A$2:$A$49,0)),"UNMATCHED")</f>
        <v>South</v>
      </c>
      <c r="G536" s="42" t="str">
        <f aca="false">IFERROR(INDEX(Customer_Master!$D$2:$D$49,MATCH(D536,Customer_Master!$A$2:$A$49,0)),"UNMATCHED")</f>
        <v>Distributor</v>
      </c>
      <c r="H536" s="42" t="str">
        <f aca="false">IFERROR(INDEX(Product_Master!$C$2:$C$9,MATCH(E536,Product_Master!$A$2:$A$9,0)),"UNMATCHED")</f>
        <v>Foods</v>
      </c>
      <c r="I536" s="42" t="str">
        <f aca="false">IFERROR(INDEX(Product_Master!$B$2:$B$9,MATCH(E536,Product_Master!$A$2:$A$9,0)),"UNMATCHED")</f>
        <v>Biscuits 500g</v>
      </c>
      <c r="J536" s="42" t="n">
        <f aca="false">IFERROR(INDEX(Calendar!$B$2:$B$25,MATCH(B536,Calendar!$A$2:$A$25,0)),0)</f>
        <v>2026</v>
      </c>
      <c r="K536" s="42" t="n">
        <f aca="false">IFERROR(VALUE(RIGHT(B536,2)),0)</f>
        <v>3</v>
      </c>
      <c r="L536" s="42" t="str">
        <f aca="false">IFERROR(INDEX(Calendar!$E$2:$E$25,MATCH(B536,Calendar!$A$2:$A$25,0)),"UNMATCHED")</f>
        <v>Actual</v>
      </c>
      <c r="M536" s="42" t="n">
        <f aca="false">Sales_Transactions!F536</f>
        <v>377</v>
      </c>
      <c r="N536" s="52" t="n">
        <f aca="false">Sales_Transactions!I536</f>
        <v>39155.22</v>
      </c>
      <c r="O536" s="52" t="n">
        <f aca="false">Sales_Transactions!J536</f>
        <v>26261.82</v>
      </c>
      <c r="P536" s="52" t="n">
        <f aca="false">Sales_Transactions!K536</f>
        <v>12893.4</v>
      </c>
      <c r="Q536" s="42" t="n">
        <f aca="false">IF(ISNUMBER(MATCH(E536,Product_Master!$A$2:$A$9,0)),0,1)</f>
        <v>0</v>
      </c>
      <c r="R536" s="42" t="n">
        <f aca="false">IF(ISNUMBER(MATCH(D536,Customer_Master!$A$2:$A$49,0)),0,1)</f>
        <v>0</v>
      </c>
      <c r="S536" s="42" t="n">
        <f aca="false">IF(ISNUMBER(MATCH(B536,Calendar!$A$2:$A$25,0)),0,1)</f>
        <v>0</v>
      </c>
      <c r="T536" s="42" t="n">
        <f aca="false">IF(COUNTIF(Sales_Transactions!$A$2:$A$865,A536)&gt;1,1,0)</f>
        <v>0</v>
      </c>
      <c r="U536" s="42" t="n">
        <f aca="false">IF(OR(ABS(Sales_Transactions!F536*Sales_Transactions!G536-Sales_Transactions!I536)&gt;0.01,ABS(Sales_Transactions!F536*Sales_Transactions!H536-Sales_Transactions!J536)&gt;0.01,ABS(Sales_Transactions!I536-Sales_Transactions!J536-Sales_Transactions!K536)&gt;0.01),1,0)</f>
        <v>0</v>
      </c>
      <c r="V536" s="42" t="n">
        <f aca="false">IF(C536&lt;&gt;L536,1,0)</f>
        <v>0</v>
      </c>
      <c r="W536" s="42" t="n">
        <f aca="false">IF(SUM(Q536:V536)&gt;0,1,0)</f>
        <v>0</v>
      </c>
    </row>
    <row r="537" customFormat="false" ht="15" hidden="false" customHeight="false" outlineLevel="0" collapsed="false">
      <c r="A537" s="42" t="str">
        <f aca="false">Sales_Transactions!A537</f>
        <v>INV-15-032</v>
      </c>
      <c r="B537" s="42" t="str">
        <f aca="false">Sales_Transactions!B537</f>
        <v>2026-03</v>
      </c>
      <c r="C537" s="42" t="str">
        <f aca="false">Sales_Transactions!C537</f>
        <v>Actual</v>
      </c>
      <c r="D537" s="42" t="str">
        <f aca="false">Sales_Transactions!D537</f>
        <v>C020</v>
      </c>
      <c r="E537" s="42" t="str">
        <f aca="false">Sales_Transactions!E537</f>
        <v>P002</v>
      </c>
      <c r="F537" s="42" t="str">
        <f aca="false">IFERROR(INDEX(Customer_Master!$C$2:$C$49,MATCH(D537,Customer_Master!$A$2:$A$49,0)),"UNMATCHED")</f>
        <v>East</v>
      </c>
      <c r="G537" s="42" t="str">
        <f aca="false">IFERROR(INDEX(Customer_Master!$D$2:$D$49,MATCH(D537,Customer_Master!$A$2:$A$49,0)),"UNMATCHED")</f>
        <v>Modern Trade</v>
      </c>
      <c r="H537" s="42" t="str">
        <f aca="false">IFERROR(INDEX(Product_Master!$C$2:$C$9,MATCH(E537,Product_Master!$A$2:$A$9,0)),"UNMATCHED")</f>
        <v>Home Care</v>
      </c>
      <c r="I537" s="42" t="str">
        <f aca="false">IFERROR(INDEX(Product_Master!$B$2:$B$9,MATCH(E537,Product_Master!$A$2:$A$9,0)),"UNMATCHED")</f>
        <v>Dishwash Gel</v>
      </c>
      <c r="J537" s="42" t="n">
        <f aca="false">IFERROR(INDEX(Calendar!$B$2:$B$25,MATCH(B537,Calendar!$A$2:$A$25,0)),0)</f>
        <v>2026</v>
      </c>
      <c r="K537" s="42" t="n">
        <f aca="false">IFERROR(VALUE(RIGHT(B537,2)),0)</f>
        <v>3</v>
      </c>
      <c r="L537" s="42" t="str">
        <f aca="false">IFERROR(INDEX(Calendar!$E$2:$E$25,MATCH(B537,Calendar!$A$2:$A$25,0)),"UNMATCHED")</f>
        <v>Actual</v>
      </c>
      <c r="M537" s="42" t="n">
        <f aca="false">Sales_Transactions!F537</f>
        <v>128</v>
      </c>
      <c r="N537" s="52" t="n">
        <f aca="false">Sales_Transactions!I537</f>
        <v>17781.76</v>
      </c>
      <c r="O537" s="52" t="n">
        <f aca="false">Sales_Transactions!J537</f>
        <v>10530.56</v>
      </c>
      <c r="P537" s="52" t="n">
        <f aca="false">Sales_Transactions!K537</f>
        <v>7251.2</v>
      </c>
      <c r="Q537" s="42" t="n">
        <f aca="false">IF(ISNUMBER(MATCH(E537,Product_Master!$A$2:$A$9,0)),0,1)</f>
        <v>0</v>
      </c>
      <c r="R537" s="42" t="n">
        <f aca="false">IF(ISNUMBER(MATCH(D537,Customer_Master!$A$2:$A$49,0)),0,1)</f>
        <v>0</v>
      </c>
      <c r="S537" s="42" t="n">
        <f aca="false">IF(ISNUMBER(MATCH(B537,Calendar!$A$2:$A$25,0)),0,1)</f>
        <v>0</v>
      </c>
      <c r="T537" s="42" t="n">
        <f aca="false">IF(COUNTIF(Sales_Transactions!$A$2:$A$865,A537)&gt;1,1,0)</f>
        <v>0</v>
      </c>
      <c r="U537" s="42" t="n">
        <f aca="false">IF(OR(ABS(Sales_Transactions!F537*Sales_Transactions!G537-Sales_Transactions!I537)&gt;0.01,ABS(Sales_Transactions!F537*Sales_Transactions!H537-Sales_Transactions!J537)&gt;0.01,ABS(Sales_Transactions!I537-Sales_Transactions!J537-Sales_Transactions!K537)&gt;0.01),1,0)</f>
        <v>0</v>
      </c>
      <c r="V537" s="42" t="n">
        <f aca="false">IF(C537&lt;&gt;L537,1,0)</f>
        <v>0</v>
      </c>
      <c r="W537" s="42" t="n">
        <f aca="false">IF(SUM(Q537:V537)&gt;0,1,0)</f>
        <v>0</v>
      </c>
    </row>
    <row r="538" customFormat="false" ht="15" hidden="false" customHeight="false" outlineLevel="0" collapsed="false">
      <c r="A538" s="42" t="str">
        <f aca="false">Sales_Transactions!A538</f>
        <v>INV-15-033</v>
      </c>
      <c r="B538" s="42" t="str">
        <f aca="false">Sales_Transactions!B538</f>
        <v>2026-03</v>
      </c>
      <c r="C538" s="42" t="str">
        <f aca="false">Sales_Transactions!C538</f>
        <v>Actual</v>
      </c>
      <c r="D538" s="42" t="str">
        <f aca="false">Sales_Transactions!D538</f>
        <v>C027</v>
      </c>
      <c r="E538" s="42" t="str">
        <f aca="false">Sales_Transactions!E538</f>
        <v>P007</v>
      </c>
      <c r="F538" s="42" t="str">
        <f aca="false">IFERROR(INDEX(Customer_Master!$C$2:$C$49,MATCH(D538,Customer_Master!$A$2:$A$49,0)),"UNMATCHED")</f>
        <v>West</v>
      </c>
      <c r="G538" s="42" t="str">
        <f aca="false">IFERROR(INDEX(Customer_Master!$D$2:$D$49,MATCH(D538,Customer_Master!$A$2:$A$49,0)),"UNMATCHED")</f>
        <v>Retail</v>
      </c>
      <c r="H538" s="42" t="str">
        <f aca="false">IFERROR(INDEX(Product_Master!$C$2:$C$9,MATCH(E538,Product_Master!$A$2:$A$9,0)),"UNMATCHED")</f>
        <v>Home Care</v>
      </c>
      <c r="I538" s="42" t="str">
        <f aca="false">IFERROR(INDEX(Product_Master!$B$2:$B$9,MATCH(E538,Product_Master!$A$2:$A$9,0)),"UNMATCHED")</f>
        <v>Floor Cleaner</v>
      </c>
      <c r="J538" s="42" t="n">
        <f aca="false">IFERROR(INDEX(Calendar!$B$2:$B$25,MATCH(B538,Calendar!$A$2:$A$25,0)),0)</f>
        <v>2026</v>
      </c>
      <c r="K538" s="42" t="n">
        <f aca="false">IFERROR(VALUE(RIGHT(B538,2)),0)</f>
        <v>3</v>
      </c>
      <c r="L538" s="42" t="str">
        <f aca="false">IFERROR(INDEX(Calendar!$E$2:$E$25,MATCH(B538,Calendar!$A$2:$A$25,0)),"UNMATCHED")</f>
        <v>Actual</v>
      </c>
      <c r="M538" s="42" t="n">
        <f aca="false">Sales_Transactions!F538</f>
        <v>354</v>
      </c>
      <c r="N538" s="52" t="n">
        <f aca="false">Sales_Transactions!I538</f>
        <v>64619.16</v>
      </c>
      <c r="O538" s="52" t="n">
        <f aca="false">Sales_Transactions!J538</f>
        <v>41803.86</v>
      </c>
      <c r="P538" s="52" t="n">
        <f aca="false">Sales_Transactions!K538</f>
        <v>22815.3</v>
      </c>
      <c r="Q538" s="42" t="n">
        <f aca="false">IF(ISNUMBER(MATCH(E538,Product_Master!$A$2:$A$9,0)),0,1)</f>
        <v>0</v>
      </c>
      <c r="R538" s="42" t="n">
        <f aca="false">IF(ISNUMBER(MATCH(D538,Customer_Master!$A$2:$A$49,0)),0,1)</f>
        <v>0</v>
      </c>
      <c r="S538" s="42" t="n">
        <f aca="false">IF(ISNUMBER(MATCH(B538,Calendar!$A$2:$A$25,0)),0,1)</f>
        <v>0</v>
      </c>
      <c r="T538" s="42" t="n">
        <f aca="false">IF(COUNTIF(Sales_Transactions!$A$2:$A$865,A538)&gt;1,1,0)</f>
        <v>0</v>
      </c>
      <c r="U538" s="42" t="n">
        <f aca="false">IF(OR(ABS(Sales_Transactions!F538*Sales_Transactions!G538-Sales_Transactions!I538)&gt;0.01,ABS(Sales_Transactions!F538*Sales_Transactions!H538-Sales_Transactions!J538)&gt;0.01,ABS(Sales_Transactions!I538-Sales_Transactions!J538-Sales_Transactions!K538)&gt;0.01),1,0)</f>
        <v>0</v>
      </c>
      <c r="V538" s="42" t="n">
        <f aca="false">IF(C538&lt;&gt;L538,1,0)</f>
        <v>0</v>
      </c>
      <c r="W538" s="42" t="n">
        <f aca="false">IF(SUM(Q538:V538)&gt;0,1,0)</f>
        <v>0</v>
      </c>
    </row>
    <row r="539" customFormat="false" ht="15" hidden="false" customHeight="false" outlineLevel="0" collapsed="false">
      <c r="A539" s="42" t="str">
        <f aca="false">Sales_Transactions!A539</f>
        <v>INV-15-034</v>
      </c>
      <c r="B539" s="42" t="str">
        <f aca="false">Sales_Transactions!B539</f>
        <v>2026-03</v>
      </c>
      <c r="C539" s="42" t="str">
        <f aca="false">Sales_Transactions!C539</f>
        <v>Actual</v>
      </c>
      <c r="D539" s="42" t="str">
        <f aca="false">Sales_Transactions!D539</f>
        <v>C034</v>
      </c>
      <c r="E539" s="42" t="str">
        <f aca="false">Sales_Transactions!E539</f>
        <v>P004</v>
      </c>
      <c r="F539" s="42" t="str">
        <f aca="false">IFERROR(INDEX(Customer_Master!$C$2:$C$49,MATCH(D539,Customer_Master!$A$2:$A$49,0)),"UNMATCHED")</f>
        <v>North</v>
      </c>
      <c r="G539" s="42" t="str">
        <f aca="false">IFERROR(INDEX(Customer_Master!$D$2:$D$49,MATCH(D539,Customer_Master!$A$2:$A$49,0)),"UNMATCHED")</f>
        <v>Distributor</v>
      </c>
      <c r="H539" s="42" t="str">
        <f aca="false">IFERROR(INDEX(Product_Master!$C$2:$C$9,MATCH(E539,Product_Master!$A$2:$A$9,0)),"UNMATCHED")</f>
        <v>Personal Care</v>
      </c>
      <c r="I539" s="42" t="str">
        <f aca="false">IFERROR(INDEX(Product_Master!$B$2:$B$9,MATCH(E539,Product_Master!$A$2:$A$9,0)),"UNMATCHED")</f>
        <v>Soap 4-pack</v>
      </c>
      <c r="J539" s="42" t="n">
        <f aca="false">IFERROR(INDEX(Calendar!$B$2:$B$25,MATCH(B539,Calendar!$A$2:$A$25,0)),0)</f>
        <v>2026</v>
      </c>
      <c r="K539" s="42" t="n">
        <f aca="false">IFERROR(VALUE(RIGHT(B539,2)),0)</f>
        <v>3</v>
      </c>
      <c r="L539" s="42" t="str">
        <f aca="false">IFERROR(INDEX(Calendar!$E$2:$E$25,MATCH(B539,Calendar!$A$2:$A$25,0)),"UNMATCHED")</f>
        <v>Actual</v>
      </c>
      <c r="M539" s="42" t="n">
        <f aca="false">Sales_Transactions!F539</f>
        <v>344</v>
      </c>
      <c r="N539" s="52" t="n">
        <f aca="false">Sales_Transactions!I539</f>
        <v>57915.84</v>
      </c>
      <c r="O539" s="52" t="n">
        <f aca="false">Sales_Transactions!J539</f>
        <v>33251.04</v>
      </c>
      <c r="P539" s="52" t="n">
        <f aca="false">Sales_Transactions!K539</f>
        <v>24664.8</v>
      </c>
      <c r="Q539" s="42" t="n">
        <f aca="false">IF(ISNUMBER(MATCH(E539,Product_Master!$A$2:$A$9,0)),0,1)</f>
        <v>0</v>
      </c>
      <c r="R539" s="42" t="n">
        <f aca="false">IF(ISNUMBER(MATCH(D539,Customer_Master!$A$2:$A$49,0)),0,1)</f>
        <v>0</v>
      </c>
      <c r="S539" s="42" t="n">
        <f aca="false">IF(ISNUMBER(MATCH(B539,Calendar!$A$2:$A$25,0)),0,1)</f>
        <v>0</v>
      </c>
      <c r="T539" s="42" t="n">
        <f aca="false">IF(COUNTIF(Sales_Transactions!$A$2:$A$865,A539)&gt;1,1,0)</f>
        <v>0</v>
      </c>
      <c r="U539" s="42" t="n">
        <f aca="false">IF(OR(ABS(Sales_Transactions!F539*Sales_Transactions!G539-Sales_Transactions!I539)&gt;0.01,ABS(Sales_Transactions!F539*Sales_Transactions!H539-Sales_Transactions!J539)&gt;0.01,ABS(Sales_Transactions!I539-Sales_Transactions!J539-Sales_Transactions!K539)&gt;0.01),1,0)</f>
        <v>0</v>
      </c>
      <c r="V539" s="42" t="n">
        <f aca="false">IF(C539&lt;&gt;L539,1,0)</f>
        <v>0</v>
      </c>
      <c r="W539" s="42" t="n">
        <f aca="false">IF(SUM(Q539:V539)&gt;0,1,0)</f>
        <v>0</v>
      </c>
    </row>
    <row r="540" customFormat="false" ht="15" hidden="false" customHeight="false" outlineLevel="0" collapsed="false">
      <c r="A540" s="42" t="str">
        <f aca="false">Sales_Transactions!A540</f>
        <v>INV-15-035</v>
      </c>
      <c r="B540" s="42" t="str">
        <f aca="false">Sales_Transactions!B540</f>
        <v>2026-03</v>
      </c>
      <c r="C540" s="42" t="str">
        <f aca="false">Sales_Transactions!C540</f>
        <v>Actual</v>
      </c>
      <c r="D540" s="42" t="str">
        <f aca="false">Sales_Transactions!D540</f>
        <v>C041</v>
      </c>
      <c r="E540" s="42" t="str">
        <f aca="false">Sales_Transactions!E540</f>
        <v>P001</v>
      </c>
      <c r="F540" s="42" t="str">
        <f aca="false">IFERROR(INDEX(Customer_Master!$C$2:$C$49,MATCH(D540,Customer_Master!$A$2:$A$49,0)),"UNMATCHED")</f>
        <v>South</v>
      </c>
      <c r="G540" s="42" t="str">
        <f aca="false">IFERROR(INDEX(Customer_Master!$D$2:$D$49,MATCH(D540,Customer_Master!$A$2:$A$49,0)),"UNMATCHED")</f>
        <v>Modern Trade</v>
      </c>
      <c r="H540" s="42" t="str">
        <f aca="false">IFERROR(INDEX(Product_Master!$C$2:$C$9,MATCH(E540,Product_Master!$A$2:$A$9,0)),"UNMATCHED")</f>
        <v>Home Care</v>
      </c>
      <c r="I540" s="42" t="str">
        <f aca="false">IFERROR(INDEX(Product_Master!$B$2:$B$9,MATCH(E540,Product_Master!$A$2:$A$9,0)),"UNMATCHED")</f>
        <v>Detergent 1kg</v>
      </c>
      <c r="J540" s="42" t="n">
        <f aca="false">IFERROR(INDEX(Calendar!$B$2:$B$25,MATCH(B540,Calendar!$A$2:$A$25,0)),0)</f>
        <v>2026</v>
      </c>
      <c r="K540" s="42" t="n">
        <f aca="false">IFERROR(VALUE(RIGHT(B540,2)),0)</f>
        <v>3</v>
      </c>
      <c r="L540" s="42" t="str">
        <f aca="false">IFERROR(INDEX(Calendar!$E$2:$E$25,MATCH(B540,Calendar!$A$2:$A$25,0)),"UNMATCHED")</f>
        <v>Actual</v>
      </c>
      <c r="M540" s="42" t="n">
        <f aca="false">Sales_Transactions!F540</f>
        <v>325</v>
      </c>
      <c r="N540" s="52" t="n">
        <f aca="false">Sales_Transactions!I540</f>
        <v>61129.25</v>
      </c>
      <c r="O540" s="52" t="n">
        <f aca="false">Sales_Transactions!J540</f>
        <v>43176.25</v>
      </c>
      <c r="P540" s="52" t="n">
        <f aca="false">Sales_Transactions!K540</f>
        <v>17953</v>
      </c>
      <c r="Q540" s="42" t="n">
        <f aca="false">IF(ISNUMBER(MATCH(E540,Product_Master!$A$2:$A$9,0)),0,1)</f>
        <v>0</v>
      </c>
      <c r="R540" s="42" t="n">
        <f aca="false">IF(ISNUMBER(MATCH(D540,Customer_Master!$A$2:$A$49,0)),0,1)</f>
        <v>0</v>
      </c>
      <c r="S540" s="42" t="n">
        <f aca="false">IF(ISNUMBER(MATCH(B540,Calendar!$A$2:$A$25,0)),0,1)</f>
        <v>0</v>
      </c>
      <c r="T540" s="42" t="n">
        <f aca="false">IF(COUNTIF(Sales_Transactions!$A$2:$A$865,A540)&gt;1,1,0)</f>
        <v>0</v>
      </c>
      <c r="U540" s="42" t="n">
        <f aca="false">IF(OR(ABS(Sales_Transactions!F540*Sales_Transactions!G540-Sales_Transactions!I540)&gt;0.01,ABS(Sales_Transactions!F540*Sales_Transactions!H540-Sales_Transactions!J540)&gt;0.01,ABS(Sales_Transactions!I540-Sales_Transactions!J540-Sales_Transactions!K540)&gt;0.01),1,0)</f>
        <v>0</v>
      </c>
      <c r="V540" s="42" t="n">
        <f aca="false">IF(C540&lt;&gt;L540,1,0)</f>
        <v>0</v>
      </c>
      <c r="W540" s="42" t="n">
        <f aca="false">IF(SUM(Q540:V540)&gt;0,1,0)</f>
        <v>0</v>
      </c>
    </row>
    <row r="541" customFormat="false" ht="15" hidden="false" customHeight="false" outlineLevel="0" collapsed="false">
      <c r="A541" s="42" t="str">
        <f aca="false">Sales_Transactions!A541</f>
        <v>INV-15-036</v>
      </c>
      <c r="B541" s="42" t="str">
        <f aca="false">Sales_Transactions!B541</f>
        <v>2026-03</v>
      </c>
      <c r="C541" s="42" t="str">
        <f aca="false">Sales_Transactions!C541</f>
        <v>Actual</v>
      </c>
      <c r="D541" s="42" t="str">
        <f aca="false">Sales_Transactions!D541</f>
        <v>C048</v>
      </c>
      <c r="E541" s="42" t="str">
        <f aca="false">Sales_Transactions!E541</f>
        <v>P006</v>
      </c>
      <c r="F541" s="42" t="str">
        <f aca="false">IFERROR(INDEX(Customer_Master!$C$2:$C$49,MATCH(D541,Customer_Master!$A$2:$A$49,0)),"UNMATCHED")</f>
        <v>East</v>
      </c>
      <c r="G541" s="42" t="str">
        <f aca="false">IFERROR(INDEX(Customer_Master!$D$2:$D$49,MATCH(D541,Customer_Master!$A$2:$A$49,0)),"UNMATCHED")</f>
        <v>Retail</v>
      </c>
      <c r="H541" s="42" t="str">
        <f aca="false">IFERROR(INDEX(Product_Master!$C$2:$C$9,MATCH(E541,Product_Master!$A$2:$A$9,0)),"UNMATCHED")</f>
        <v>Foods</v>
      </c>
      <c r="I541" s="42" t="str">
        <f aca="false">IFERROR(INDEX(Product_Master!$B$2:$B$9,MATCH(E541,Product_Master!$A$2:$A$9,0)),"UNMATCHED")</f>
        <v>Breakfast Cereal</v>
      </c>
      <c r="J541" s="42" t="n">
        <f aca="false">IFERROR(INDEX(Calendar!$B$2:$B$25,MATCH(B541,Calendar!$A$2:$A$25,0)),0)</f>
        <v>2026</v>
      </c>
      <c r="K541" s="42" t="n">
        <f aca="false">IFERROR(VALUE(RIGHT(B541,2)),0)</f>
        <v>3</v>
      </c>
      <c r="L541" s="42" t="str">
        <f aca="false">IFERROR(INDEX(Calendar!$E$2:$E$25,MATCH(B541,Calendar!$A$2:$A$25,0)),"UNMATCHED")</f>
        <v>Actual</v>
      </c>
      <c r="M541" s="42" t="n">
        <f aca="false">Sales_Transactions!F541</f>
        <v>276</v>
      </c>
      <c r="N541" s="52" t="n">
        <f aca="false">Sales_Transactions!I541</f>
        <v>64959.36</v>
      </c>
      <c r="O541" s="52" t="n">
        <f aca="false">Sales_Transactions!J541</f>
        <v>41416.56</v>
      </c>
      <c r="P541" s="52" t="n">
        <f aca="false">Sales_Transactions!K541</f>
        <v>23542.8</v>
      </c>
      <c r="Q541" s="42" t="n">
        <f aca="false">IF(ISNUMBER(MATCH(E541,Product_Master!$A$2:$A$9,0)),0,1)</f>
        <v>0</v>
      </c>
      <c r="R541" s="42" t="n">
        <f aca="false">IF(ISNUMBER(MATCH(D541,Customer_Master!$A$2:$A$49,0)),0,1)</f>
        <v>0</v>
      </c>
      <c r="S541" s="42" t="n">
        <f aca="false">IF(ISNUMBER(MATCH(B541,Calendar!$A$2:$A$25,0)),0,1)</f>
        <v>0</v>
      </c>
      <c r="T541" s="42" t="n">
        <f aca="false">IF(COUNTIF(Sales_Transactions!$A$2:$A$865,A541)&gt;1,1,0)</f>
        <v>0</v>
      </c>
      <c r="U541" s="42" t="n">
        <f aca="false">IF(OR(ABS(Sales_Transactions!F541*Sales_Transactions!G541-Sales_Transactions!I541)&gt;0.01,ABS(Sales_Transactions!F541*Sales_Transactions!H541-Sales_Transactions!J541)&gt;0.01,ABS(Sales_Transactions!I541-Sales_Transactions!J541-Sales_Transactions!K541)&gt;0.01),1,0)</f>
        <v>0</v>
      </c>
      <c r="V541" s="42" t="n">
        <f aca="false">IF(C541&lt;&gt;L541,1,0)</f>
        <v>0</v>
      </c>
      <c r="W541" s="42" t="n">
        <f aca="false">IF(SUM(Q541:V541)&gt;0,1,0)</f>
        <v>0</v>
      </c>
    </row>
    <row r="542" customFormat="false" ht="15" hidden="false" customHeight="false" outlineLevel="0" collapsed="false">
      <c r="A542" s="42" t="str">
        <f aca="false">Sales_Transactions!A542</f>
        <v>INV-16-001</v>
      </c>
      <c r="B542" s="42" t="str">
        <f aca="false">Sales_Transactions!B542</f>
        <v>2026-04</v>
      </c>
      <c r="C542" s="42" t="str">
        <f aca="false">Sales_Transactions!C542</f>
        <v>Actual</v>
      </c>
      <c r="D542" s="42" t="str">
        <f aca="false">Sales_Transactions!D542</f>
        <v>C046</v>
      </c>
      <c r="E542" s="42" t="str">
        <f aca="false">Sales_Transactions!E542</f>
        <v>P008</v>
      </c>
      <c r="F542" s="42" t="str">
        <f aca="false">IFERROR(INDEX(Customer_Master!$C$2:$C$49,MATCH(D542,Customer_Master!$A$2:$A$49,0)),"UNMATCHED")</f>
        <v>North</v>
      </c>
      <c r="G542" s="42" t="str">
        <f aca="false">IFERROR(INDEX(Customer_Master!$D$2:$D$49,MATCH(D542,Customer_Master!$A$2:$A$49,0)),"UNMATCHED")</f>
        <v>Distributor</v>
      </c>
      <c r="H542" s="42" t="str">
        <f aca="false">IFERROR(INDEX(Product_Master!$C$2:$C$9,MATCH(E542,Product_Master!$A$2:$A$9,0)),"UNMATCHED")</f>
        <v>Personal Care</v>
      </c>
      <c r="I542" s="42" t="str">
        <f aca="false">IFERROR(INDEX(Product_Master!$B$2:$B$9,MATCH(E542,Product_Master!$A$2:$A$9,0)),"UNMATCHED")</f>
        <v>Body Lotion</v>
      </c>
      <c r="J542" s="42" t="n">
        <f aca="false">IFERROR(INDEX(Calendar!$B$2:$B$25,MATCH(B542,Calendar!$A$2:$A$25,0)),0)</f>
        <v>2026</v>
      </c>
      <c r="K542" s="42" t="n">
        <f aca="false">IFERROR(VALUE(RIGHT(B542,2)),0)</f>
        <v>4</v>
      </c>
      <c r="L542" s="42" t="str">
        <f aca="false">IFERROR(INDEX(Calendar!$E$2:$E$25,MATCH(B542,Calendar!$A$2:$A$25,0)),"UNMATCHED")</f>
        <v>Actual</v>
      </c>
      <c r="M542" s="42" t="n">
        <f aca="false">Sales_Transactions!F542</f>
        <v>119</v>
      </c>
      <c r="N542" s="52" t="n">
        <f aca="false">Sales_Transactions!I542</f>
        <v>36154.58</v>
      </c>
      <c r="O542" s="52" t="n">
        <f aca="false">Sales_Transactions!J542</f>
        <v>25191.11</v>
      </c>
      <c r="P542" s="52" t="n">
        <f aca="false">Sales_Transactions!K542</f>
        <v>10963.47</v>
      </c>
      <c r="Q542" s="42" t="n">
        <f aca="false">IF(ISNUMBER(MATCH(E542,Product_Master!$A$2:$A$9,0)),0,1)</f>
        <v>0</v>
      </c>
      <c r="R542" s="42" t="n">
        <f aca="false">IF(ISNUMBER(MATCH(D542,Customer_Master!$A$2:$A$49,0)),0,1)</f>
        <v>0</v>
      </c>
      <c r="S542" s="42" t="n">
        <f aca="false">IF(ISNUMBER(MATCH(B542,Calendar!$A$2:$A$25,0)),0,1)</f>
        <v>0</v>
      </c>
      <c r="T542" s="42" t="n">
        <f aca="false">IF(COUNTIF(Sales_Transactions!$A$2:$A$865,A542)&gt;1,1,0)</f>
        <v>0</v>
      </c>
      <c r="U542" s="42" t="n">
        <f aca="false">IF(OR(ABS(Sales_Transactions!F542*Sales_Transactions!G542-Sales_Transactions!I542)&gt;0.01,ABS(Sales_Transactions!F542*Sales_Transactions!H542-Sales_Transactions!J542)&gt;0.01,ABS(Sales_Transactions!I542-Sales_Transactions!J542-Sales_Transactions!K542)&gt;0.01),1,0)</f>
        <v>0</v>
      </c>
      <c r="V542" s="42" t="n">
        <f aca="false">IF(C542&lt;&gt;L542,1,0)</f>
        <v>0</v>
      </c>
      <c r="W542" s="42" t="n">
        <f aca="false">IF(SUM(Q542:V542)&gt;0,1,0)</f>
        <v>0</v>
      </c>
    </row>
    <row r="543" customFormat="false" ht="15" hidden="false" customHeight="false" outlineLevel="0" collapsed="false">
      <c r="A543" s="42" t="str">
        <f aca="false">Sales_Transactions!A543</f>
        <v>INV-16-002</v>
      </c>
      <c r="B543" s="42" t="str">
        <f aca="false">Sales_Transactions!B543</f>
        <v>2026-04</v>
      </c>
      <c r="C543" s="42" t="str">
        <f aca="false">Sales_Transactions!C543</f>
        <v>Actual</v>
      </c>
      <c r="D543" s="42" t="str">
        <f aca="false">Sales_Transactions!D543</f>
        <v>C005</v>
      </c>
      <c r="E543" s="42" t="str">
        <f aca="false">Sales_Transactions!E543</f>
        <v>P005</v>
      </c>
      <c r="F543" s="42" t="str">
        <f aca="false">IFERROR(INDEX(Customer_Master!$C$2:$C$49,MATCH(D543,Customer_Master!$A$2:$A$49,0)),"UNMATCHED")</f>
        <v>South</v>
      </c>
      <c r="G543" s="42" t="str">
        <f aca="false">IFERROR(INDEX(Customer_Master!$D$2:$D$49,MATCH(D543,Customer_Master!$A$2:$A$49,0)),"UNMATCHED")</f>
        <v>Modern Trade</v>
      </c>
      <c r="H543" s="42" t="str">
        <f aca="false">IFERROR(INDEX(Product_Master!$C$2:$C$9,MATCH(E543,Product_Master!$A$2:$A$9,0)),"UNMATCHED")</f>
        <v>Foods</v>
      </c>
      <c r="I543" s="42" t="str">
        <f aca="false">IFERROR(INDEX(Product_Master!$B$2:$B$9,MATCH(E543,Product_Master!$A$2:$A$9,0)),"UNMATCHED")</f>
        <v>Biscuits 500g</v>
      </c>
      <c r="J543" s="42" t="n">
        <f aca="false">IFERROR(INDEX(Calendar!$B$2:$B$25,MATCH(B543,Calendar!$A$2:$A$25,0)),0)</f>
        <v>2026</v>
      </c>
      <c r="K543" s="42" t="n">
        <f aca="false">IFERROR(VALUE(RIGHT(B543,2)),0)</f>
        <v>4</v>
      </c>
      <c r="L543" s="42" t="str">
        <f aca="false">IFERROR(INDEX(Calendar!$E$2:$E$25,MATCH(B543,Calendar!$A$2:$A$25,0)),"UNMATCHED")</f>
        <v>Actual</v>
      </c>
      <c r="M543" s="42" t="n">
        <f aca="false">Sales_Transactions!F543</f>
        <v>406</v>
      </c>
      <c r="N543" s="52" t="n">
        <f aca="false">Sales_Transactions!I543</f>
        <v>40348.28</v>
      </c>
      <c r="O543" s="52" t="n">
        <f aca="false">Sales_Transactions!J543</f>
        <v>28014</v>
      </c>
      <c r="P543" s="52" t="n">
        <f aca="false">Sales_Transactions!K543</f>
        <v>12334.28</v>
      </c>
      <c r="Q543" s="42" t="n">
        <f aca="false">IF(ISNUMBER(MATCH(E543,Product_Master!$A$2:$A$9,0)),0,1)</f>
        <v>0</v>
      </c>
      <c r="R543" s="42" t="n">
        <f aca="false">IF(ISNUMBER(MATCH(D543,Customer_Master!$A$2:$A$49,0)),0,1)</f>
        <v>0</v>
      </c>
      <c r="S543" s="42" t="n">
        <f aca="false">IF(ISNUMBER(MATCH(B543,Calendar!$A$2:$A$25,0)),0,1)</f>
        <v>0</v>
      </c>
      <c r="T543" s="42" t="n">
        <f aca="false">IF(COUNTIF(Sales_Transactions!$A$2:$A$865,A543)&gt;1,1,0)</f>
        <v>0</v>
      </c>
      <c r="U543" s="42" t="n">
        <f aca="false">IF(OR(ABS(Sales_Transactions!F543*Sales_Transactions!G543-Sales_Transactions!I543)&gt;0.01,ABS(Sales_Transactions!F543*Sales_Transactions!H543-Sales_Transactions!J543)&gt;0.01,ABS(Sales_Transactions!I543-Sales_Transactions!J543-Sales_Transactions!K543)&gt;0.01),1,0)</f>
        <v>0</v>
      </c>
      <c r="V543" s="42" t="n">
        <f aca="false">IF(C543&lt;&gt;L543,1,0)</f>
        <v>0</v>
      </c>
      <c r="W543" s="42" t="n">
        <f aca="false">IF(SUM(Q543:V543)&gt;0,1,0)</f>
        <v>0</v>
      </c>
    </row>
    <row r="544" customFormat="false" ht="15" hidden="false" customHeight="false" outlineLevel="0" collapsed="false">
      <c r="A544" s="42" t="str">
        <f aca="false">Sales_Transactions!A544</f>
        <v>INV-16-003</v>
      </c>
      <c r="B544" s="42" t="str">
        <f aca="false">Sales_Transactions!B544</f>
        <v>2026-04</v>
      </c>
      <c r="C544" s="42" t="str">
        <f aca="false">Sales_Transactions!C544</f>
        <v>Actual</v>
      </c>
      <c r="D544" s="42" t="str">
        <f aca="false">Sales_Transactions!D544</f>
        <v>C012</v>
      </c>
      <c r="E544" s="42" t="str">
        <f aca="false">Sales_Transactions!E544</f>
        <v>P002</v>
      </c>
      <c r="F544" s="42" t="str">
        <f aca="false">IFERROR(INDEX(Customer_Master!$C$2:$C$49,MATCH(D544,Customer_Master!$A$2:$A$49,0)),"UNMATCHED")</f>
        <v>East</v>
      </c>
      <c r="G544" s="42" t="str">
        <f aca="false">IFERROR(INDEX(Customer_Master!$D$2:$D$49,MATCH(D544,Customer_Master!$A$2:$A$49,0)),"UNMATCHED")</f>
        <v>Retail</v>
      </c>
      <c r="H544" s="42" t="str">
        <f aca="false">IFERROR(INDEX(Product_Master!$C$2:$C$9,MATCH(E544,Product_Master!$A$2:$A$9,0)),"UNMATCHED")</f>
        <v>Home Care</v>
      </c>
      <c r="I544" s="42" t="str">
        <f aca="false">IFERROR(INDEX(Product_Master!$B$2:$B$9,MATCH(E544,Product_Master!$A$2:$A$9,0)),"UNMATCHED")</f>
        <v>Dishwash Gel</v>
      </c>
      <c r="J544" s="42" t="n">
        <f aca="false">IFERROR(INDEX(Calendar!$B$2:$B$25,MATCH(B544,Calendar!$A$2:$A$25,0)),0)</f>
        <v>2026</v>
      </c>
      <c r="K544" s="42" t="n">
        <f aca="false">IFERROR(VALUE(RIGHT(B544,2)),0)</f>
        <v>4</v>
      </c>
      <c r="L544" s="42" t="str">
        <f aca="false">IFERROR(INDEX(Calendar!$E$2:$E$25,MATCH(B544,Calendar!$A$2:$A$25,0)),"UNMATCHED")</f>
        <v>Actual</v>
      </c>
      <c r="M544" s="42" t="n">
        <f aca="false">Sales_Transactions!F544</f>
        <v>255</v>
      </c>
      <c r="N544" s="52" t="n">
        <f aca="false">Sales_Transactions!I544</f>
        <v>33547.8</v>
      </c>
      <c r="O544" s="52" t="n">
        <f aca="false">Sales_Transactions!J544</f>
        <v>20958.45</v>
      </c>
      <c r="P544" s="52" t="n">
        <f aca="false">Sales_Transactions!K544</f>
        <v>12589.35</v>
      </c>
      <c r="Q544" s="42" t="n">
        <f aca="false">IF(ISNUMBER(MATCH(E544,Product_Master!$A$2:$A$9,0)),0,1)</f>
        <v>0</v>
      </c>
      <c r="R544" s="42" t="n">
        <f aca="false">IF(ISNUMBER(MATCH(D544,Customer_Master!$A$2:$A$49,0)),0,1)</f>
        <v>0</v>
      </c>
      <c r="S544" s="42" t="n">
        <f aca="false">IF(ISNUMBER(MATCH(B544,Calendar!$A$2:$A$25,0)),0,1)</f>
        <v>0</v>
      </c>
      <c r="T544" s="42" t="n">
        <f aca="false">IF(COUNTIF(Sales_Transactions!$A$2:$A$865,A544)&gt;1,1,0)</f>
        <v>0</v>
      </c>
      <c r="U544" s="42" t="n">
        <f aca="false">IF(OR(ABS(Sales_Transactions!F544*Sales_Transactions!G544-Sales_Transactions!I544)&gt;0.01,ABS(Sales_Transactions!F544*Sales_Transactions!H544-Sales_Transactions!J544)&gt;0.01,ABS(Sales_Transactions!I544-Sales_Transactions!J544-Sales_Transactions!K544)&gt;0.01),1,0)</f>
        <v>0</v>
      </c>
      <c r="V544" s="42" t="n">
        <f aca="false">IF(C544&lt;&gt;L544,1,0)</f>
        <v>0</v>
      </c>
      <c r="W544" s="42" t="n">
        <f aca="false">IF(SUM(Q544:V544)&gt;0,1,0)</f>
        <v>0</v>
      </c>
    </row>
    <row r="545" customFormat="false" ht="15" hidden="false" customHeight="false" outlineLevel="0" collapsed="false">
      <c r="A545" s="42" t="str">
        <f aca="false">Sales_Transactions!A545</f>
        <v>INV-16-004</v>
      </c>
      <c r="B545" s="42" t="str">
        <f aca="false">Sales_Transactions!B545</f>
        <v>2026-04</v>
      </c>
      <c r="C545" s="42" t="str">
        <f aca="false">Sales_Transactions!C545</f>
        <v>Actual</v>
      </c>
      <c r="D545" s="42" t="str">
        <f aca="false">Sales_Transactions!D545</f>
        <v>C019</v>
      </c>
      <c r="E545" s="42" t="str">
        <f aca="false">Sales_Transactions!E545</f>
        <v>P007</v>
      </c>
      <c r="F545" s="42" t="str">
        <f aca="false">IFERROR(INDEX(Customer_Master!$C$2:$C$49,MATCH(D545,Customer_Master!$A$2:$A$49,0)),"UNMATCHED")</f>
        <v>West</v>
      </c>
      <c r="G545" s="42" t="str">
        <f aca="false">IFERROR(INDEX(Customer_Master!$D$2:$D$49,MATCH(D545,Customer_Master!$A$2:$A$49,0)),"UNMATCHED")</f>
        <v>Distributor</v>
      </c>
      <c r="H545" s="42" t="str">
        <f aca="false">IFERROR(INDEX(Product_Master!$C$2:$C$9,MATCH(E545,Product_Master!$A$2:$A$9,0)),"UNMATCHED")</f>
        <v>Home Care</v>
      </c>
      <c r="I545" s="42" t="str">
        <f aca="false">IFERROR(INDEX(Product_Master!$B$2:$B$9,MATCH(E545,Product_Master!$A$2:$A$9,0)),"UNMATCHED")</f>
        <v>Floor Cleaner</v>
      </c>
      <c r="J545" s="42" t="n">
        <f aca="false">IFERROR(INDEX(Calendar!$B$2:$B$25,MATCH(B545,Calendar!$A$2:$A$25,0)),0)</f>
        <v>2026</v>
      </c>
      <c r="K545" s="42" t="n">
        <f aca="false">IFERROR(VALUE(RIGHT(B545,2)),0)</f>
        <v>4</v>
      </c>
      <c r="L545" s="42" t="str">
        <f aca="false">IFERROR(INDEX(Calendar!$E$2:$E$25,MATCH(B545,Calendar!$A$2:$A$25,0)),"UNMATCHED")</f>
        <v>Actual</v>
      </c>
      <c r="M545" s="42" t="n">
        <f aca="false">Sales_Transactions!F545</f>
        <v>258</v>
      </c>
      <c r="N545" s="52" t="n">
        <f aca="false">Sales_Transactions!I545</f>
        <v>48811.02</v>
      </c>
      <c r="O545" s="52" t="n">
        <f aca="false">Sales_Transactions!J545</f>
        <v>28346.46</v>
      </c>
      <c r="P545" s="52" t="n">
        <f aca="false">Sales_Transactions!K545</f>
        <v>20464.56</v>
      </c>
      <c r="Q545" s="42" t="n">
        <f aca="false">IF(ISNUMBER(MATCH(E545,Product_Master!$A$2:$A$9,0)),0,1)</f>
        <v>0</v>
      </c>
      <c r="R545" s="42" t="n">
        <f aca="false">IF(ISNUMBER(MATCH(D545,Customer_Master!$A$2:$A$49,0)),0,1)</f>
        <v>0</v>
      </c>
      <c r="S545" s="42" t="n">
        <f aca="false">IF(ISNUMBER(MATCH(B545,Calendar!$A$2:$A$25,0)),0,1)</f>
        <v>0</v>
      </c>
      <c r="T545" s="42" t="n">
        <f aca="false">IF(COUNTIF(Sales_Transactions!$A$2:$A$865,A545)&gt;1,1,0)</f>
        <v>0</v>
      </c>
      <c r="U545" s="42" t="n">
        <f aca="false">IF(OR(ABS(Sales_Transactions!F545*Sales_Transactions!G545-Sales_Transactions!I545)&gt;0.01,ABS(Sales_Transactions!F545*Sales_Transactions!H545-Sales_Transactions!J545)&gt;0.01,ABS(Sales_Transactions!I545-Sales_Transactions!J545-Sales_Transactions!K545)&gt;0.01),1,0)</f>
        <v>0</v>
      </c>
      <c r="V545" s="42" t="n">
        <f aca="false">IF(C545&lt;&gt;L545,1,0)</f>
        <v>0</v>
      </c>
      <c r="W545" s="42" t="n">
        <f aca="false">IF(SUM(Q545:V545)&gt;0,1,0)</f>
        <v>0</v>
      </c>
    </row>
    <row r="546" customFormat="false" ht="15" hidden="false" customHeight="false" outlineLevel="0" collapsed="false">
      <c r="A546" s="42" t="str">
        <f aca="false">Sales_Transactions!A546</f>
        <v>INV-16-005</v>
      </c>
      <c r="B546" s="42" t="str">
        <f aca="false">Sales_Transactions!B546</f>
        <v>2026-04</v>
      </c>
      <c r="C546" s="42" t="str">
        <f aca="false">Sales_Transactions!C546</f>
        <v>Actual</v>
      </c>
      <c r="D546" s="42" t="str">
        <f aca="false">Sales_Transactions!D546</f>
        <v>C026</v>
      </c>
      <c r="E546" s="42" t="str">
        <f aca="false">Sales_Transactions!E546</f>
        <v>P004</v>
      </c>
      <c r="F546" s="42" t="str">
        <f aca="false">IFERROR(INDEX(Customer_Master!$C$2:$C$49,MATCH(D546,Customer_Master!$A$2:$A$49,0)),"UNMATCHED")</f>
        <v>North</v>
      </c>
      <c r="G546" s="42" t="str">
        <f aca="false">IFERROR(INDEX(Customer_Master!$D$2:$D$49,MATCH(D546,Customer_Master!$A$2:$A$49,0)),"UNMATCHED")</f>
        <v>Modern Trade</v>
      </c>
      <c r="H546" s="42" t="str">
        <f aca="false">IFERROR(INDEX(Product_Master!$C$2:$C$9,MATCH(E546,Product_Master!$A$2:$A$9,0)),"UNMATCHED")</f>
        <v>Personal Care</v>
      </c>
      <c r="I546" s="42" t="str">
        <f aca="false">IFERROR(INDEX(Product_Master!$B$2:$B$9,MATCH(E546,Product_Master!$A$2:$A$9,0)),"UNMATCHED")</f>
        <v>Soap 4-pack</v>
      </c>
      <c r="J546" s="42" t="n">
        <f aca="false">IFERROR(INDEX(Calendar!$B$2:$B$25,MATCH(B546,Calendar!$A$2:$A$25,0)),0)</f>
        <v>2026</v>
      </c>
      <c r="K546" s="42" t="n">
        <f aca="false">IFERROR(VALUE(RIGHT(B546,2)),0)</f>
        <v>4</v>
      </c>
      <c r="L546" s="42" t="str">
        <f aca="false">IFERROR(INDEX(Calendar!$E$2:$E$25,MATCH(B546,Calendar!$A$2:$A$25,0)),"UNMATCHED")</f>
        <v>Actual</v>
      </c>
      <c r="M546" s="42" t="n">
        <f aca="false">Sales_Transactions!F546</f>
        <v>435</v>
      </c>
      <c r="N546" s="52" t="n">
        <f aca="false">Sales_Transactions!I546</f>
        <v>72349.2</v>
      </c>
      <c r="O546" s="52" t="n">
        <f aca="false">Sales_Transactions!J546</f>
        <v>43573.95</v>
      </c>
      <c r="P546" s="52" t="n">
        <f aca="false">Sales_Transactions!K546</f>
        <v>28775.25</v>
      </c>
      <c r="Q546" s="42" t="n">
        <f aca="false">IF(ISNUMBER(MATCH(E546,Product_Master!$A$2:$A$9,0)),0,1)</f>
        <v>0</v>
      </c>
      <c r="R546" s="42" t="n">
        <f aca="false">IF(ISNUMBER(MATCH(D546,Customer_Master!$A$2:$A$49,0)),0,1)</f>
        <v>0</v>
      </c>
      <c r="S546" s="42" t="n">
        <f aca="false">IF(ISNUMBER(MATCH(B546,Calendar!$A$2:$A$25,0)),0,1)</f>
        <v>0</v>
      </c>
      <c r="T546" s="42" t="n">
        <f aca="false">IF(COUNTIF(Sales_Transactions!$A$2:$A$865,A546)&gt;1,1,0)</f>
        <v>0</v>
      </c>
      <c r="U546" s="42" t="n">
        <f aca="false">IF(OR(ABS(Sales_Transactions!F546*Sales_Transactions!G546-Sales_Transactions!I546)&gt;0.01,ABS(Sales_Transactions!F546*Sales_Transactions!H546-Sales_Transactions!J546)&gt;0.01,ABS(Sales_Transactions!I546-Sales_Transactions!J546-Sales_Transactions!K546)&gt;0.01),1,0)</f>
        <v>0</v>
      </c>
      <c r="V546" s="42" t="n">
        <f aca="false">IF(C546&lt;&gt;L546,1,0)</f>
        <v>0</v>
      </c>
      <c r="W546" s="42" t="n">
        <f aca="false">IF(SUM(Q546:V546)&gt;0,1,0)</f>
        <v>0</v>
      </c>
    </row>
    <row r="547" customFormat="false" ht="15" hidden="false" customHeight="false" outlineLevel="0" collapsed="false">
      <c r="A547" s="42" t="str">
        <f aca="false">Sales_Transactions!A547</f>
        <v>INV-16-006</v>
      </c>
      <c r="B547" s="42" t="str">
        <f aca="false">Sales_Transactions!B547</f>
        <v>2026-04</v>
      </c>
      <c r="C547" s="42" t="str">
        <f aca="false">Sales_Transactions!C547</f>
        <v>Actual</v>
      </c>
      <c r="D547" s="42" t="str">
        <f aca="false">Sales_Transactions!D547</f>
        <v>C033</v>
      </c>
      <c r="E547" s="42" t="str">
        <f aca="false">Sales_Transactions!E547</f>
        <v>P001</v>
      </c>
      <c r="F547" s="42" t="str">
        <f aca="false">IFERROR(INDEX(Customer_Master!$C$2:$C$49,MATCH(D547,Customer_Master!$A$2:$A$49,0)),"UNMATCHED")</f>
        <v>South</v>
      </c>
      <c r="G547" s="42" t="str">
        <f aca="false">IFERROR(INDEX(Customer_Master!$D$2:$D$49,MATCH(D547,Customer_Master!$A$2:$A$49,0)),"UNMATCHED")</f>
        <v>Retail</v>
      </c>
      <c r="H547" s="42" t="str">
        <f aca="false">IFERROR(INDEX(Product_Master!$C$2:$C$9,MATCH(E547,Product_Master!$A$2:$A$9,0)),"UNMATCHED")</f>
        <v>Home Care</v>
      </c>
      <c r="I547" s="42" t="str">
        <f aca="false">IFERROR(INDEX(Product_Master!$B$2:$B$9,MATCH(E547,Product_Master!$A$2:$A$9,0)),"UNMATCHED")</f>
        <v>Detergent 1kg</v>
      </c>
      <c r="J547" s="42" t="n">
        <f aca="false">IFERROR(INDEX(Calendar!$B$2:$B$25,MATCH(B547,Calendar!$A$2:$A$25,0)),0)</f>
        <v>2026</v>
      </c>
      <c r="K547" s="42" t="n">
        <f aca="false">IFERROR(VALUE(RIGHT(B547,2)),0)</f>
        <v>4</v>
      </c>
      <c r="L547" s="42" t="str">
        <f aca="false">IFERROR(INDEX(Calendar!$E$2:$E$25,MATCH(B547,Calendar!$A$2:$A$25,0)),"UNMATCHED")</f>
        <v>Actual</v>
      </c>
      <c r="M547" s="42" t="n">
        <f aca="false">Sales_Transactions!F547</f>
        <v>408</v>
      </c>
      <c r="N547" s="52" t="n">
        <f aca="false">Sales_Transactions!I547</f>
        <v>78287.04</v>
      </c>
      <c r="O547" s="52" t="n">
        <f aca="false">Sales_Transactions!J547</f>
        <v>52574.88</v>
      </c>
      <c r="P547" s="52" t="n">
        <f aca="false">Sales_Transactions!K547</f>
        <v>25712.16</v>
      </c>
      <c r="Q547" s="42" t="n">
        <f aca="false">IF(ISNUMBER(MATCH(E547,Product_Master!$A$2:$A$9,0)),0,1)</f>
        <v>0</v>
      </c>
      <c r="R547" s="42" t="n">
        <f aca="false">IF(ISNUMBER(MATCH(D547,Customer_Master!$A$2:$A$49,0)),0,1)</f>
        <v>0</v>
      </c>
      <c r="S547" s="42" t="n">
        <f aca="false">IF(ISNUMBER(MATCH(B547,Calendar!$A$2:$A$25,0)),0,1)</f>
        <v>0</v>
      </c>
      <c r="T547" s="42" t="n">
        <f aca="false">IF(COUNTIF(Sales_Transactions!$A$2:$A$865,A547)&gt;1,1,0)</f>
        <v>0</v>
      </c>
      <c r="U547" s="42" t="n">
        <f aca="false">IF(OR(ABS(Sales_Transactions!F547*Sales_Transactions!G547-Sales_Transactions!I547)&gt;0.01,ABS(Sales_Transactions!F547*Sales_Transactions!H547-Sales_Transactions!J547)&gt;0.01,ABS(Sales_Transactions!I547-Sales_Transactions!J547-Sales_Transactions!K547)&gt;0.01),1,0)</f>
        <v>0</v>
      </c>
      <c r="V547" s="42" t="n">
        <f aca="false">IF(C547&lt;&gt;L547,1,0)</f>
        <v>0</v>
      </c>
      <c r="W547" s="42" t="n">
        <f aca="false">IF(SUM(Q547:V547)&gt;0,1,0)</f>
        <v>0</v>
      </c>
    </row>
    <row r="548" customFormat="false" ht="15" hidden="false" customHeight="false" outlineLevel="0" collapsed="false">
      <c r="A548" s="42" t="str">
        <f aca="false">Sales_Transactions!A548</f>
        <v>INV-16-007</v>
      </c>
      <c r="B548" s="42" t="str">
        <f aca="false">Sales_Transactions!B548</f>
        <v>2026-04</v>
      </c>
      <c r="C548" s="42" t="str">
        <f aca="false">Sales_Transactions!C548</f>
        <v>Actual</v>
      </c>
      <c r="D548" s="42" t="str">
        <f aca="false">Sales_Transactions!D548</f>
        <v>C040</v>
      </c>
      <c r="E548" s="42" t="str">
        <f aca="false">Sales_Transactions!E548</f>
        <v>P006</v>
      </c>
      <c r="F548" s="42" t="str">
        <f aca="false">IFERROR(INDEX(Customer_Master!$C$2:$C$49,MATCH(D548,Customer_Master!$A$2:$A$49,0)),"UNMATCHED")</f>
        <v>East</v>
      </c>
      <c r="G548" s="42" t="str">
        <f aca="false">IFERROR(INDEX(Customer_Master!$D$2:$D$49,MATCH(D548,Customer_Master!$A$2:$A$49,0)),"UNMATCHED")</f>
        <v>Distributor</v>
      </c>
      <c r="H548" s="42" t="str">
        <f aca="false">IFERROR(INDEX(Product_Master!$C$2:$C$9,MATCH(E548,Product_Master!$A$2:$A$9,0)),"UNMATCHED")</f>
        <v>Foods</v>
      </c>
      <c r="I548" s="42" t="str">
        <f aca="false">IFERROR(INDEX(Product_Master!$B$2:$B$9,MATCH(E548,Product_Master!$A$2:$A$9,0)),"UNMATCHED")</f>
        <v>Breakfast Cereal</v>
      </c>
      <c r="J548" s="42" t="n">
        <f aca="false">IFERROR(INDEX(Calendar!$B$2:$B$25,MATCH(B548,Calendar!$A$2:$A$25,0)),0)</f>
        <v>2026</v>
      </c>
      <c r="K548" s="42" t="n">
        <f aca="false">IFERROR(VALUE(RIGHT(B548,2)),0)</f>
        <v>4</v>
      </c>
      <c r="L548" s="42" t="str">
        <f aca="false">IFERROR(INDEX(Calendar!$E$2:$E$25,MATCH(B548,Calendar!$A$2:$A$25,0)),"UNMATCHED")</f>
        <v>Actual</v>
      </c>
      <c r="M548" s="42" t="n">
        <f aca="false">Sales_Transactions!F548</f>
        <v>451</v>
      </c>
      <c r="N548" s="52" t="n">
        <f aca="false">Sales_Transactions!I548</f>
        <v>113958.68</v>
      </c>
      <c r="O548" s="52" t="n">
        <f aca="false">Sales_Transactions!J548</f>
        <v>71406.83</v>
      </c>
      <c r="P548" s="52" t="n">
        <f aca="false">Sales_Transactions!K548</f>
        <v>42551.85</v>
      </c>
      <c r="Q548" s="42" t="n">
        <f aca="false">IF(ISNUMBER(MATCH(E548,Product_Master!$A$2:$A$9,0)),0,1)</f>
        <v>0</v>
      </c>
      <c r="R548" s="42" t="n">
        <f aca="false">IF(ISNUMBER(MATCH(D548,Customer_Master!$A$2:$A$49,0)),0,1)</f>
        <v>0</v>
      </c>
      <c r="S548" s="42" t="n">
        <f aca="false">IF(ISNUMBER(MATCH(B548,Calendar!$A$2:$A$25,0)),0,1)</f>
        <v>0</v>
      </c>
      <c r="T548" s="42" t="n">
        <f aca="false">IF(COUNTIF(Sales_Transactions!$A$2:$A$865,A548)&gt;1,1,0)</f>
        <v>0</v>
      </c>
      <c r="U548" s="42" t="n">
        <f aca="false">IF(OR(ABS(Sales_Transactions!F548*Sales_Transactions!G548-Sales_Transactions!I548)&gt;0.01,ABS(Sales_Transactions!F548*Sales_Transactions!H548-Sales_Transactions!J548)&gt;0.01,ABS(Sales_Transactions!I548-Sales_Transactions!J548-Sales_Transactions!K548)&gt;0.01),1,0)</f>
        <v>0</v>
      </c>
      <c r="V548" s="42" t="n">
        <f aca="false">IF(C548&lt;&gt;L548,1,0)</f>
        <v>0</v>
      </c>
      <c r="W548" s="42" t="n">
        <f aca="false">IF(SUM(Q548:V548)&gt;0,1,0)</f>
        <v>0</v>
      </c>
    </row>
    <row r="549" customFormat="false" ht="15" hidden="false" customHeight="false" outlineLevel="0" collapsed="false">
      <c r="A549" s="42" t="str">
        <f aca="false">Sales_Transactions!A549</f>
        <v>INV-16-008</v>
      </c>
      <c r="B549" s="42" t="str">
        <f aca="false">Sales_Transactions!B549</f>
        <v>2026-04</v>
      </c>
      <c r="C549" s="42" t="str">
        <f aca="false">Sales_Transactions!C549</f>
        <v>Actual</v>
      </c>
      <c r="D549" s="42" t="str">
        <f aca="false">Sales_Transactions!D549</f>
        <v>C047</v>
      </c>
      <c r="E549" s="42" t="str">
        <f aca="false">Sales_Transactions!E549</f>
        <v>P003</v>
      </c>
      <c r="F549" s="42" t="str">
        <f aca="false">IFERROR(INDEX(Customer_Master!$C$2:$C$49,MATCH(D549,Customer_Master!$A$2:$A$49,0)),"UNMATCHED")</f>
        <v>West</v>
      </c>
      <c r="G549" s="42" t="str">
        <f aca="false">IFERROR(INDEX(Customer_Master!$D$2:$D$49,MATCH(D549,Customer_Master!$A$2:$A$49,0)),"UNMATCHED")</f>
        <v>Modern Trade</v>
      </c>
      <c r="H549" s="42" t="str">
        <f aca="false">IFERROR(INDEX(Product_Master!$C$2:$C$9,MATCH(E549,Product_Master!$A$2:$A$9,0)),"UNMATCHED")</f>
        <v>Personal Care</v>
      </c>
      <c r="I549" s="42" t="str">
        <f aca="false">IFERROR(INDEX(Product_Master!$B$2:$B$9,MATCH(E549,Product_Master!$A$2:$A$9,0)),"UNMATCHED")</f>
        <v>Shampoo 400ml</v>
      </c>
      <c r="J549" s="42" t="n">
        <f aca="false">IFERROR(INDEX(Calendar!$B$2:$B$25,MATCH(B549,Calendar!$A$2:$A$25,0)),0)</f>
        <v>2026</v>
      </c>
      <c r="K549" s="42" t="n">
        <f aca="false">IFERROR(VALUE(RIGHT(B549,2)),0)</f>
        <v>4</v>
      </c>
      <c r="L549" s="42" t="str">
        <f aca="false">IFERROR(INDEX(Calendar!$E$2:$E$25,MATCH(B549,Calendar!$A$2:$A$25,0)),"UNMATCHED")</f>
        <v>Actual</v>
      </c>
      <c r="M549" s="42" t="n">
        <f aca="false">Sales_Transactions!F549</f>
        <v>235</v>
      </c>
      <c r="N549" s="52" t="n">
        <f aca="false">Sales_Transactions!I549</f>
        <v>60286.9</v>
      </c>
      <c r="O549" s="52" t="n">
        <f aca="false">Sales_Transactions!J549</f>
        <v>42391.65</v>
      </c>
      <c r="P549" s="52" t="n">
        <f aca="false">Sales_Transactions!K549</f>
        <v>17895.25</v>
      </c>
      <c r="Q549" s="42" t="n">
        <f aca="false">IF(ISNUMBER(MATCH(E549,Product_Master!$A$2:$A$9,0)),0,1)</f>
        <v>0</v>
      </c>
      <c r="R549" s="42" t="n">
        <f aca="false">IF(ISNUMBER(MATCH(D549,Customer_Master!$A$2:$A$49,0)),0,1)</f>
        <v>0</v>
      </c>
      <c r="S549" s="42" t="n">
        <f aca="false">IF(ISNUMBER(MATCH(B549,Calendar!$A$2:$A$25,0)),0,1)</f>
        <v>0</v>
      </c>
      <c r="T549" s="42" t="n">
        <f aca="false">IF(COUNTIF(Sales_Transactions!$A$2:$A$865,A549)&gt;1,1,0)</f>
        <v>0</v>
      </c>
      <c r="U549" s="42" t="n">
        <f aca="false">IF(OR(ABS(Sales_Transactions!F549*Sales_Transactions!G549-Sales_Transactions!I549)&gt;0.01,ABS(Sales_Transactions!F549*Sales_Transactions!H549-Sales_Transactions!J549)&gt;0.01,ABS(Sales_Transactions!I549-Sales_Transactions!J549-Sales_Transactions!K549)&gt;0.01),1,0)</f>
        <v>0</v>
      </c>
      <c r="V549" s="42" t="n">
        <f aca="false">IF(C549&lt;&gt;L549,1,0)</f>
        <v>0</v>
      </c>
      <c r="W549" s="42" t="n">
        <f aca="false">IF(SUM(Q549:V549)&gt;0,1,0)</f>
        <v>0</v>
      </c>
    </row>
    <row r="550" customFormat="false" ht="15" hidden="false" customHeight="false" outlineLevel="0" collapsed="false">
      <c r="A550" s="42" t="str">
        <f aca="false">Sales_Transactions!A550</f>
        <v>INV-16-009</v>
      </c>
      <c r="B550" s="42" t="str">
        <f aca="false">Sales_Transactions!B550</f>
        <v>2026-04</v>
      </c>
      <c r="C550" s="42" t="str">
        <f aca="false">Sales_Transactions!C550</f>
        <v>Actual</v>
      </c>
      <c r="D550" s="42" t="str">
        <f aca="false">Sales_Transactions!D550</f>
        <v>C006</v>
      </c>
      <c r="E550" s="42" t="str">
        <f aca="false">Sales_Transactions!E550</f>
        <v>P008</v>
      </c>
      <c r="F550" s="42" t="str">
        <f aca="false">IFERROR(INDEX(Customer_Master!$C$2:$C$49,MATCH(D550,Customer_Master!$A$2:$A$49,0)),"UNMATCHED")</f>
        <v>North</v>
      </c>
      <c r="G550" s="42" t="str">
        <f aca="false">IFERROR(INDEX(Customer_Master!$D$2:$D$49,MATCH(D550,Customer_Master!$A$2:$A$49,0)),"UNMATCHED")</f>
        <v>Retail</v>
      </c>
      <c r="H550" s="42" t="str">
        <f aca="false">IFERROR(INDEX(Product_Master!$C$2:$C$9,MATCH(E550,Product_Master!$A$2:$A$9,0)),"UNMATCHED")</f>
        <v>Personal Care</v>
      </c>
      <c r="I550" s="42" t="str">
        <f aca="false">IFERROR(INDEX(Product_Master!$B$2:$B$9,MATCH(E550,Product_Master!$A$2:$A$9,0)),"UNMATCHED")</f>
        <v>Body Lotion</v>
      </c>
      <c r="J550" s="42" t="n">
        <f aca="false">IFERROR(INDEX(Calendar!$B$2:$B$25,MATCH(B550,Calendar!$A$2:$A$25,0)),0)</f>
        <v>2026</v>
      </c>
      <c r="K550" s="42" t="n">
        <f aca="false">IFERROR(VALUE(RIGHT(B550,2)),0)</f>
        <v>4</v>
      </c>
      <c r="L550" s="42" t="str">
        <f aca="false">IFERROR(INDEX(Calendar!$E$2:$E$25,MATCH(B550,Calendar!$A$2:$A$25,0)),"UNMATCHED")</f>
        <v>Actual</v>
      </c>
      <c r="M550" s="42" t="n">
        <f aca="false">Sales_Transactions!F550</f>
        <v>106</v>
      </c>
      <c r="N550" s="52" t="n">
        <f aca="false">Sales_Transactions!I550</f>
        <v>32073.48</v>
      </c>
      <c r="O550" s="52" t="n">
        <f aca="false">Sales_Transactions!J550</f>
        <v>21352.64</v>
      </c>
      <c r="P550" s="52" t="n">
        <f aca="false">Sales_Transactions!K550</f>
        <v>10720.84</v>
      </c>
      <c r="Q550" s="42" t="n">
        <f aca="false">IF(ISNUMBER(MATCH(E550,Product_Master!$A$2:$A$9,0)),0,1)</f>
        <v>0</v>
      </c>
      <c r="R550" s="42" t="n">
        <f aca="false">IF(ISNUMBER(MATCH(D550,Customer_Master!$A$2:$A$49,0)),0,1)</f>
        <v>0</v>
      </c>
      <c r="S550" s="42" t="n">
        <f aca="false">IF(ISNUMBER(MATCH(B550,Calendar!$A$2:$A$25,0)),0,1)</f>
        <v>0</v>
      </c>
      <c r="T550" s="42" t="n">
        <f aca="false">IF(COUNTIF(Sales_Transactions!$A$2:$A$865,A550)&gt;1,1,0)</f>
        <v>0</v>
      </c>
      <c r="U550" s="42" t="n">
        <f aca="false">IF(OR(ABS(Sales_Transactions!F550*Sales_Transactions!G550-Sales_Transactions!I550)&gt;0.01,ABS(Sales_Transactions!F550*Sales_Transactions!H550-Sales_Transactions!J550)&gt;0.01,ABS(Sales_Transactions!I550-Sales_Transactions!J550-Sales_Transactions!K550)&gt;0.01),1,0)</f>
        <v>0</v>
      </c>
      <c r="V550" s="42" t="n">
        <f aca="false">IF(C550&lt;&gt;L550,1,0)</f>
        <v>0</v>
      </c>
      <c r="W550" s="42" t="n">
        <f aca="false">IF(SUM(Q550:V550)&gt;0,1,0)</f>
        <v>0</v>
      </c>
    </row>
    <row r="551" customFormat="false" ht="15" hidden="false" customHeight="false" outlineLevel="0" collapsed="false">
      <c r="A551" s="42" t="str">
        <f aca="false">Sales_Transactions!A551</f>
        <v>INV-16-010</v>
      </c>
      <c r="B551" s="42" t="str">
        <f aca="false">Sales_Transactions!B551</f>
        <v>2026-04</v>
      </c>
      <c r="C551" s="42" t="str">
        <f aca="false">Sales_Transactions!C551</f>
        <v>Actual</v>
      </c>
      <c r="D551" s="42" t="str">
        <f aca="false">Sales_Transactions!D551</f>
        <v>C013</v>
      </c>
      <c r="E551" s="42" t="str">
        <f aca="false">Sales_Transactions!E551</f>
        <v>P005</v>
      </c>
      <c r="F551" s="42" t="str">
        <f aca="false">IFERROR(INDEX(Customer_Master!$C$2:$C$49,MATCH(D551,Customer_Master!$A$2:$A$49,0)),"UNMATCHED")</f>
        <v>South</v>
      </c>
      <c r="G551" s="42" t="str">
        <f aca="false">IFERROR(INDEX(Customer_Master!$D$2:$D$49,MATCH(D551,Customer_Master!$A$2:$A$49,0)),"UNMATCHED")</f>
        <v>Distributor</v>
      </c>
      <c r="H551" s="42" t="str">
        <f aca="false">IFERROR(INDEX(Product_Master!$C$2:$C$9,MATCH(E551,Product_Master!$A$2:$A$9,0)),"UNMATCHED")</f>
        <v>Foods</v>
      </c>
      <c r="I551" s="42" t="str">
        <f aca="false">IFERROR(INDEX(Product_Master!$B$2:$B$9,MATCH(E551,Product_Master!$A$2:$A$9,0)),"UNMATCHED")</f>
        <v>Biscuits 500g</v>
      </c>
      <c r="J551" s="42" t="n">
        <f aca="false">IFERROR(INDEX(Calendar!$B$2:$B$25,MATCH(B551,Calendar!$A$2:$A$25,0)),0)</f>
        <v>2026</v>
      </c>
      <c r="K551" s="42" t="n">
        <f aca="false">IFERROR(VALUE(RIGHT(B551,2)),0)</f>
        <v>4</v>
      </c>
      <c r="L551" s="42" t="str">
        <f aca="false">IFERROR(INDEX(Calendar!$E$2:$E$25,MATCH(B551,Calendar!$A$2:$A$25,0)),"UNMATCHED")</f>
        <v>Actual</v>
      </c>
      <c r="M551" s="42" t="n">
        <f aca="false">Sales_Transactions!F551</f>
        <v>288</v>
      </c>
      <c r="N551" s="52" t="n">
        <f aca="false">Sales_Transactions!I551</f>
        <v>32267.52</v>
      </c>
      <c r="O551" s="52" t="n">
        <f aca="false">Sales_Transactions!J551</f>
        <v>19782.72</v>
      </c>
      <c r="P551" s="52" t="n">
        <f aca="false">Sales_Transactions!K551</f>
        <v>12484.8</v>
      </c>
      <c r="Q551" s="42" t="n">
        <f aca="false">IF(ISNUMBER(MATCH(E551,Product_Master!$A$2:$A$9,0)),0,1)</f>
        <v>0</v>
      </c>
      <c r="R551" s="42" t="n">
        <f aca="false">IF(ISNUMBER(MATCH(D551,Customer_Master!$A$2:$A$49,0)),0,1)</f>
        <v>0</v>
      </c>
      <c r="S551" s="42" t="n">
        <f aca="false">IF(ISNUMBER(MATCH(B551,Calendar!$A$2:$A$25,0)),0,1)</f>
        <v>0</v>
      </c>
      <c r="T551" s="42" t="n">
        <f aca="false">IF(COUNTIF(Sales_Transactions!$A$2:$A$865,A551)&gt;1,1,0)</f>
        <v>0</v>
      </c>
      <c r="U551" s="42" t="n">
        <f aca="false">IF(OR(ABS(Sales_Transactions!F551*Sales_Transactions!G551-Sales_Transactions!I551)&gt;0.01,ABS(Sales_Transactions!F551*Sales_Transactions!H551-Sales_Transactions!J551)&gt;0.01,ABS(Sales_Transactions!I551-Sales_Transactions!J551-Sales_Transactions!K551)&gt;0.01),1,0)</f>
        <v>0</v>
      </c>
      <c r="V551" s="42" t="n">
        <f aca="false">IF(C551&lt;&gt;L551,1,0)</f>
        <v>0</v>
      </c>
      <c r="W551" s="42" t="n">
        <f aca="false">IF(SUM(Q551:V551)&gt;0,1,0)</f>
        <v>0</v>
      </c>
    </row>
    <row r="552" customFormat="false" ht="15" hidden="false" customHeight="false" outlineLevel="0" collapsed="false">
      <c r="A552" s="42" t="str">
        <f aca="false">Sales_Transactions!A552</f>
        <v>INV-16-011</v>
      </c>
      <c r="B552" s="42" t="str">
        <f aca="false">Sales_Transactions!B552</f>
        <v>2026-04</v>
      </c>
      <c r="C552" s="42" t="str">
        <f aca="false">Sales_Transactions!C552</f>
        <v>Actual</v>
      </c>
      <c r="D552" s="42" t="str">
        <f aca="false">Sales_Transactions!D552</f>
        <v>C020</v>
      </c>
      <c r="E552" s="42" t="str">
        <f aca="false">Sales_Transactions!E552</f>
        <v>P002</v>
      </c>
      <c r="F552" s="42" t="str">
        <f aca="false">IFERROR(INDEX(Customer_Master!$C$2:$C$49,MATCH(D552,Customer_Master!$A$2:$A$49,0)),"UNMATCHED")</f>
        <v>East</v>
      </c>
      <c r="G552" s="42" t="str">
        <f aca="false">IFERROR(INDEX(Customer_Master!$D$2:$D$49,MATCH(D552,Customer_Master!$A$2:$A$49,0)),"UNMATCHED")</f>
        <v>Modern Trade</v>
      </c>
      <c r="H552" s="42" t="str">
        <f aca="false">IFERROR(INDEX(Product_Master!$C$2:$C$9,MATCH(E552,Product_Master!$A$2:$A$9,0)),"UNMATCHED")</f>
        <v>Home Care</v>
      </c>
      <c r="I552" s="42" t="str">
        <f aca="false">IFERROR(INDEX(Product_Master!$B$2:$B$9,MATCH(E552,Product_Master!$A$2:$A$9,0)),"UNMATCHED")</f>
        <v>Dishwash Gel</v>
      </c>
      <c r="J552" s="42" t="n">
        <f aca="false">IFERROR(INDEX(Calendar!$B$2:$B$25,MATCH(B552,Calendar!$A$2:$A$25,0)),0)</f>
        <v>2026</v>
      </c>
      <c r="K552" s="42" t="n">
        <f aca="false">IFERROR(VALUE(RIGHT(B552,2)),0)</f>
        <v>4</v>
      </c>
      <c r="L552" s="42" t="str">
        <f aca="false">IFERROR(INDEX(Calendar!$E$2:$E$25,MATCH(B552,Calendar!$A$2:$A$25,0)),"UNMATCHED")</f>
        <v>Actual</v>
      </c>
      <c r="M552" s="42" t="n">
        <f aca="false">Sales_Transactions!F552</f>
        <v>214</v>
      </c>
      <c r="N552" s="52" t="n">
        <f aca="false">Sales_Transactions!I552</f>
        <v>27764.36</v>
      </c>
      <c r="O552" s="52" t="n">
        <f aca="false">Sales_Transactions!J552</f>
        <v>18209.26</v>
      </c>
      <c r="P552" s="52" t="n">
        <f aca="false">Sales_Transactions!K552</f>
        <v>9555.1</v>
      </c>
      <c r="Q552" s="42" t="n">
        <f aca="false">IF(ISNUMBER(MATCH(E552,Product_Master!$A$2:$A$9,0)),0,1)</f>
        <v>0</v>
      </c>
      <c r="R552" s="42" t="n">
        <f aca="false">IF(ISNUMBER(MATCH(D552,Customer_Master!$A$2:$A$49,0)),0,1)</f>
        <v>0</v>
      </c>
      <c r="S552" s="42" t="n">
        <f aca="false">IF(ISNUMBER(MATCH(B552,Calendar!$A$2:$A$25,0)),0,1)</f>
        <v>0</v>
      </c>
      <c r="T552" s="42" t="n">
        <f aca="false">IF(COUNTIF(Sales_Transactions!$A$2:$A$865,A552)&gt;1,1,0)</f>
        <v>0</v>
      </c>
      <c r="U552" s="42" t="n">
        <f aca="false">IF(OR(ABS(Sales_Transactions!F552*Sales_Transactions!G552-Sales_Transactions!I552)&gt;0.01,ABS(Sales_Transactions!F552*Sales_Transactions!H552-Sales_Transactions!J552)&gt;0.01,ABS(Sales_Transactions!I552-Sales_Transactions!J552-Sales_Transactions!K552)&gt;0.01),1,0)</f>
        <v>0</v>
      </c>
      <c r="V552" s="42" t="n">
        <f aca="false">IF(C552&lt;&gt;L552,1,0)</f>
        <v>0</v>
      </c>
      <c r="W552" s="42" t="n">
        <f aca="false">IF(SUM(Q552:V552)&gt;0,1,0)</f>
        <v>0</v>
      </c>
    </row>
    <row r="553" customFormat="false" ht="15" hidden="false" customHeight="false" outlineLevel="0" collapsed="false">
      <c r="A553" s="42" t="str">
        <f aca="false">Sales_Transactions!A553</f>
        <v>INV-16-012</v>
      </c>
      <c r="B553" s="42" t="str">
        <f aca="false">Sales_Transactions!B553</f>
        <v>2026-04</v>
      </c>
      <c r="C553" s="42" t="str">
        <f aca="false">Sales_Transactions!C553</f>
        <v>Actual</v>
      </c>
      <c r="D553" s="42" t="str">
        <f aca="false">Sales_Transactions!D553</f>
        <v>C027</v>
      </c>
      <c r="E553" s="42" t="str">
        <f aca="false">Sales_Transactions!E553</f>
        <v>P007</v>
      </c>
      <c r="F553" s="42" t="str">
        <f aca="false">IFERROR(INDEX(Customer_Master!$C$2:$C$49,MATCH(D553,Customer_Master!$A$2:$A$49,0)),"UNMATCHED")</f>
        <v>West</v>
      </c>
      <c r="G553" s="42" t="str">
        <f aca="false">IFERROR(INDEX(Customer_Master!$D$2:$D$49,MATCH(D553,Customer_Master!$A$2:$A$49,0)),"UNMATCHED")</f>
        <v>Retail</v>
      </c>
      <c r="H553" s="42" t="str">
        <f aca="false">IFERROR(INDEX(Product_Master!$C$2:$C$9,MATCH(E553,Product_Master!$A$2:$A$9,0)),"UNMATCHED")</f>
        <v>Home Care</v>
      </c>
      <c r="I553" s="42" t="str">
        <f aca="false">IFERROR(INDEX(Product_Master!$B$2:$B$9,MATCH(E553,Product_Master!$A$2:$A$9,0)),"UNMATCHED")</f>
        <v>Floor Cleaner</v>
      </c>
      <c r="J553" s="42" t="n">
        <f aca="false">IFERROR(INDEX(Calendar!$B$2:$B$25,MATCH(B553,Calendar!$A$2:$A$25,0)),0)</f>
        <v>2026</v>
      </c>
      <c r="K553" s="42" t="n">
        <f aca="false">IFERROR(VALUE(RIGHT(B553,2)),0)</f>
        <v>4</v>
      </c>
      <c r="L553" s="42" t="str">
        <f aca="false">IFERROR(INDEX(Calendar!$E$2:$E$25,MATCH(B553,Calendar!$A$2:$A$25,0)),"UNMATCHED")</f>
        <v>Actual</v>
      </c>
      <c r="M553" s="42" t="n">
        <f aca="false">Sales_Transactions!F553</f>
        <v>231</v>
      </c>
      <c r="N553" s="52" t="n">
        <f aca="false">Sales_Transactions!I553</f>
        <v>41099.52</v>
      </c>
      <c r="O553" s="52" t="n">
        <f aca="false">Sales_Transactions!J553</f>
        <v>27260.31</v>
      </c>
      <c r="P553" s="52" t="n">
        <f aca="false">Sales_Transactions!K553</f>
        <v>13839.21</v>
      </c>
      <c r="Q553" s="42" t="n">
        <f aca="false">IF(ISNUMBER(MATCH(E553,Product_Master!$A$2:$A$9,0)),0,1)</f>
        <v>0</v>
      </c>
      <c r="R553" s="42" t="n">
        <f aca="false">IF(ISNUMBER(MATCH(D553,Customer_Master!$A$2:$A$49,0)),0,1)</f>
        <v>0</v>
      </c>
      <c r="S553" s="42" t="n">
        <f aca="false">IF(ISNUMBER(MATCH(B553,Calendar!$A$2:$A$25,0)),0,1)</f>
        <v>0</v>
      </c>
      <c r="T553" s="42" t="n">
        <f aca="false">IF(COUNTIF(Sales_Transactions!$A$2:$A$865,A553)&gt;1,1,0)</f>
        <v>0</v>
      </c>
      <c r="U553" s="42" t="n">
        <f aca="false">IF(OR(ABS(Sales_Transactions!F553*Sales_Transactions!G553-Sales_Transactions!I553)&gt;0.01,ABS(Sales_Transactions!F553*Sales_Transactions!H553-Sales_Transactions!J553)&gt;0.01,ABS(Sales_Transactions!I553-Sales_Transactions!J553-Sales_Transactions!K553)&gt;0.01),1,0)</f>
        <v>0</v>
      </c>
      <c r="V553" s="42" t="n">
        <f aca="false">IF(C553&lt;&gt;L553,1,0)</f>
        <v>0</v>
      </c>
      <c r="W553" s="42" t="n">
        <f aca="false">IF(SUM(Q553:V553)&gt;0,1,0)</f>
        <v>0</v>
      </c>
    </row>
    <row r="554" customFormat="false" ht="15" hidden="false" customHeight="false" outlineLevel="0" collapsed="false">
      <c r="A554" s="42" t="str">
        <f aca="false">Sales_Transactions!A554</f>
        <v>INV-16-013</v>
      </c>
      <c r="B554" s="42" t="str">
        <f aca="false">Sales_Transactions!B554</f>
        <v>2026-04</v>
      </c>
      <c r="C554" s="42" t="str">
        <f aca="false">Sales_Transactions!C554</f>
        <v>Actual</v>
      </c>
      <c r="D554" s="42" t="str">
        <f aca="false">Sales_Transactions!D554</f>
        <v>C034</v>
      </c>
      <c r="E554" s="42" t="str">
        <f aca="false">Sales_Transactions!E554</f>
        <v>P004</v>
      </c>
      <c r="F554" s="42" t="str">
        <f aca="false">IFERROR(INDEX(Customer_Master!$C$2:$C$49,MATCH(D554,Customer_Master!$A$2:$A$49,0)),"UNMATCHED")</f>
        <v>North</v>
      </c>
      <c r="G554" s="42" t="str">
        <f aca="false">IFERROR(INDEX(Customer_Master!$D$2:$D$49,MATCH(D554,Customer_Master!$A$2:$A$49,0)),"UNMATCHED")</f>
        <v>Distributor</v>
      </c>
      <c r="H554" s="42" t="str">
        <f aca="false">IFERROR(INDEX(Product_Master!$C$2:$C$9,MATCH(E554,Product_Master!$A$2:$A$9,0)),"UNMATCHED")</f>
        <v>Personal Care</v>
      </c>
      <c r="I554" s="42" t="str">
        <f aca="false">IFERROR(INDEX(Product_Master!$B$2:$B$9,MATCH(E554,Product_Master!$A$2:$A$9,0)),"UNMATCHED")</f>
        <v>Soap 4-pack</v>
      </c>
      <c r="J554" s="42" t="n">
        <f aca="false">IFERROR(INDEX(Calendar!$B$2:$B$25,MATCH(B554,Calendar!$A$2:$A$25,0)),0)</f>
        <v>2026</v>
      </c>
      <c r="K554" s="42" t="n">
        <f aca="false">IFERROR(VALUE(RIGHT(B554,2)),0)</f>
        <v>4</v>
      </c>
      <c r="L554" s="42" t="str">
        <f aca="false">IFERROR(INDEX(Calendar!$E$2:$E$25,MATCH(B554,Calendar!$A$2:$A$25,0)),"UNMATCHED")</f>
        <v>Actual</v>
      </c>
      <c r="M554" s="42" t="n">
        <f aca="false">Sales_Transactions!F554</f>
        <v>420</v>
      </c>
      <c r="N554" s="52" t="n">
        <f aca="false">Sales_Transactions!I554</f>
        <v>68586</v>
      </c>
      <c r="O554" s="52" t="n">
        <f aca="false">Sales_Transactions!J554</f>
        <v>39307.8</v>
      </c>
      <c r="P554" s="52" t="n">
        <f aca="false">Sales_Transactions!K554</f>
        <v>29278.2</v>
      </c>
      <c r="Q554" s="42" t="n">
        <f aca="false">IF(ISNUMBER(MATCH(E554,Product_Master!$A$2:$A$9,0)),0,1)</f>
        <v>0</v>
      </c>
      <c r="R554" s="42" t="n">
        <f aca="false">IF(ISNUMBER(MATCH(D554,Customer_Master!$A$2:$A$49,0)),0,1)</f>
        <v>0</v>
      </c>
      <c r="S554" s="42" t="n">
        <f aca="false">IF(ISNUMBER(MATCH(B554,Calendar!$A$2:$A$25,0)),0,1)</f>
        <v>0</v>
      </c>
      <c r="T554" s="42" t="n">
        <f aca="false">IF(COUNTIF(Sales_Transactions!$A$2:$A$865,A554)&gt;1,1,0)</f>
        <v>0</v>
      </c>
      <c r="U554" s="42" t="n">
        <f aca="false">IF(OR(ABS(Sales_Transactions!F554*Sales_Transactions!G554-Sales_Transactions!I554)&gt;0.01,ABS(Sales_Transactions!F554*Sales_Transactions!H554-Sales_Transactions!J554)&gt;0.01,ABS(Sales_Transactions!I554-Sales_Transactions!J554-Sales_Transactions!K554)&gt;0.01),1,0)</f>
        <v>0</v>
      </c>
      <c r="V554" s="42" t="n">
        <f aca="false">IF(C554&lt;&gt;L554,1,0)</f>
        <v>0</v>
      </c>
      <c r="W554" s="42" t="n">
        <f aca="false">IF(SUM(Q554:V554)&gt;0,1,0)</f>
        <v>0</v>
      </c>
    </row>
    <row r="555" customFormat="false" ht="15" hidden="false" customHeight="false" outlineLevel="0" collapsed="false">
      <c r="A555" s="42" t="str">
        <f aca="false">Sales_Transactions!A555</f>
        <v>INV-16-014</v>
      </c>
      <c r="B555" s="42" t="str">
        <f aca="false">Sales_Transactions!B555</f>
        <v>2026-04</v>
      </c>
      <c r="C555" s="42" t="str">
        <f aca="false">Sales_Transactions!C555</f>
        <v>Actual</v>
      </c>
      <c r="D555" s="42" t="str">
        <f aca="false">Sales_Transactions!D555</f>
        <v>C041</v>
      </c>
      <c r="E555" s="42" t="str">
        <f aca="false">Sales_Transactions!E555</f>
        <v>P001</v>
      </c>
      <c r="F555" s="42" t="str">
        <f aca="false">IFERROR(INDEX(Customer_Master!$C$2:$C$49,MATCH(D555,Customer_Master!$A$2:$A$49,0)),"UNMATCHED")</f>
        <v>South</v>
      </c>
      <c r="G555" s="42" t="str">
        <f aca="false">IFERROR(INDEX(Customer_Master!$D$2:$D$49,MATCH(D555,Customer_Master!$A$2:$A$49,0)),"UNMATCHED")</f>
        <v>Modern Trade</v>
      </c>
      <c r="H555" s="42" t="str">
        <f aca="false">IFERROR(INDEX(Product_Master!$C$2:$C$9,MATCH(E555,Product_Master!$A$2:$A$9,0)),"UNMATCHED")</f>
        <v>Home Care</v>
      </c>
      <c r="I555" s="42" t="str">
        <f aca="false">IFERROR(INDEX(Product_Master!$B$2:$B$9,MATCH(E555,Product_Master!$A$2:$A$9,0)),"UNMATCHED")</f>
        <v>Detergent 1kg</v>
      </c>
      <c r="J555" s="42" t="n">
        <f aca="false">IFERROR(INDEX(Calendar!$B$2:$B$25,MATCH(B555,Calendar!$A$2:$A$25,0)),0)</f>
        <v>2026</v>
      </c>
      <c r="K555" s="42" t="n">
        <f aca="false">IFERROR(VALUE(RIGHT(B555,2)),0)</f>
        <v>4</v>
      </c>
      <c r="L555" s="42" t="str">
        <f aca="false">IFERROR(INDEX(Calendar!$E$2:$E$25,MATCH(B555,Calendar!$A$2:$A$25,0)),"UNMATCHED")</f>
        <v>Actual</v>
      </c>
      <c r="M555" s="42" t="n">
        <f aca="false">Sales_Transactions!F555</f>
        <v>273</v>
      </c>
      <c r="N555" s="52" t="n">
        <f aca="false">Sales_Transactions!I555</f>
        <v>54280.59</v>
      </c>
      <c r="O555" s="52" t="n">
        <f aca="false">Sales_Transactions!J555</f>
        <v>36325.38</v>
      </c>
      <c r="P555" s="52" t="n">
        <f aca="false">Sales_Transactions!K555</f>
        <v>17955.21</v>
      </c>
      <c r="Q555" s="42" t="n">
        <f aca="false">IF(ISNUMBER(MATCH(E555,Product_Master!$A$2:$A$9,0)),0,1)</f>
        <v>0</v>
      </c>
      <c r="R555" s="42" t="n">
        <f aca="false">IF(ISNUMBER(MATCH(D555,Customer_Master!$A$2:$A$49,0)),0,1)</f>
        <v>0</v>
      </c>
      <c r="S555" s="42" t="n">
        <f aca="false">IF(ISNUMBER(MATCH(B555,Calendar!$A$2:$A$25,0)),0,1)</f>
        <v>0</v>
      </c>
      <c r="T555" s="42" t="n">
        <f aca="false">IF(COUNTIF(Sales_Transactions!$A$2:$A$865,A555)&gt;1,1,0)</f>
        <v>0</v>
      </c>
      <c r="U555" s="42" t="n">
        <f aca="false">IF(OR(ABS(Sales_Transactions!F555*Sales_Transactions!G555-Sales_Transactions!I555)&gt;0.01,ABS(Sales_Transactions!F555*Sales_Transactions!H555-Sales_Transactions!J555)&gt;0.01,ABS(Sales_Transactions!I555-Sales_Transactions!J555-Sales_Transactions!K555)&gt;0.01),1,0)</f>
        <v>0</v>
      </c>
      <c r="V555" s="42" t="n">
        <f aca="false">IF(C555&lt;&gt;L555,1,0)</f>
        <v>0</v>
      </c>
      <c r="W555" s="42" t="n">
        <f aca="false">IF(SUM(Q555:V555)&gt;0,1,0)</f>
        <v>0</v>
      </c>
    </row>
    <row r="556" customFormat="false" ht="15" hidden="false" customHeight="false" outlineLevel="0" collapsed="false">
      <c r="A556" s="42" t="str">
        <f aca="false">Sales_Transactions!A556</f>
        <v>INV-16-015</v>
      </c>
      <c r="B556" s="42" t="str">
        <f aca="false">Sales_Transactions!B556</f>
        <v>2026-04</v>
      </c>
      <c r="C556" s="42" t="str">
        <f aca="false">Sales_Transactions!C556</f>
        <v>Actual</v>
      </c>
      <c r="D556" s="42" t="str">
        <f aca="false">Sales_Transactions!D556</f>
        <v>C048</v>
      </c>
      <c r="E556" s="42" t="str">
        <f aca="false">Sales_Transactions!E556</f>
        <v>P006</v>
      </c>
      <c r="F556" s="42" t="str">
        <f aca="false">IFERROR(INDEX(Customer_Master!$C$2:$C$49,MATCH(D556,Customer_Master!$A$2:$A$49,0)),"UNMATCHED")</f>
        <v>East</v>
      </c>
      <c r="G556" s="42" t="str">
        <f aca="false">IFERROR(INDEX(Customer_Master!$D$2:$D$49,MATCH(D556,Customer_Master!$A$2:$A$49,0)),"UNMATCHED")</f>
        <v>Retail</v>
      </c>
      <c r="H556" s="42" t="str">
        <f aca="false">IFERROR(INDEX(Product_Master!$C$2:$C$9,MATCH(E556,Product_Master!$A$2:$A$9,0)),"UNMATCHED")</f>
        <v>Foods</v>
      </c>
      <c r="I556" s="42" t="str">
        <f aca="false">IFERROR(INDEX(Product_Master!$B$2:$B$9,MATCH(E556,Product_Master!$A$2:$A$9,0)),"UNMATCHED")</f>
        <v>Breakfast Cereal</v>
      </c>
      <c r="J556" s="42" t="n">
        <f aca="false">IFERROR(INDEX(Calendar!$B$2:$B$25,MATCH(B556,Calendar!$A$2:$A$25,0)),0)</f>
        <v>2026</v>
      </c>
      <c r="K556" s="42" t="n">
        <f aca="false">IFERROR(VALUE(RIGHT(B556,2)),0)</f>
        <v>4</v>
      </c>
      <c r="L556" s="42" t="str">
        <f aca="false">IFERROR(INDEX(Calendar!$E$2:$E$25,MATCH(B556,Calendar!$A$2:$A$25,0)),"UNMATCHED")</f>
        <v>Actual</v>
      </c>
      <c r="M556" s="42" t="n">
        <f aca="false">Sales_Transactions!F556</f>
        <v>310</v>
      </c>
      <c r="N556" s="52" t="n">
        <f aca="false">Sales_Transactions!I556</f>
        <v>79549.1</v>
      </c>
      <c r="O556" s="52" t="n">
        <f aca="false">Sales_Transactions!J556</f>
        <v>48670</v>
      </c>
      <c r="P556" s="52" t="n">
        <f aca="false">Sales_Transactions!K556</f>
        <v>30879.1</v>
      </c>
      <c r="Q556" s="42" t="n">
        <f aca="false">IF(ISNUMBER(MATCH(E556,Product_Master!$A$2:$A$9,0)),0,1)</f>
        <v>0</v>
      </c>
      <c r="R556" s="42" t="n">
        <f aca="false">IF(ISNUMBER(MATCH(D556,Customer_Master!$A$2:$A$49,0)),0,1)</f>
        <v>0</v>
      </c>
      <c r="S556" s="42" t="n">
        <f aca="false">IF(ISNUMBER(MATCH(B556,Calendar!$A$2:$A$25,0)),0,1)</f>
        <v>0</v>
      </c>
      <c r="T556" s="42" t="n">
        <f aca="false">IF(COUNTIF(Sales_Transactions!$A$2:$A$865,A556)&gt;1,1,0)</f>
        <v>0</v>
      </c>
      <c r="U556" s="42" t="n">
        <f aca="false">IF(OR(ABS(Sales_Transactions!F556*Sales_Transactions!G556-Sales_Transactions!I556)&gt;0.01,ABS(Sales_Transactions!F556*Sales_Transactions!H556-Sales_Transactions!J556)&gt;0.01,ABS(Sales_Transactions!I556-Sales_Transactions!J556-Sales_Transactions!K556)&gt;0.01),1,0)</f>
        <v>0</v>
      </c>
      <c r="V556" s="42" t="n">
        <f aca="false">IF(C556&lt;&gt;L556,1,0)</f>
        <v>0</v>
      </c>
      <c r="W556" s="42" t="n">
        <f aca="false">IF(SUM(Q556:V556)&gt;0,1,0)</f>
        <v>0</v>
      </c>
    </row>
    <row r="557" customFormat="false" ht="15" hidden="false" customHeight="false" outlineLevel="0" collapsed="false">
      <c r="A557" s="42" t="str">
        <f aca="false">Sales_Transactions!A557</f>
        <v>INV-16-016</v>
      </c>
      <c r="B557" s="42" t="str">
        <f aca="false">Sales_Transactions!B557</f>
        <v>2026-04</v>
      </c>
      <c r="C557" s="42" t="str">
        <f aca="false">Sales_Transactions!C557</f>
        <v>Actual</v>
      </c>
      <c r="D557" s="42" t="str">
        <f aca="false">Sales_Transactions!D557</f>
        <v>C007</v>
      </c>
      <c r="E557" s="42" t="str">
        <f aca="false">Sales_Transactions!E557</f>
        <v>P003</v>
      </c>
      <c r="F557" s="42" t="str">
        <f aca="false">IFERROR(INDEX(Customer_Master!$C$2:$C$49,MATCH(D557,Customer_Master!$A$2:$A$49,0)),"UNMATCHED")</f>
        <v>West</v>
      </c>
      <c r="G557" s="42" t="str">
        <f aca="false">IFERROR(INDEX(Customer_Master!$D$2:$D$49,MATCH(D557,Customer_Master!$A$2:$A$49,0)),"UNMATCHED")</f>
        <v>Distributor</v>
      </c>
      <c r="H557" s="42" t="str">
        <f aca="false">IFERROR(INDEX(Product_Master!$C$2:$C$9,MATCH(E557,Product_Master!$A$2:$A$9,0)),"UNMATCHED")</f>
        <v>Personal Care</v>
      </c>
      <c r="I557" s="42" t="str">
        <f aca="false">IFERROR(INDEX(Product_Master!$B$2:$B$9,MATCH(E557,Product_Master!$A$2:$A$9,0)),"UNMATCHED")</f>
        <v>Shampoo 400ml</v>
      </c>
      <c r="J557" s="42" t="n">
        <f aca="false">IFERROR(INDEX(Calendar!$B$2:$B$25,MATCH(B557,Calendar!$A$2:$A$25,0)),0)</f>
        <v>2026</v>
      </c>
      <c r="K557" s="42" t="n">
        <f aca="false">IFERROR(VALUE(RIGHT(B557,2)),0)</f>
        <v>4</v>
      </c>
      <c r="L557" s="42" t="str">
        <f aca="false">IFERROR(INDEX(Calendar!$E$2:$E$25,MATCH(B557,Calendar!$A$2:$A$25,0)),"UNMATCHED")</f>
        <v>Actual</v>
      </c>
      <c r="M557" s="42" t="n">
        <f aca="false">Sales_Transactions!F557</f>
        <v>180</v>
      </c>
      <c r="N557" s="52" t="n">
        <f aca="false">Sales_Transactions!I557</f>
        <v>48106.8</v>
      </c>
      <c r="O557" s="52" t="n">
        <f aca="false">Sales_Transactions!J557</f>
        <v>31386.6</v>
      </c>
      <c r="P557" s="52" t="n">
        <f aca="false">Sales_Transactions!K557</f>
        <v>16720.2</v>
      </c>
      <c r="Q557" s="42" t="n">
        <f aca="false">IF(ISNUMBER(MATCH(E557,Product_Master!$A$2:$A$9,0)),0,1)</f>
        <v>0</v>
      </c>
      <c r="R557" s="42" t="n">
        <f aca="false">IF(ISNUMBER(MATCH(D557,Customer_Master!$A$2:$A$49,0)),0,1)</f>
        <v>0</v>
      </c>
      <c r="S557" s="42" t="n">
        <f aca="false">IF(ISNUMBER(MATCH(B557,Calendar!$A$2:$A$25,0)),0,1)</f>
        <v>0</v>
      </c>
      <c r="T557" s="42" t="n">
        <f aca="false">IF(COUNTIF(Sales_Transactions!$A$2:$A$865,A557)&gt;1,1,0)</f>
        <v>0</v>
      </c>
      <c r="U557" s="42" t="n">
        <f aca="false">IF(OR(ABS(Sales_Transactions!F557*Sales_Transactions!G557-Sales_Transactions!I557)&gt;0.01,ABS(Sales_Transactions!F557*Sales_Transactions!H557-Sales_Transactions!J557)&gt;0.01,ABS(Sales_Transactions!I557-Sales_Transactions!J557-Sales_Transactions!K557)&gt;0.01),1,0)</f>
        <v>0</v>
      </c>
      <c r="V557" s="42" t="n">
        <f aca="false">IF(C557&lt;&gt;L557,1,0)</f>
        <v>0</v>
      </c>
      <c r="W557" s="42" t="n">
        <f aca="false">IF(SUM(Q557:V557)&gt;0,1,0)</f>
        <v>0</v>
      </c>
    </row>
    <row r="558" customFormat="false" ht="15" hidden="false" customHeight="false" outlineLevel="0" collapsed="false">
      <c r="A558" s="42" t="str">
        <f aca="false">Sales_Transactions!A558</f>
        <v>INV-16-017</v>
      </c>
      <c r="B558" s="42" t="str">
        <f aca="false">Sales_Transactions!B558</f>
        <v>2026-04</v>
      </c>
      <c r="C558" s="42" t="str">
        <f aca="false">Sales_Transactions!C558</f>
        <v>Actual</v>
      </c>
      <c r="D558" s="42" t="str">
        <f aca="false">Sales_Transactions!D558</f>
        <v>C014</v>
      </c>
      <c r="E558" s="42" t="str">
        <f aca="false">Sales_Transactions!E558</f>
        <v>P008</v>
      </c>
      <c r="F558" s="42" t="str">
        <f aca="false">IFERROR(INDEX(Customer_Master!$C$2:$C$49,MATCH(D558,Customer_Master!$A$2:$A$49,0)),"UNMATCHED")</f>
        <v>North</v>
      </c>
      <c r="G558" s="42" t="str">
        <f aca="false">IFERROR(INDEX(Customer_Master!$D$2:$D$49,MATCH(D558,Customer_Master!$A$2:$A$49,0)),"UNMATCHED")</f>
        <v>Modern Trade</v>
      </c>
      <c r="H558" s="42" t="str">
        <f aca="false">IFERROR(INDEX(Product_Master!$C$2:$C$9,MATCH(E558,Product_Master!$A$2:$A$9,0)),"UNMATCHED")</f>
        <v>Personal Care</v>
      </c>
      <c r="I558" s="42" t="str">
        <f aca="false">IFERROR(INDEX(Product_Master!$B$2:$B$9,MATCH(E558,Product_Master!$A$2:$A$9,0)),"UNMATCHED")</f>
        <v>Body Lotion</v>
      </c>
      <c r="J558" s="42" t="n">
        <f aca="false">IFERROR(INDEX(Calendar!$B$2:$B$25,MATCH(B558,Calendar!$A$2:$A$25,0)),0)</f>
        <v>2026</v>
      </c>
      <c r="K558" s="42" t="n">
        <f aca="false">IFERROR(VALUE(RIGHT(B558,2)),0)</f>
        <v>4</v>
      </c>
      <c r="L558" s="42" t="str">
        <f aca="false">IFERROR(INDEX(Calendar!$E$2:$E$25,MATCH(B558,Calendar!$A$2:$A$25,0)),"UNMATCHED")</f>
        <v>Actual</v>
      </c>
      <c r="M558" s="42" t="n">
        <f aca="false">Sales_Transactions!F558</f>
        <v>350</v>
      </c>
      <c r="N558" s="52" t="n">
        <f aca="false">Sales_Transactions!I558</f>
        <v>105182</v>
      </c>
      <c r="O558" s="52" t="n">
        <f aca="false">Sales_Transactions!J558</f>
        <v>68572</v>
      </c>
      <c r="P558" s="52" t="n">
        <f aca="false">Sales_Transactions!K558</f>
        <v>36610</v>
      </c>
      <c r="Q558" s="42" t="n">
        <f aca="false">IF(ISNUMBER(MATCH(E558,Product_Master!$A$2:$A$9,0)),0,1)</f>
        <v>0</v>
      </c>
      <c r="R558" s="42" t="n">
        <f aca="false">IF(ISNUMBER(MATCH(D558,Customer_Master!$A$2:$A$49,0)),0,1)</f>
        <v>0</v>
      </c>
      <c r="S558" s="42" t="n">
        <f aca="false">IF(ISNUMBER(MATCH(B558,Calendar!$A$2:$A$25,0)),0,1)</f>
        <v>0</v>
      </c>
      <c r="T558" s="42" t="n">
        <f aca="false">IF(COUNTIF(Sales_Transactions!$A$2:$A$865,A558)&gt;1,1,0)</f>
        <v>0</v>
      </c>
      <c r="U558" s="42" t="n">
        <f aca="false">IF(OR(ABS(Sales_Transactions!F558*Sales_Transactions!G558-Sales_Transactions!I558)&gt;0.01,ABS(Sales_Transactions!F558*Sales_Transactions!H558-Sales_Transactions!J558)&gt;0.01,ABS(Sales_Transactions!I558-Sales_Transactions!J558-Sales_Transactions!K558)&gt;0.01),1,0)</f>
        <v>0</v>
      </c>
      <c r="V558" s="42" t="n">
        <f aca="false">IF(C558&lt;&gt;L558,1,0)</f>
        <v>0</v>
      </c>
      <c r="W558" s="42" t="n">
        <f aca="false">IF(SUM(Q558:V558)&gt;0,1,0)</f>
        <v>0</v>
      </c>
    </row>
    <row r="559" customFormat="false" ht="15" hidden="false" customHeight="false" outlineLevel="0" collapsed="false">
      <c r="A559" s="42" t="str">
        <f aca="false">Sales_Transactions!A559</f>
        <v>INV-16-018</v>
      </c>
      <c r="B559" s="42" t="str">
        <f aca="false">Sales_Transactions!B559</f>
        <v>2026-04</v>
      </c>
      <c r="C559" s="42" t="str">
        <f aca="false">Sales_Transactions!C559</f>
        <v>Actual</v>
      </c>
      <c r="D559" s="42" t="str">
        <f aca="false">Sales_Transactions!D559</f>
        <v>C021</v>
      </c>
      <c r="E559" s="42" t="str">
        <f aca="false">Sales_Transactions!E559</f>
        <v>P005</v>
      </c>
      <c r="F559" s="42" t="str">
        <f aca="false">IFERROR(INDEX(Customer_Master!$C$2:$C$49,MATCH(D559,Customer_Master!$A$2:$A$49,0)),"UNMATCHED")</f>
        <v>South</v>
      </c>
      <c r="G559" s="42" t="str">
        <f aca="false">IFERROR(INDEX(Customer_Master!$D$2:$D$49,MATCH(D559,Customer_Master!$A$2:$A$49,0)),"UNMATCHED")</f>
        <v>Retail</v>
      </c>
      <c r="H559" s="42" t="str">
        <f aca="false">IFERROR(INDEX(Product_Master!$C$2:$C$9,MATCH(E559,Product_Master!$A$2:$A$9,0)),"UNMATCHED")</f>
        <v>Foods</v>
      </c>
      <c r="I559" s="42" t="str">
        <f aca="false">IFERROR(INDEX(Product_Master!$B$2:$B$9,MATCH(E559,Product_Master!$A$2:$A$9,0)),"UNMATCHED")</f>
        <v>Biscuits 500g</v>
      </c>
      <c r="J559" s="42" t="n">
        <f aca="false">IFERROR(INDEX(Calendar!$B$2:$B$25,MATCH(B559,Calendar!$A$2:$A$25,0)),0)</f>
        <v>2026</v>
      </c>
      <c r="K559" s="42" t="n">
        <f aca="false">IFERROR(VALUE(RIGHT(B559,2)),0)</f>
        <v>4</v>
      </c>
      <c r="L559" s="42" t="str">
        <f aca="false">IFERROR(INDEX(Calendar!$E$2:$E$25,MATCH(B559,Calendar!$A$2:$A$25,0)),"UNMATCHED")</f>
        <v>Actual</v>
      </c>
      <c r="M559" s="42" t="n">
        <f aca="false">Sales_Transactions!F559</f>
        <v>302</v>
      </c>
      <c r="N559" s="52" t="n">
        <f aca="false">Sales_Transactions!I559</f>
        <v>29907.06</v>
      </c>
      <c r="O559" s="52" t="n">
        <f aca="false">Sales_Transactions!J559</f>
        <v>20886.32</v>
      </c>
      <c r="P559" s="52" t="n">
        <f aca="false">Sales_Transactions!K559</f>
        <v>9020.74</v>
      </c>
      <c r="Q559" s="42" t="n">
        <f aca="false">IF(ISNUMBER(MATCH(E559,Product_Master!$A$2:$A$9,0)),0,1)</f>
        <v>0</v>
      </c>
      <c r="R559" s="42" t="n">
        <f aca="false">IF(ISNUMBER(MATCH(D559,Customer_Master!$A$2:$A$49,0)),0,1)</f>
        <v>0</v>
      </c>
      <c r="S559" s="42" t="n">
        <f aca="false">IF(ISNUMBER(MATCH(B559,Calendar!$A$2:$A$25,0)),0,1)</f>
        <v>0</v>
      </c>
      <c r="T559" s="42" t="n">
        <f aca="false">IF(COUNTIF(Sales_Transactions!$A$2:$A$865,A559)&gt;1,1,0)</f>
        <v>0</v>
      </c>
      <c r="U559" s="42" t="n">
        <f aca="false">IF(OR(ABS(Sales_Transactions!F559*Sales_Transactions!G559-Sales_Transactions!I559)&gt;0.01,ABS(Sales_Transactions!F559*Sales_Transactions!H559-Sales_Transactions!J559)&gt;0.01,ABS(Sales_Transactions!I559-Sales_Transactions!J559-Sales_Transactions!K559)&gt;0.01),1,0)</f>
        <v>0</v>
      </c>
      <c r="V559" s="42" t="n">
        <f aca="false">IF(C559&lt;&gt;L559,1,0)</f>
        <v>0</v>
      </c>
      <c r="W559" s="42" t="n">
        <f aca="false">IF(SUM(Q559:V559)&gt;0,1,0)</f>
        <v>0</v>
      </c>
    </row>
    <row r="560" customFormat="false" ht="15" hidden="false" customHeight="false" outlineLevel="0" collapsed="false">
      <c r="A560" s="42" t="str">
        <f aca="false">Sales_Transactions!A560</f>
        <v>INV-16-019</v>
      </c>
      <c r="B560" s="42" t="str">
        <f aca="false">Sales_Transactions!B560</f>
        <v>2026-04</v>
      </c>
      <c r="C560" s="42" t="str">
        <f aca="false">Sales_Transactions!C560</f>
        <v>Actual</v>
      </c>
      <c r="D560" s="42" t="str">
        <f aca="false">Sales_Transactions!D560</f>
        <v>C028</v>
      </c>
      <c r="E560" s="42" t="str">
        <f aca="false">Sales_Transactions!E560</f>
        <v>P002</v>
      </c>
      <c r="F560" s="42" t="str">
        <f aca="false">IFERROR(INDEX(Customer_Master!$C$2:$C$49,MATCH(D560,Customer_Master!$A$2:$A$49,0)),"UNMATCHED")</f>
        <v>East</v>
      </c>
      <c r="G560" s="42" t="str">
        <f aca="false">IFERROR(INDEX(Customer_Master!$D$2:$D$49,MATCH(D560,Customer_Master!$A$2:$A$49,0)),"UNMATCHED")</f>
        <v>Distributor</v>
      </c>
      <c r="H560" s="42" t="str">
        <f aca="false">IFERROR(INDEX(Product_Master!$C$2:$C$9,MATCH(E560,Product_Master!$A$2:$A$9,0)),"UNMATCHED")</f>
        <v>Home Care</v>
      </c>
      <c r="I560" s="42" t="str">
        <f aca="false">IFERROR(INDEX(Product_Master!$B$2:$B$9,MATCH(E560,Product_Master!$A$2:$A$9,0)),"UNMATCHED")</f>
        <v>Dishwash Gel</v>
      </c>
      <c r="J560" s="42" t="n">
        <f aca="false">IFERROR(INDEX(Calendar!$B$2:$B$25,MATCH(B560,Calendar!$A$2:$A$25,0)),0)</f>
        <v>2026</v>
      </c>
      <c r="K560" s="42" t="n">
        <f aca="false">IFERROR(VALUE(RIGHT(B560,2)),0)</f>
        <v>4</v>
      </c>
      <c r="L560" s="42" t="str">
        <f aca="false">IFERROR(INDEX(Calendar!$E$2:$E$25,MATCH(B560,Calendar!$A$2:$A$25,0)),"UNMATCHED")</f>
        <v>Actual</v>
      </c>
      <c r="M560" s="42" t="n">
        <f aca="false">Sales_Transactions!F560</f>
        <v>177</v>
      </c>
      <c r="N560" s="52" t="n">
        <f aca="false">Sales_Transactions!I560</f>
        <v>24661.41</v>
      </c>
      <c r="O560" s="52" t="n">
        <f aca="false">Sales_Transactions!J560</f>
        <v>14492.76</v>
      </c>
      <c r="P560" s="52" t="n">
        <f aca="false">Sales_Transactions!K560</f>
        <v>10168.65</v>
      </c>
      <c r="Q560" s="42" t="n">
        <f aca="false">IF(ISNUMBER(MATCH(E560,Product_Master!$A$2:$A$9,0)),0,1)</f>
        <v>0</v>
      </c>
      <c r="R560" s="42" t="n">
        <f aca="false">IF(ISNUMBER(MATCH(D560,Customer_Master!$A$2:$A$49,0)),0,1)</f>
        <v>0</v>
      </c>
      <c r="S560" s="42" t="n">
        <f aca="false">IF(ISNUMBER(MATCH(B560,Calendar!$A$2:$A$25,0)),0,1)</f>
        <v>0</v>
      </c>
      <c r="T560" s="42" t="n">
        <f aca="false">IF(COUNTIF(Sales_Transactions!$A$2:$A$865,A560)&gt;1,1,0)</f>
        <v>0</v>
      </c>
      <c r="U560" s="42" t="n">
        <f aca="false">IF(OR(ABS(Sales_Transactions!F560*Sales_Transactions!G560-Sales_Transactions!I560)&gt;0.01,ABS(Sales_Transactions!F560*Sales_Transactions!H560-Sales_Transactions!J560)&gt;0.01,ABS(Sales_Transactions!I560-Sales_Transactions!J560-Sales_Transactions!K560)&gt;0.01),1,0)</f>
        <v>0</v>
      </c>
      <c r="V560" s="42" t="n">
        <f aca="false">IF(C560&lt;&gt;L560,1,0)</f>
        <v>0</v>
      </c>
      <c r="W560" s="42" t="n">
        <f aca="false">IF(SUM(Q560:V560)&gt;0,1,0)</f>
        <v>0</v>
      </c>
    </row>
    <row r="561" customFormat="false" ht="15" hidden="false" customHeight="false" outlineLevel="0" collapsed="false">
      <c r="A561" s="42" t="str">
        <f aca="false">Sales_Transactions!A561</f>
        <v>INV-16-020</v>
      </c>
      <c r="B561" s="42" t="str">
        <f aca="false">Sales_Transactions!B561</f>
        <v>2026-04</v>
      </c>
      <c r="C561" s="42" t="str">
        <f aca="false">Sales_Transactions!C561</f>
        <v>Actual</v>
      </c>
      <c r="D561" s="42" t="str">
        <f aca="false">Sales_Transactions!D561</f>
        <v>C035</v>
      </c>
      <c r="E561" s="42" t="str">
        <f aca="false">Sales_Transactions!E561</f>
        <v>P007</v>
      </c>
      <c r="F561" s="42" t="str">
        <f aca="false">IFERROR(INDEX(Customer_Master!$C$2:$C$49,MATCH(D561,Customer_Master!$A$2:$A$49,0)),"UNMATCHED")</f>
        <v>West</v>
      </c>
      <c r="G561" s="42" t="str">
        <f aca="false">IFERROR(INDEX(Customer_Master!$D$2:$D$49,MATCH(D561,Customer_Master!$A$2:$A$49,0)),"UNMATCHED")</f>
        <v>Modern Trade</v>
      </c>
      <c r="H561" s="42" t="str">
        <f aca="false">IFERROR(INDEX(Product_Master!$C$2:$C$9,MATCH(E561,Product_Master!$A$2:$A$9,0)),"UNMATCHED")</f>
        <v>Home Care</v>
      </c>
      <c r="I561" s="42" t="str">
        <f aca="false">IFERROR(INDEX(Product_Master!$B$2:$B$9,MATCH(E561,Product_Master!$A$2:$A$9,0)),"UNMATCHED")</f>
        <v>Floor Cleaner</v>
      </c>
      <c r="J561" s="42" t="n">
        <f aca="false">IFERROR(INDEX(Calendar!$B$2:$B$25,MATCH(B561,Calendar!$A$2:$A$25,0)),0)</f>
        <v>2026</v>
      </c>
      <c r="K561" s="42" t="n">
        <f aca="false">IFERROR(VALUE(RIGHT(B561,2)),0)</f>
        <v>4</v>
      </c>
      <c r="L561" s="42" t="str">
        <f aca="false">IFERROR(INDEX(Calendar!$E$2:$E$25,MATCH(B561,Calendar!$A$2:$A$25,0)),"UNMATCHED")</f>
        <v>Actual</v>
      </c>
      <c r="M561" s="42" t="n">
        <f aca="false">Sales_Transactions!F561</f>
        <v>125</v>
      </c>
      <c r="N561" s="52" t="n">
        <f aca="false">Sales_Transactions!I561</f>
        <v>22150</v>
      </c>
      <c r="O561" s="52" t="n">
        <f aca="false">Sales_Transactions!J561</f>
        <v>13936.25</v>
      </c>
      <c r="P561" s="52" t="n">
        <f aca="false">Sales_Transactions!K561</f>
        <v>8213.75</v>
      </c>
      <c r="Q561" s="42" t="n">
        <f aca="false">IF(ISNUMBER(MATCH(E561,Product_Master!$A$2:$A$9,0)),0,1)</f>
        <v>0</v>
      </c>
      <c r="R561" s="42" t="n">
        <f aca="false">IF(ISNUMBER(MATCH(D561,Customer_Master!$A$2:$A$49,0)),0,1)</f>
        <v>0</v>
      </c>
      <c r="S561" s="42" t="n">
        <f aca="false">IF(ISNUMBER(MATCH(B561,Calendar!$A$2:$A$25,0)),0,1)</f>
        <v>0</v>
      </c>
      <c r="T561" s="42" t="n">
        <f aca="false">IF(COUNTIF(Sales_Transactions!$A$2:$A$865,A561)&gt;1,1,0)</f>
        <v>0</v>
      </c>
      <c r="U561" s="42" t="n">
        <f aca="false">IF(OR(ABS(Sales_Transactions!F561*Sales_Transactions!G561-Sales_Transactions!I561)&gt;0.01,ABS(Sales_Transactions!F561*Sales_Transactions!H561-Sales_Transactions!J561)&gt;0.01,ABS(Sales_Transactions!I561-Sales_Transactions!J561-Sales_Transactions!K561)&gt;0.01),1,0)</f>
        <v>0</v>
      </c>
      <c r="V561" s="42" t="n">
        <f aca="false">IF(C561&lt;&gt;L561,1,0)</f>
        <v>0</v>
      </c>
      <c r="W561" s="42" t="n">
        <f aca="false">IF(SUM(Q561:V561)&gt;0,1,0)</f>
        <v>0</v>
      </c>
    </row>
    <row r="562" customFormat="false" ht="15" hidden="false" customHeight="false" outlineLevel="0" collapsed="false">
      <c r="A562" s="42" t="str">
        <f aca="false">Sales_Transactions!A562</f>
        <v>INV-16-021</v>
      </c>
      <c r="B562" s="42" t="str">
        <f aca="false">Sales_Transactions!B562</f>
        <v>2026-04</v>
      </c>
      <c r="C562" s="42" t="str">
        <f aca="false">Sales_Transactions!C562</f>
        <v>Actual</v>
      </c>
      <c r="D562" s="42" t="str">
        <f aca="false">Sales_Transactions!D562</f>
        <v>C042</v>
      </c>
      <c r="E562" s="42" t="str">
        <f aca="false">Sales_Transactions!E562</f>
        <v>P004</v>
      </c>
      <c r="F562" s="42" t="str">
        <f aca="false">IFERROR(INDEX(Customer_Master!$C$2:$C$49,MATCH(D562,Customer_Master!$A$2:$A$49,0)),"UNMATCHED")</f>
        <v>North</v>
      </c>
      <c r="G562" s="42" t="str">
        <f aca="false">IFERROR(INDEX(Customer_Master!$D$2:$D$49,MATCH(D562,Customer_Master!$A$2:$A$49,0)),"UNMATCHED")</f>
        <v>Retail</v>
      </c>
      <c r="H562" s="42" t="str">
        <f aca="false">IFERROR(INDEX(Product_Master!$C$2:$C$9,MATCH(E562,Product_Master!$A$2:$A$9,0)),"UNMATCHED")</f>
        <v>Personal Care</v>
      </c>
      <c r="I562" s="42" t="str">
        <f aca="false">IFERROR(INDEX(Product_Master!$B$2:$B$9,MATCH(E562,Product_Master!$A$2:$A$9,0)),"UNMATCHED")</f>
        <v>Soap 4-pack</v>
      </c>
      <c r="J562" s="42" t="n">
        <f aca="false">IFERROR(INDEX(Calendar!$B$2:$B$25,MATCH(B562,Calendar!$A$2:$A$25,0)),0)</f>
        <v>2026</v>
      </c>
      <c r="K562" s="42" t="n">
        <f aca="false">IFERROR(VALUE(RIGHT(B562,2)),0)</f>
        <v>4</v>
      </c>
      <c r="L562" s="42" t="str">
        <f aca="false">IFERROR(INDEX(Calendar!$E$2:$E$25,MATCH(B562,Calendar!$A$2:$A$25,0)),"UNMATCHED")</f>
        <v>Actual</v>
      </c>
      <c r="M562" s="42" t="n">
        <f aca="false">Sales_Transactions!F562</f>
        <v>313</v>
      </c>
      <c r="N562" s="52" t="n">
        <f aca="false">Sales_Transactions!I562</f>
        <v>53040.98</v>
      </c>
      <c r="O562" s="52" t="n">
        <f aca="false">Sales_Transactions!J562</f>
        <v>30382.91</v>
      </c>
      <c r="P562" s="52" t="n">
        <f aca="false">Sales_Transactions!K562</f>
        <v>22658.07</v>
      </c>
      <c r="Q562" s="42" t="n">
        <f aca="false">IF(ISNUMBER(MATCH(E562,Product_Master!$A$2:$A$9,0)),0,1)</f>
        <v>0</v>
      </c>
      <c r="R562" s="42" t="n">
        <f aca="false">IF(ISNUMBER(MATCH(D562,Customer_Master!$A$2:$A$49,0)),0,1)</f>
        <v>0</v>
      </c>
      <c r="S562" s="42" t="n">
        <f aca="false">IF(ISNUMBER(MATCH(B562,Calendar!$A$2:$A$25,0)),0,1)</f>
        <v>0</v>
      </c>
      <c r="T562" s="42" t="n">
        <f aca="false">IF(COUNTIF(Sales_Transactions!$A$2:$A$865,A562)&gt;1,1,0)</f>
        <v>0</v>
      </c>
      <c r="U562" s="42" t="n">
        <f aca="false">IF(OR(ABS(Sales_Transactions!F562*Sales_Transactions!G562-Sales_Transactions!I562)&gt;0.01,ABS(Sales_Transactions!F562*Sales_Transactions!H562-Sales_Transactions!J562)&gt;0.01,ABS(Sales_Transactions!I562-Sales_Transactions!J562-Sales_Transactions!K562)&gt;0.01),1,0)</f>
        <v>0</v>
      </c>
      <c r="V562" s="42" t="n">
        <f aca="false">IF(C562&lt;&gt;L562,1,0)</f>
        <v>0</v>
      </c>
      <c r="W562" s="42" t="n">
        <f aca="false">IF(SUM(Q562:V562)&gt;0,1,0)</f>
        <v>0</v>
      </c>
    </row>
    <row r="563" customFormat="false" ht="15" hidden="false" customHeight="false" outlineLevel="0" collapsed="false">
      <c r="A563" s="42" t="str">
        <f aca="false">Sales_Transactions!A563</f>
        <v>INV-16-022</v>
      </c>
      <c r="B563" s="42" t="str">
        <f aca="false">Sales_Transactions!B563</f>
        <v>2026-04</v>
      </c>
      <c r="C563" s="42" t="str">
        <f aca="false">Sales_Transactions!C563</f>
        <v>Actual</v>
      </c>
      <c r="D563" s="42" t="str">
        <f aca="false">Sales_Transactions!D563</f>
        <v>C001</v>
      </c>
      <c r="E563" s="42" t="str">
        <f aca="false">Sales_Transactions!E563</f>
        <v>P001</v>
      </c>
      <c r="F563" s="42" t="str">
        <f aca="false">IFERROR(INDEX(Customer_Master!$C$2:$C$49,MATCH(D563,Customer_Master!$A$2:$A$49,0)),"UNMATCHED")</f>
        <v>South</v>
      </c>
      <c r="G563" s="42" t="str">
        <f aca="false">IFERROR(INDEX(Customer_Master!$D$2:$D$49,MATCH(D563,Customer_Master!$A$2:$A$49,0)),"UNMATCHED")</f>
        <v>Distributor</v>
      </c>
      <c r="H563" s="42" t="str">
        <f aca="false">IFERROR(INDEX(Product_Master!$C$2:$C$9,MATCH(E563,Product_Master!$A$2:$A$9,0)),"UNMATCHED")</f>
        <v>Home Care</v>
      </c>
      <c r="I563" s="42" t="str">
        <f aca="false">IFERROR(INDEX(Product_Master!$B$2:$B$9,MATCH(E563,Product_Master!$A$2:$A$9,0)),"UNMATCHED")</f>
        <v>Detergent 1kg</v>
      </c>
      <c r="J563" s="42" t="n">
        <f aca="false">IFERROR(INDEX(Calendar!$B$2:$B$25,MATCH(B563,Calendar!$A$2:$A$25,0)),0)</f>
        <v>2026</v>
      </c>
      <c r="K563" s="42" t="n">
        <f aca="false">IFERROR(VALUE(RIGHT(B563,2)),0)</f>
        <v>4</v>
      </c>
      <c r="L563" s="42" t="str">
        <f aca="false">IFERROR(INDEX(Calendar!$E$2:$E$25,MATCH(B563,Calendar!$A$2:$A$25,0)),"UNMATCHED")</f>
        <v>Actual</v>
      </c>
      <c r="M563" s="42" t="n">
        <f aca="false">Sales_Transactions!F563</f>
        <v>438</v>
      </c>
      <c r="N563" s="52" t="n">
        <f aca="false">Sales_Transactions!I563</f>
        <v>87170.76</v>
      </c>
      <c r="O563" s="52" t="n">
        <f aca="false">Sales_Transactions!J563</f>
        <v>58604.4</v>
      </c>
      <c r="P563" s="52" t="n">
        <f aca="false">Sales_Transactions!K563</f>
        <v>28566.36</v>
      </c>
      <c r="Q563" s="42" t="n">
        <f aca="false">IF(ISNUMBER(MATCH(E563,Product_Master!$A$2:$A$9,0)),0,1)</f>
        <v>0</v>
      </c>
      <c r="R563" s="42" t="n">
        <f aca="false">IF(ISNUMBER(MATCH(D563,Customer_Master!$A$2:$A$49,0)),0,1)</f>
        <v>0</v>
      </c>
      <c r="S563" s="42" t="n">
        <f aca="false">IF(ISNUMBER(MATCH(B563,Calendar!$A$2:$A$25,0)),0,1)</f>
        <v>0</v>
      </c>
      <c r="T563" s="42" t="n">
        <f aca="false">IF(COUNTIF(Sales_Transactions!$A$2:$A$865,A563)&gt;1,1,0)</f>
        <v>0</v>
      </c>
      <c r="U563" s="42" t="n">
        <f aca="false">IF(OR(ABS(Sales_Transactions!F563*Sales_Transactions!G563-Sales_Transactions!I563)&gt;0.01,ABS(Sales_Transactions!F563*Sales_Transactions!H563-Sales_Transactions!J563)&gt;0.01,ABS(Sales_Transactions!I563-Sales_Transactions!J563-Sales_Transactions!K563)&gt;0.01),1,0)</f>
        <v>0</v>
      </c>
      <c r="V563" s="42" t="n">
        <f aca="false">IF(C563&lt;&gt;L563,1,0)</f>
        <v>0</v>
      </c>
      <c r="W563" s="42" t="n">
        <f aca="false">IF(SUM(Q563:V563)&gt;0,1,0)</f>
        <v>0</v>
      </c>
    </row>
    <row r="564" customFormat="false" ht="15" hidden="false" customHeight="false" outlineLevel="0" collapsed="false">
      <c r="A564" s="42" t="str">
        <f aca="false">Sales_Transactions!A564</f>
        <v>INV-16-023</v>
      </c>
      <c r="B564" s="42" t="str">
        <f aca="false">Sales_Transactions!B564</f>
        <v>2026-04</v>
      </c>
      <c r="C564" s="42" t="str">
        <f aca="false">Sales_Transactions!C564</f>
        <v>Actual</v>
      </c>
      <c r="D564" s="42" t="str">
        <f aca="false">Sales_Transactions!D564</f>
        <v>C008</v>
      </c>
      <c r="E564" s="42" t="str">
        <f aca="false">Sales_Transactions!E564</f>
        <v>P006</v>
      </c>
      <c r="F564" s="42" t="str">
        <f aca="false">IFERROR(INDEX(Customer_Master!$C$2:$C$49,MATCH(D564,Customer_Master!$A$2:$A$49,0)),"UNMATCHED")</f>
        <v>East</v>
      </c>
      <c r="G564" s="42" t="str">
        <f aca="false">IFERROR(INDEX(Customer_Master!$D$2:$D$49,MATCH(D564,Customer_Master!$A$2:$A$49,0)),"UNMATCHED")</f>
        <v>Modern Trade</v>
      </c>
      <c r="H564" s="42" t="str">
        <f aca="false">IFERROR(INDEX(Product_Master!$C$2:$C$9,MATCH(E564,Product_Master!$A$2:$A$9,0)),"UNMATCHED")</f>
        <v>Foods</v>
      </c>
      <c r="I564" s="42" t="str">
        <f aca="false">IFERROR(INDEX(Product_Master!$B$2:$B$9,MATCH(E564,Product_Master!$A$2:$A$9,0)),"UNMATCHED")</f>
        <v>Breakfast Cereal</v>
      </c>
      <c r="J564" s="42" t="n">
        <f aca="false">IFERROR(INDEX(Calendar!$B$2:$B$25,MATCH(B564,Calendar!$A$2:$A$25,0)),0)</f>
        <v>2026</v>
      </c>
      <c r="K564" s="42" t="n">
        <f aca="false">IFERROR(VALUE(RIGHT(B564,2)),0)</f>
        <v>4</v>
      </c>
      <c r="L564" s="42" t="str">
        <f aca="false">IFERROR(INDEX(Calendar!$E$2:$E$25,MATCH(B564,Calendar!$A$2:$A$25,0)),"UNMATCHED")</f>
        <v>Actual</v>
      </c>
      <c r="M564" s="42" t="n">
        <f aca="false">Sales_Transactions!F564</f>
        <v>457</v>
      </c>
      <c r="N564" s="52" t="n">
        <f aca="false">Sales_Transactions!I564</f>
        <v>116896.03</v>
      </c>
      <c r="O564" s="52" t="n">
        <f aca="false">Sales_Transactions!J564</f>
        <v>71456.52</v>
      </c>
      <c r="P564" s="52" t="n">
        <f aca="false">Sales_Transactions!K564</f>
        <v>45439.51</v>
      </c>
      <c r="Q564" s="42" t="n">
        <f aca="false">IF(ISNUMBER(MATCH(E564,Product_Master!$A$2:$A$9,0)),0,1)</f>
        <v>0</v>
      </c>
      <c r="R564" s="42" t="n">
        <f aca="false">IF(ISNUMBER(MATCH(D564,Customer_Master!$A$2:$A$49,0)),0,1)</f>
        <v>0</v>
      </c>
      <c r="S564" s="42" t="n">
        <f aca="false">IF(ISNUMBER(MATCH(B564,Calendar!$A$2:$A$25,0)),0,1)</f>
        <v>0</v>
      </c>
      <c r="T564" s="42" t="n">
        <f aca="false">IF(COUNTIF(Sales_Transactions!$A$2:$A$865,A564)&gt;1,1,0)</f>
        <v>0</v>
      </c>
      <c r="U564" s="42" t="n">
        <f aca="false">IF(OR(ABS(Sales_Transactions!F564*Sales_Transactions!G564-Sales_Transactions!I564)&gt;0.01,ABS(Sales_Transactions!F564*Sales_Transactions!H564-Sales_Transactions!J564)&gt;0.01,ABS(Sales_Transactions!I564-Sales_Transactions!J564-Sales_Transactions!K564)&gt;0.01),1,0)</f>
        <v>0</v>
      </c>
      <c r="V564" s="42" t="n">
        <f aca="false">IF(C564&lt;&gt;L564,1,0)</f>
        <v>0</v>
      </c>
      <c r="W564" s="42" t="n">
        <f aca="false">IF(SUM(Q564:V564)&gt;0,1,0)</f>
        <v>0</v>
      </c>
    </row>
    <row r="565" customFormat="false" ht="15" hidden="false" customHeight="false" outlineLevel="0" collapsed="false">
      <c r="A565" s="42" t="str">
        <f aca="false">Sales_Transactions!A565</f>
        <v>INV-16-024</v>
      </c>
      <c r="B565" s="42" t="str">
        <f aca="false">Sales_Transactions!B565</f>
        <v>2026-04</v>
      </c>
      <c r="C565" s="42" t="str">
        <f aca="false">Sales_Transactions!C565</f>
        <v>Actual</v>
      </c>
      <c r="D565" s="42" t="str">
        <f aca="false">Sales_Transactions!D565</f>
        <v>C015</v>
      </c>
      <c r="E565" s="42" t="str">
        <f aca="false">Sales_Transactions!E565</f>
        <v>P003</v>
      </c>
      <c r="F565" s="42" t="str">
        <f aca="false">IFERROR(INDEX(Customer_Master!$C$2:$C$49,MATCH(D565,Customer_Master!$A$2:$A$49,0)),"UNMATCHED")</f>
        <v>West</v>
      </c>
      <c r="G565" s="42" t="str">
        <f aca="false">IFERROR(INDEX(Customer_Master!$D$2:$D$49,MATCH(D565,Customer_Master!$A$2:$A$49,0)),"UNMATCHED")</f>
        <v>Retail</v>
      </c>
      <c r="H565" s="42" t="str">
        <f aca="false">IFERROR(INDEX(Product_Master!$C$2:$C$9,MATCH(E565,Product_Master!$A$2:$A$9,0)),"UNMATCHED")</f>
        <v>Personal Care</v>
      </c>
      <c r="I565" s="42" t="str">
        <f aca="false">IFERROR(INDEX(Product_Master!$B$2:$B$9,MATCH(E565,Product_Master!$A$2:$A$9,0)),"UNMATCHED")</f>
        <v>Shampoo 400ml</v>
      </c>
      <c r="J565" s="42" t="n">
        <f aca="false">IFERROR(INDEX(Calendar!$B$2:$B$25,MATCH(B565,Calendar!$A$2:$A$25,0)),0)</f>
        <v>2026</v>
      </c>
      <c r="K565" s="42" t="n">
        <f aca="false">IFERROR(VALUE(RIGHT(B565,2)),0)</f>
        <v>4</v>
      </c>
      <c r="L565" s="42" t="str">
        <f aca="false">IFERROR(INDEX(Calendar!$E$2:$E$25,MATCH(B565,Calendar!$A$2:$A$25,0)),"UNMATCHED")</f>
        <v>Actual</v>
      </c>
      <c r="M565" s="42" t="n">
        <f aca="false">Sales_Transactions!F565</f>
        <v>307</v>
      </c>
      <c r="N565" s="52" t="n">
        <f aca="false">Sales_Transactions!I565</f>
        <v>79571.33</v>
      </c>
      <c r="O565" s="52" t="n">
        <f aca="false">Sales_Transactions!J565</f>
        <v>56570.89</v>
      </c>
      <c r="P565" s="52" t="n">
        <f aca="false">Sales_Transactions!K565</f>
        <v>23000.44</v>
      </c>
      <c r="Q565" s="42" t="n">
        <f aca="false">IF(ISNUMBER(MATCH(E565,Product_Master!$A$2:$A$9,0)),0,1)</f>
        <v>0</v>
      </c>
      <c r="R565" s="42" t="n">
        <f aca="false">IF(ISNUMBER(MATCH(D565,Customer_Master!$A$2:$A$49,0)),0,1)</f>
        <v>0</v>
      </c>
      <c r="S565" s="42" t="n">
        <f aca="false">IF(ISNUMBER(MATCH(B565,Calendar!$A$2:$A$25,0)),0,1)</f>
        <v>0</v>
      </c>
      <c r="T565" s="42" t="n">
        <f aca="false">IF(COUNTIF(Sales_Transactions!$A$2:$A$865,A565)&gt;1,1,0)</f>
        <v>0</v>
      </c>
      <c r="U565" s="42" t="n">
        <f aca="false">IF(OR(ABS(Sales_Transactions!F565*Sales_Transactions!G565-Sales_Transactions!I565)&gt;0.01,ABS(Sales_Transactions!F565*Sales_Transactions!H565-Sales_Transactions!J565)&gt;0.01,ABS(Sales_Transactions!I565-Sales_Transactions!J565-Sales_Transactions!K565)&gt;0.01),1,0)</f>
        <v>0</v>
      </c>
      <c r="V565" s="42" t="n">
        <f aca="false">IF(C565&lt;&gt;L565,1,0)</f>
        <v>0</v>
      </c>
      <c r="W565" s="42" t="n">
        <f aca="false">IF(SUM(Q565:V565)&gt;0,1,0)</f>
        <v>0</v>
      </c>
    </row>
    <row r="566" customFormat="false" ht="15" hidden="false" customHeight="false" outlineLevel="0" collapsed="false">
      <c r="A566" s="42" t="str">
        <f aca="false">Sales_Transactions!A566</f>
        <v>INV-16-025</v>
      </c>
      <c r="B566" s="42" t="str">
        <f aca="false">Sales_Transactions!B566</f>
        <v>2026-04</v>
      </c>
      <c r="C566" s="42" t="str">
        <f aca="false">Sales_Transactions!C566</f>
        <v>Actual</v>
      </c>
      <c r="D566" s="42" t="str">
        <f aca="false">Sales_Transactions!D566</f>
        <v>C022</v>
      </c>
      <c r="E566" s="42" t="str">
        <f aca="false">Sales_Transactions!E566</f>
        <v>P008</v>
      </c>
      <c r="F566" s="42" t="str">
        <f aca="false">IFERROR(INDEX(Customer_Master!$C$2:$C$49,MATCH(D566,Customer_Master!$A$2:$A$49,0)),"UNMATCHED")</f>
        <v>North</v>
      </c>
      <c r="G566" s="42" t="str">
        <f aca="false">IFERROR(INDEX(Customer_Master!$D$2:$D$49,MATCH(D566,Customer_Master!$A$2:$A$49,0)),"UNMATCHED")</f>
        <v>Distributor</v>
      </c>
      <c r="H566" s="42" t="str">
        <f aca="false">IFERROR(INDEX(Product_Master!$C$2:$C$9,MATCH(E566,Product_Master!$A$2:$A$9,0)),"UNMATCHED")</f>
        <v>Personal Care</v>
      </c>
      <c r="I566" s="42" t="str">
        <f aca="false">IFERROR(INDEX(Product_Master!$B$2:$B$9,MATCH(E566,Product_Master!$A$2:$A$9,0)),"UNMATCHED")</f>
        <v>Body Lotion</v>
      </c>
      <c r="J566" s="42" t="n">
        <f aca="false">IFERROR(INDEX(Calendar!$B$2:$B$25,MATCH(B566,Calendar!$A$2:$A$25,0)),0)</f>
        <v>2026</v>
      </c>
      <c r="K566" s="42" t="n">
        <f aca="false">IFERROR(VALUE(RIGHT(B566,2)),0)</f>
        <v>4</v>
      </c>
      <c r="L566" s="42" t="str">
        <f aca="false">IFERROR(INDEX(Calendar!$E$2:$E$25,MATCH(B566,Calendar!$A$2:$A$25,0)),"UNMATCHED")</f>
        <v>Actual</v>
      </c>
      <c r="M566" s="42" t="n">
        <f aca="false">Sales_Transactions!F566</f>
        <v>114</v>
      </c>
      <c r="N566" s="52" t="n">
        <f aca="false">Sales_Transactions!I566</f>
        <v>33335.88</v>
      </c>
      <c r="O566" s="52" t="n">
        <f aca="false">Sales_Transactions!J566</f>
        <v>23868.18</v>
      </c>
      <c r="P566" s="52" t="n">
        <f aca="false">Sales_Transactions!K566</f>
        <v>9467.7</v>
      </c>
      <c r="Q566" s="42" t="n">
        <f aca="false">IF(ISNUMBER(MATCH(E566,Product_Master!$A$2:$A$9,0)),0,1)</f>
        <v>0</v>
      </c>
      <c r="R566" s="42" t="n">
        <f aca="false">IF(ISNUMBER(MATCH(D566,Customer_Master!$A$2:$A$49,0)),0,1)</f>
        <v>0</v>
      </c>
      <c r="S566" s="42" t="n">
        <f aca="false">IF(ISNUMBER(MATCH(B566,Calendar!$A$2:$A$25,0)),0,1)</f>
        <v>0</v>
      </c>
      <c r="T566" s="42" t="n">
        <f aca="false">IF(COUNTIF(Sales_Transactions!$A$2:$A$865,A566)&gt;1,1,0)</f>
        <v>0</v>
      </c>
      <c r="U566" s="42" t="n">
        <f aca="false">IF(OR(ABS(Sales_Transactions!F566*Sales_Transactions!G566-Sales_Transactions!I566)&gt;0.01,ABS(Sales_Transactions!F566*Sales_Transactions!H566-Sales_Transactions!J566)&gt;0.01,ABS(Sales_Transactions!I566-Sales_Transactions!J566-Sales_Transactions!K566)&gt;0.01),1,0)</f>
        <v>0</v>
      </c>
      <c r="V566" s="42" t="n">
        <f aca="false">IF(C566&lt;&gt;L566,1,0)</f>
        <v>0</v>
      </c>
      <c r="W566" s="42" t="n">
        <f aca="false">IF(SUM(Q566:V566)&gt;0,1,0)</f>
        <v>0</v>
      </c>
    </row>
    <row r="567" customFormat="false" ht="15" hidden="false" customHeight="false" outlineLevel="0" collapsed="false">
      <c r="A567" s="42" t="str">
        <f aca="false">Sales_Transactions!A567</f>
        <v>INV-16-026</v>
      </c>
      <c r="B567" s="42" t="str">
        <f aca="false">Sales_Transactions!B567</f>
        <v>2026-04</v>
      </c>
      <c r="C567" s="42" t="str">
        <f aca="false">Sales_Transactions!C567</f>
        <v>Actual</v>
      </c>
      <c r="D567" s="42" t="str">
        <f aca="false">Sales_Transactions!D567</f>
        <v>C029</v>
      </c>
      <c r="E567" s="42" t="str">
        <f aca="false">Sales_Transactions!E567</f>
        <v>P005</v>
      </c>
      <c r="F567" s="42" t="str">
        <f aca="false">IFERROR(INDEX(Customer_Master!$C$2:$C$49,MATCH(D567,Customer_Master!$A$2:$A$49,0)),"UNMATCHED")</f>
        <v>South</v>
      </c>
      <c r="G567" s="42" t="str">
        <f aca="false">IFERROR(INDEX(Customer_Master!$D$2:$D$49,MATCH(D567,Customer_Master!$A$2:$A$49,0)),"UNMATCHED")</f>
        <v>Modern Trade</v>
      </c>
      <c r="H567" s="42" t="str">
        <f aca="false">IFERROR(INDEX(Product_Master!$C$2:$C$9,MATCH(E567,Product_Master!$A$2:$A$9,0)),"UNMATCHED")</f>
        <v>Foods</v>
      </c>
      <c r="I567" s="42" t="str">
        <f aca="false">IFERROR(INDEX(Product_Master!$B$2:$B$9,MATCH(E567,Product_Master!$A$2:$A$9,0)),"UNMATCHED")</f>
        <v>Biscuits 500g</v>
      </c>
      <c r="J567" s="42" t="n">
        <f aca="false">IFERROR(INDEX(Calendar!$B$2:$B$25,MATCH(B567,Calendar!$A$2:$A$25,0)),0)</f>
        <v>2026</v>
      </c>
      <c r="K567" s="42" t="n">
        <f aca="false">IFERROR(VALUE(RIGHT(B567,2)),0)</f>
        <v>4</v>
      </c>
      <c r="L567" s="42" t="str">
        <f aca="false">IFERROR(INDEX(Calendar!$E$2:$E$25,MATCH(B567,Calendar!$A$2:$A$25,0)),"UNMATCHED")</f>
        <v>Actual</v>
      </c>
      <c r="M567" s="42" t="n">
        <f aca="false">Sales_Transactions!F567</f>
        <v>271</v>
      </c>
      <c r="N567" s="52" t="n">
        <f aca="false">Sales_Transactions!I567</f>
        <v>28520.04</v>
      </c>
      <c r="O567" s="52" t="n">
        <f aca="false">Sales_Transactions!J567</f>
        <v>19064.85</v>
      </c>
      <c r="P567" s="52" t="n">
        <f aca="false">Sales_Transactions!K567</f>
        <v>9455.19</v>
      </c>
      <c r="Q567" s="42" t="n">
        <f aca="false">IF(ISNUMBER(MATCH(E567,Product_Master!$A$2:$A$9,0)),0,1)</f>
        <v>0</v>
      </c>
      <c r="R567" s="42" t="n">
        <f aca="false">IF(ISNUMBER(MATCH(D567,Customer_Master!$A$2:$A$49,0)),0,1)</f>
        <v>0</v>
      </c>
      <c r="S567" s="42" t="n">
        <f aca="false">IF(ISNUMBER(MATCH(B567,Calendar!$A$2:$A$25,0)),0,1)</f>
        <v>0</v>
      </c>
      <c r="T567" s="42" t="n">
        <f aca="false">IF(COUNTIF(Sales_Transactions!$A$2:$A$865,A567)&gt;1,1,0)</f>
        <v>0</v>
      </c>
      <c r="U567" s="42" t="n">
        <f aca="false">IF(OR(ABS(Sales_Transactions!F567*Sales_Transactions!G567-Sales_Transactions!I567)&gt;0.01,ABS(Sales_Transactions!F567*Sales_Transactions!H567-Sales_Transactions!J567)&gt;0.01,ABS(Sales_Transactions!I567-Sales_Transactions!J567-Sales_Transactions!K567)&gt;0.01),1,0)</f>
        <v>0</v>
      </c>
      <c r="V567" s="42" t="n">
        <f aca="false">IF(C567&lt;&gt;L567,1,0)</f>
        <v>0</v>
      </c>
      <c r="W567" s="42" t="n">
        <f aca="false">IF(SUM(Q567:V567)&gt;0,1,0)</f>
        <v>0</v>
      </c>
    </row>
    <row r="568" customFormat="false" ht="15" hidden="false" customHeight="false" outlineLevel="0" collapsed="false">
      <c r="A568" s="42" t="str">
        <f aca="false">Sales_Transactions!A568</f>
        <v>INV-16-027</v>
      </c>
      <c r="B568" s="42" t="str">
        <f aca="false">Sales_Transactions!B568</f>
        <v>2026-04</v>
      </c>
      <c r="C568" s="42" t="str">
        <f aca="false">Sales_Transactions!C568</f>
        <v>Actual</v>
      </c>
      <c r="D568" s="42" t="str">
        <f aca="false">Sales_Transactions!D568</f>
        <v>C036</v>
      </c>
      <c r="E568" s="42" t="str">
        <f aca="false">Sales_Transactions!E568</f>
        <v>P002</v>
      </c>
      <c r="F568" s="42" t="str">
        <f aca="false">IFERROR(INDEX(Customer_Master!$C$2:$C$49,MATCH(D568,Customer_Master!$A$2:$A$49,0)),"UNMATCHED")</f>
        <v>East</v>
      </c>
      <c r="G568" s="42" t="str">
        <f aca="false">IFERROR(INDEX(Customer_Master!$D$2:$D$49,MATCH(D568,Customer_Master!$A$2:$A$49,0)),"UNMATCHED")</f>
        <v>Retail</v>
      </c>
      <c r="H568" s="42" t="str">
        <f aca="false">IFERROR(INDEX(Product_Master!$C$2:$C$9,MATCH(E568,Product_Master!$A$2:$A$9,0)),"UNMATCHED")</f>
        <v>Home Care</v>
      </c>
      <c r="I568" s="42" t="str">
        <f aca="false">IFERROR(INDEX(Product_Master!$B$2:$B$9,MATCH(E568,Product_Master!$A$2:$A$9,0)),"UNMATCHED")</f>
        <v>Dishwash Gel</v>
      </c>
      <c r="J568" s="42" t="n">
        <f aca="false">IFERROR(INDEX(Calendar!$B$2:$B$25,MATCH(B568,Calendar!$A$2:$A$25,0)),0)</f>
        <v>2026</v>
      </c>
      <c r="K568" s="42" t="n">
        <f aca="false">IFERROR(VALUE(RIGHT(B568,2)),0)</f>
        <v>4</v>
      </c>
      <c r="L568" s="42" t="str">
        <f aca="false">IFERROR(INDEX(Calendar!$E$2:$E$25,MATCH(B568,Calendar!$A$2:$A$25,0)),"UNMATCHED")</f>
        <v>Actual</v>
      </c>
      <c r="M568" s="42" t="n">
        <f aca="false">Sales_Transactions!F568</f>
        <v>166</v>
      </c>
      <c r="N568" s="52" t="n">
        <f aca="false">Sales_Transactions!I568</f>
        <v>24403.66</v>
      </c>
      <c r="O568" s="52" t="n">
        <f aca="false">Sales_Transactions!J568</f>
        <v>13299.92</v>
      </c>
      <c r="P568" s="52" t="n">
        <f aca="false">Sales_Transactions!K568</f>
        <v>11103.74</v>
      </c>
      <c r="Q568" s="42" t="n">
        <f aca="false">IF(ISNUMBER(MATCH(E568,Product_Master!$A$2:$A$9,0)),0,1)</f>
        <v>0</v>
      </c>
      <c r="R568" s="42" t="n">
        <f aca="false">IF(ISNUMBER(MATCH(D568,Customer_Master!$A$2:$A$49,0)),0,1)</f>
        <v>0</v>
      </c>
      <c r="S568" s="42" t="n">
        <f aca="false">IF(ISNUMBER(MATCH(B568,Calendar!$A$2:$A$25,0)),0,1)</f>
        <v>0</v>
      </c>
      <c r="T568" s="42" t="n">
        <f aca="false">IF(COUNTIF(Sales_Transactions!$A$2:$A$865,A568)&gt;1,1,0)</f>
        <v>0</v>
      </c>
      <c r="U568" s="42" t="n">
        <f aca="false">IF(OR(ABS(Sales_Transactions!F568*Sales_Transactions!G568-Sales_Transactions!I568)&gt;0.01,ABS(Sales_Transactions!F568*Sales_Transactions!H568-Sales_Transactions!J568)&gt;0.01,ABS(Sales_Transactions!I568-Sales_Transactions!J568-Sales_Transactions!K568)&gt;0.01),1,0)</f>
        <v>0</v>
      </c>
      <c r="V568" s="42" t="n">
        <f aca="false">IF(C568&lt;&gt;L568,1,0)</f>
        <v>0</v>
      </c>
      <c r="W568" s="42" t="n">
        <f aca="false">IF(SUM(Q568:V568)&gt;0,1,0)</f>
        <v>0</v>
      </c>
    </row>
    <row r="569" customFormat="false" ht="15" hidden="false" customHeight="false" outlineLevel="0" collapsed="false">
      <c r="A569" s="42" t="str">
        <f aca="false">Sales_Transactions!A569</f>
        <v>INV-16-028</v>
      </c>
      <c r="B569" s="42" t="str">
        <f aca="false">Sales_Transactions!B569</f>
        <v>2026-04</v>
      </c>
      <c r="C569" s="42" t="str">
        <f aca="false">Sales_Transactions!C569</f>
        <v>Actual</v>
      </c>
      <c r="D569" s="42" t="str">
        <f aca="false">Sales_Transactions!D569</f>
        <v>C043</v>
      </c>
      <c r="E569" s="42" t="str">
        <f aca="false">Sales_Transactions!E569</f>
        <v>P007</v>
      </c>
      <c r="F569" s="42" t="str">
        <f aca="false">IFERROR(INDEX(Customer_Master!$C$2:$C$49,MATCH(D569,Customer_Master!$A$2:$A$49,0)),"UNMATCHED")</f>
        <v>West</v>
      </c>
      <c r="G569" s="42" t="str">
        <f aca="false">IFERROR(INDEX(Customer_Master!$D$2:$D$49,MATCH(D569,Customer_Master!$A$2:$A$49,0)),"UNMATCHED")</f>
        <v>Distributor</v>
      </c>
      <c r="H569" s="42" t="str">
        <f aca="false">IFERROR(INDEX(Product_Master!$C$2:$C$9,MATCH(E569,Product_Master!$A$2:$A$9,0)),"UNMATCHED")</f>
        <v>Home Care</v>
      </c>
      <c r="I569" s="42" t="str">
        <f aca="false">IFERROR(INDEX(Product_Master!$B$2:$B$9,MATCH(E569,Product_Master!$A$2:$A$9,0)),"UNMATCHED")</f>
        <v>Floor Cleaner</v>
      </c>
      <c r="J569" s="42" t="n">
        <f aca="false">IFERROR(INDEX(Calendar!$B$2:$B$25,MATCH(B569,Calendar!$A$2:$A$25,0)),0)</f>
        <v>2026</v>
      </c>
      <c r="K569" s="42" t="n">
        <f aca="false">IFERROR(VALUE(RIGHT(B569,2)),0)</f>
        <v>4</v>
      </c>
      <c r="L569" s="42" t="str">
        <f aca="false">IFERROR(INDEX(Calendar!$E$2:$E$25,MATCH(B569,Calendar!$A$2:$A$25,0)),"UNMATCHED")</f>
        <v>Actual</v>
      </c>
      <c r="M569" s="42" t="n">
        <f aca="false">Sales_Transactions!F569</f>
        <v>396</v>
      </c>
      <c r="N569" s="52" t="n">
        <f aca="false">Sales_Transactions!I569</f>
        <v>73596.6</v>
      </c>
      <c r="O569" s="52" t="n">
        <f aca="false">Sales_Transactions!J569</f>
        <v>44910.36</v>
      </c>
      <c r="P569" s="52" t="n">
        <f aca="false">Sales_Transactions!K569</f>
        <v>28686.24</v>
      </c>
      <c r="Q569" s="42" t="n">
        <f aca="false">IF(ISNUMBER(MATCH(E569,Product_Master!$A$2:$A$9,0)),0,1)</f>
        <v>0</v>
      </c>
      <c r="R569" s="42" t="n">
        <f aca="false">IF(ISNUMBER(MATCH(D569,Customer_Master!$A$2:$A$49,0)),0,1)</f>
        <v>0</v>
      </c>
      <c r="S569" s="42" t="n">
        <f aca="false">IF(ISNUMBER(MATCH(B569,Calendar!$A$2:$A$25,0)),0,1)</f>
        <v>0</v>
      </c>
      <c r="T569" s="42" t="n">
        <f aca="false">IF(COUNTIF(Sales_Transactions!$A$2:$A$865,A569)&gt;1,1,0)</f>
        <v>0</v>
      </c>
      <c r="U569" s="42" t="n">
        <f aca="false">IF(OR(ABS(Sales_Transactions!F569*Sales_Transactions!G569-Sales_Transactions!I569)&gt;0.01,ABS(Sales_Transactions!F569*Sales_Transactions!H569-Sales_Transactions!J569)&gt;0.01,ABS(Sales_Transactions!I569-Sales_Transactions!J569-Sales_Transactions!K569)&gt;0.01),1,0)</f>
        <v>0</v>
      </c>
      <c r="V569" s="42" t="n">
        <f aca="false">IF(C569&lt;&gt;L569,1,0)</f>
        <v>0</v>
      </c>
      <c r="W569" s="42" t="n">
        <f aca="false">IF(SUM(Q569:V569)&gt;0,1,0)</f>
        <v>0</v>
      </c>
    </row>
    <row r="570" customFormat="false" ht="15" hidden="false" customHeight="false" outlineLevel="0" collapsed="false">
      <c r="A570" s="42" t="str">
        <f aca="false">Sales_Transactions!A570</f>
        <v>INV-16-029</v>
      </c>
      <c r="B570" s="42" t="str">
        <f aca="false">Sales_Transactions!B570</f>
        <v>2026-04</v>
      </c>
      <c r="C570" s="42" t="str">
        <f aca="false">Sales_Transactions!C570</f>
        <v>Actual</v>
      </c>
      <c r="D570" s="42" t="str">
        <f aca="false">Sales_Transactions!D570</f>
        <v>C002</v>
      </c>
      <c r="E570" s="42" t="str">
        <f aca="false">Sales_Transactions!E570</f>
        <v>P004</v>
      </c>
      <c r="F570" s="42" t="str">
        <f aca="false">IFERROR(INDEX(Customer_Master!$C$2:$C$49,MATCH(D570,Customer_Master!$A$2:$A$49,0)),"UNMATCHED")</f>
        <v>North</v>
      </c>
      <c r="G570" s="42" t="str">
        <f aca="false">IFERROR(INDEX(Customer_Master!$D$2:$D$49,MATCH(D570,Customer_Master!$A$2:$A$49,0)),"UNMATCHED")</f>
        <v>Modern Trade</v>
      </c>
      <c r="H570" s="42" t="str">
        <f aca="false">IFERROR(INDEX(Product_Master!$C$2:$C$9,MATCH(E570,Product_Master!$A$2:$A$9,0)),"UNMATCHED")</f>
        <v>Personal Care</v>
      </c>
      <c r="I570" s="42" t="str">
        <f aca="false">IFERROR(INDEX(Product_Master!$B$2:$B$9,MATCH(E570,Product_Master!$A$2:$A$9,0)),"UNMATCHED")</f>
        <v>Soap 4-pack</v>
      </c>
      <c r="J570" s="42" t="n">
        <f aca="false">IFERROR(INDEX(Calendar!$B$2:$B$25,MATCH(B570,Calendar!$A$2:$A$25,0)),0)</f>
        <v>2026</v>
      </c>
      <c r="K570" s="42" t="n">
        <f aca="false">IFERROR(VALUE(RIGHT(B570,2)),0)</f>
        <v>4</v>
      </c>
      <c r="L570" s="42" t="str">
        <f aca="false">IFERROR(INDEX(Calendar!$E$2:$E$25,MATCH(B570,Calendar!$A$2:$A$25,0)),"UNMATCHED")</f>
        <v>Actual</v>
      </c>
      <c r="M570" s="42" t="n">
        <f aca="false">Sales_Transactions!F570</f>
        <v>149</v>
      </c>
      <c r="N570" s="52" t="n">
        <f aca="false">Sales_Transactions!I570</f>
        <v>23434.72</v>
      </c>
      <c r="O570" s="52" t="n">
        <f aca="false">Sales_Transactions!J570</f>
        <v>15068.37</v>
      </c>
      <c r="P570" s="52" t="n">
        <f aca="false">Sales_Transactions!K570</f>
        <v>8366.35</v>
      </c>
      <c r="Q570" s="42" t="n">
        <f aca="false">IF(ISNUMBER(MATCH(E570,Product_Master!$A$2:$A$9,0)),0,1)</f>
        <v>0</v>
      </c>
      <c r="R570" s="42" t="n">
        <f aca="false">IF(ISNUMBER(MATCH(D570,Customer_Master!$A$2:$A$49,0)),0,1)</f>
        <v>0</v>
      </c>
      <c r="S570" s="42" t="n">
        <f aca="false">IF(ISNUMBER(MATCH(B570,Calendar!$A$2:$A$25,0)),0,1)</f>
        <v>0</v>
      </c>
      <c r="T570" s="42" t="n">
        <f aca="false">IF(COUNTIF(Sales_Transactions!$A$2:$A$865,A570)&gt;1,1,0)</f>
        <v>0</v>
      </c>
      <c r="U570" s="42" t="n">
        <f aca="false">IF(OR(ABS(Sales_Transactions!F570*Sales_Transactions!G570-Sales_Transactions!I570)&gt;0.01,ABS(Sales_Transactions!F570*Sales_Transactions!H570-Sales_Transactions!J570)&gt;0.01,ABS(Sales_Transactions!I570-Sales_Transactions!J570-Sales_Transactions!K570)&gt;0.01),1,0)</f>
        <v>0</v>
      </c>
      <c r="V570" s="42" t="n">
        <f aca="false">IF(C570&lt;&gt;L570,1,0)</f>
        <v>0</v>
      </c>
      <c r="W570" s="42" t="n">
        <f aca="false">IF(SUM(Q570:V570)&gt;0,1,0)</f>
        <v>0</v>
      </c>
    </row>
    <row r="571" customFormat="false" ht="15" hidden="false" customHeight="false" outlineLevel="0" collapsed="false">
      <c r="A571" s="42" t="str">
        <f aca="false">Sales_Transactions!A571</f>
        <v>INV-16-030</v>
      </c>
      <c r="B571" s="42" t="str">
        <f aca="false">Sales_Transactions!B571</f>
        <v>2026-04</v>
      </c>
      <c r="C571" s="42" t="str">
        <f aca="false">Sales_Transactions!C571</f>
        <v>Actual</v>
      </c>
      <c r="D571" s="42" t="str">
        <f aca="false">Sales_Transactions!D571</f>
        <v>C009</v>
      </c>
      <c r="E571" s="42" t="str">
        <f aca="false">Sales_Transactions!E571</f>
        <v>P001</v>
      </c>
      <c r="F571" s="42" t="str">
        <f aca="false">IFERROR(INDEX(Customer_Master!$C$2:$C$49,MATCH(D571,Customer_Master!$A$2:$A$49,0)),"UNMATCHED")</f>
        <v>South</v>
      </c>
      <c r="G571" s="42" t="str">
        <f aca="false">IFERROR(INDEX(Customer_Master!$D$2:$D$49,MATCH(D571,Customer_Master!$A$2:$A$49,0)),"UNMATCHED")</f>
        <v>Retail</v>
      </c>
      <c r="H571" s="42" t="str">
        <f aca="false">IFERROR(INDEX(Product_Master!$C$2:$C$9,MATCH(E571,Product_Master!$A$2:$A$9,0)),"UNMATCHED")</f>
        <v>Home Care</v>
      </c>
      <c r="I571" s="42" t="str">
        <f aca="false">IFERROR(INDEX(Product_Master!$B$2:$B$9,MATCH(E571,Product_Master!$A$2:$A$9,0)),"UNMATCHED")</f>
        <v>Detergent 1kg</v>
      </c>
      <c r="J571" s="42" t="n">
        <f aca="false">IFERROR(INDEX(Calendar!$B$2:$B$25,MATCH(B571,Calendar!$A$2:$A$25,0)),0)</f>
        <v>2026</v>
      </c>
      <c r="K571" s="42" t="n">
        <f aca="false">IFERROR(VALUE(RIGHT(B571,2)),0)</f>
        <v>4</v>
      </c>
      <c r="L571" s="42" t="str">
        <f aca="false">IFERROR(INDEX(Calendar!$E$2:$E$25,MATCH(B571,Calendar!$A$2:$A$25,0)),"UNMATCHED")</f>
        <v>Actual</v>
      </c>
      <c r="M571" s="42" t="n">
        <f aca="false">Sales_Transactions!F571</f>
        <v>272</v>
      </c>
      <c r="N571" s="52" t="n">
        <f aca="false">Sales_Transactions!I571</f>
        <v>53526.88</v>
      </c>
      <c r="O571" s="52" t="n">
        <f aca="false">Sales_Transactions!J571</f>
        <v>38558.72</v>
      </c>
      <c r="P571" s="52" t="n">
        <f aca="false">Sales_Transactions!K571</f>
        <v>14968.16</v>
      </c>
      <c r="Q571" s="42" t="n">
        <f aca="false">IF(ISNUMBER(MATCH(E571,Product_Master!$A$2:$A$9,0)),0,1)</f>
        <v>0</v>
      </c>
      <c r="R571" s="42" t="n">
        <f aca="false">IF(ISNUMBER(MATCH(D571,Customer_Master!$A$2:$A$49,0)),0,1)</f>
        <v>0</v>
      </c>
      <c r="S571" s="42" t="n">
        <f aca="false">IF(ISNUMBER(MATCH(B571,Calendar!$A$2:$A$25,0)),0,1)</f>
        <v>0</v>
      </c>
      <c r="T571" s="42" t="n">
        <f aca="false">IF(COUNTIF(Sales_Transactions!$A$2:$A$865,A571)&gt;1,1,0)</f>
        <v>0</v>
      </c>
      <c r="U571" s="42" t="n">
        <f aca="false">IF(OR(ABS(Sales_Transactions!F571*Sales_Transactions!G571-Sales_Transactions!I571)&gt;0.01,ABS(Sales_Transactions!F571*Sales_Transactions!H571-Sales_Transactions!J571)&gt;0.01,ABS(Sales_Transactions!I571-Sales_Transactions!J571-Sales_Transactions!K571)&gt;0.01),1,0)</f>
        <v>0</v>
      </c>
      <c r="V571" s="42" t="n">
        <f aca="false">IF(C571&lt;&gt;L571,1,0)</f>
        <v>0</v>
      </c>
      <c r="W571" s="42" t="n">
        <f aca="false">IF(SUM(Q571:V571)&gt;0,1,0)</f>
        <v>0</v>
      </c>
    </row>
    <row r="572" customFormat="false" ht="15" hidden="false" customHeight="false" outlineLevel="0" collapsed="false">
      <c r="A572" s="42" t="str">
        <f aca="false">Sales_Transactions!A572</f>
        <v>INV-16-031</v>
      </c>
      <c r="B572" s="42" t="str">
        <f aca="false">Sales_Transactions!B572</f>
        <v>2026-04</v>
      </c>
      <c r="C572" s="42" t="str">
        <f aca="false">Sales_Transactions!C572</f>
        <v>Actual</v>
      </c>
      <c r="D572" s="42" t="str">
        <f aca="false">Sales_Transactions!D572</f>
        <v>C016</v>
      </c>
      <c r="E572" s="42" t="str">
        <f aca="false">Sales_Transactions!E572</f>
        <v>P006</v>
      </c>
      <c r="F572" s="42" t="str">
        <f aca="false">IFERROR(INDEX(Customer_Master!$C$2:$C$49,MATCH(D572,Customer_Master!$A$2:$A$49,0)),"UNMATCHED")</f>
        <v>East</v>
      </c>
      <c r="G572" s="42" t="str">
        <f aca="false">IFERROR(INDEX(Customer_Master!$D$2:$D$49,MATCH(D572,Customer_Master!$A$2:$A$49,0)),"UNMATCHED")</f>
        <v>Distributor</v>
      </c>
      <c r="H572" s="42" t="str">
        <f aca="false">IFERROR(INDEX(Product_Master!$C$2:$C$9,MATCH(E572,Product_Master!$A$2:$A$9,0)),"UNMATCHED")</f>
        <v>Foods</v>
      </c>
      <c r="I572" s="42" t="str">
        <f aca="false">IFERROR(INDEX(Product_Master!$B$2:$B$9,MATCH(E572,Product_Master!$A$2:$A$9,0)),"UNMATCHED")</f>
        <v>Breakfast Cereal</v>
      </c>
      <c r="J572" s="42" t="n">
        <f aca="false">IFERROR(INDEX(Calendar!$B$2:$B$25,MATCH(B572,Calendar!$A$2:$A$25,0)),0)</f>
        <v>2026</v>
      </c>
      <c r="K572" s="42" t="n">
        <f aca="false">IFERROR(VALUE(RIGHT(B572,2)),0)</f>
        <v>4</v>
      </c>
      <c r="L572" s="42" t="str">
        <f aca="false">IFERROR(INDEX(Calendar!$E$2:$E$25,MATCH(B572,Calendar!$A$2:$A$25,0)),"UNMATCHED")</f>
        <v>Actual</v>
      </c>
      <c r="M572" s="42" t="n">
        <f aca="false">Sales_Transactions!F572</f>
        <v>101</v>
      </c>
      <c r="N572" s="52" t="n">
        <f aca="false">Sales_Transactions!I572</f>
        <v>24948.01</v>
      </c>
      <c r="O572" s="52" t="n">
        <f aca="false">Sales_Transactions!J572</f>
        <v>16409.47</v>
      </c>
      <c r="P572" s="52" t="n">
        <f aca="false">Sales_Transactions!K572</f>
        <v>8538.54</v>
      </c>
      <c r="Q572" s="42" t="n">
        <f aca="false">IF(ISNUMBER(MATCH(E572,Product_Master!$A$2:$A$9,0)),0,1)</f>
        <v>0</v>
      </c>
      <c r="R572" s="42" t="n">
        <f aca="false">IF(ISNUMBER(MATCH(D572,Customer_Master!$A$2:$A$49,0)),0,1)</f>
        <v>0</v>
      </c>
      <c r="S572" s="42" t="n">
        <f aca="false">IF(ISNUMBER(MATCH(B572,Calendar!$A$2:$A$25,0)),0,1)</f>
        <v>0</v>
      </c>
      <c r="T572" s="42" t="n">
        <f aca="false">IF(COUNTIF(Sales_Transactions!$A$2:$A$865,A572)&gt;1,1,0)</f>
        <v>0</v>
      </c>
      <c r="U572" s="42" t="n">
        <f aca="false">IF(OR(ABS(Sales_Transactions!F572*Sales_Transactions!G572-Sales_Transactions!I572)&gt;0.01,ABS(Sales_Transactions!F572*Sales_Transactions!H572-Sales_Transactions!J572)&gt;0.01,ABS(Sales_Transactions!I572-Sales_Transactions!J572-Sales_Transactions!K572)&gt;0.01),1,0)</f>
        <v>0</v>
      </c>
      <c r="V572" s="42" t="n">
        <f aca="false">IF(C572&lt;&gt;L572,1,0)</f>
        <v>0</v>
      </c>
      <c r="W572" s="42" t="n">
        <f aca="false">IF(SUM(Q572:V572)&gt;0,1,0)</f>
        <v>0</v>
      </c>
    </row>
    <row r="573" customFormat="false" ht="15" hidden="false" customHeight="false" outlineLevel="0" collapsed="false">
      <c r="A573" s="42" t="str">
        <f aca="false">Sales_Transactions!A573</f>
        <v>INV-16-032</v>
      </c>
      <c r="B573" s="42" t="str">
        <f aca="false">Sales_Transactions!B573</f>
        <v>2026-04</v>
      </c>
      <c r="C573" s="42" t="str">
        <f aca="false">Sales_Transactions!C573</f>
        <v>Actual</v>
      </c>
      <c r="D573" s="42" t="str">
        <f aca="false">Sales_Transactions!D573</f>
        <v>C023</v>
      </c>
      <c r="E573" s="42" t="str">
        <f aca="false">Sales_Transactions!E573</f>
        <v>P003</v>
      </c>
      <c r="F573" s="42" t="str">
        <f aca="false">IFERROR(INDEX(Customer_Master!$C$2:$C$49,MATCH(D573,Customer_Master!$A$2:$A$49,0)),"UNMATCHED")</f>
        <v>West</v>
      </c>
      <c r="G573" s="42" t="str">
        <f aca="false">IFERROR(INDEX(Customer_Master!$D$2:$D$49,MATCH(D573,Customer_Master!$A$2:$A$49,0)),"UNMATCHED")</f>
        <v>Modern Trade</v>
      </c>
      <c r="H573" s="42" t="str">
        <f aca="false">IFERROR(INDEX(Product_Master!$C$2:$C$9,MATCH(E573,Product_Master!$A$2:$A$9,0)),"UNMATCHED")</f>
        <v>Personal Care</v>
      </c>
      <c r="I573" s="42" t="str">
        <f aca="false">IFERROR(INDEX(Product_Master!$B$2:$B$9,MATCH(E573,Product_Master!$A$2:$A$9,0)),"UNMATCHED")</f>
        <v>Shampoo 400ml</v>
      </c>
      <c r="J573" s="42" t="n">
        <f aca="false">IFERROR(INDEX(Calendar!$B$2:$B$25,MATCH(B573,Calendar!$A$2:$A$25,0)),0)</f>
        <v>2026</v>
      </c>
      <c r="K573" s="42" t="n">
        <f aca="false">IFERROR(VALUE(RIGHT(B573,2)),0)</f>
        <v>4</v>
      </c>
      <c r="L573" s="42" t="str">
        <f aca="false">IFERROR(INDEX(Calendar!$E$2:$E$25,MATCH(B573,Calendar!$A$2:$A$25,0)),"UNMATCHED")</f>
        <v>Actual</v>
      </c>
      <c r="M573" s="42" t="n">
        <f aca="false">Sales_Transactions!F573</f>
        <v>274</v>
      </c>
      <c r="N573" s="52" t="n">
        <f aca="false">Sales_Transactions!I573</f>
        <v>71990.76</v>
      </c>
      <c r="O573" s="52" t="n">
        <f aca="false">Sales_Transactions!J573</f>
        <v>49270.68</v>
      </c>
      <c r="P573" s="52" t="n">
        <f aca="false">Sales_Transactions!K573</f>
        <v>22720.08</v>
      </c>
      <c r="Q573" s="42" t="n">
        <f aca="false">IF(ISNUMBER(MATCH(E573,Product_Master!$A$2:$A$9,0)),0,1)</f>
        <v>0</v>
      </c>
      <c r="R573" s="42" t="n">
        <f aca="false">IF(ISNUMBER(MATCH(D573,Customer_Master!$A$2:$A$49,0)),0,1)</f>
        <v>0</v>
      </c>
      <c r="S573" s="42" t="n">
        <f aca="false">IF(ISNUMBER(MATCH(B573,Calendar!$A$2:$A$25,0)),0,1)</f>
        <v>0</v>
      </c>
      <c r="T573" s="42" t="n">
        <f aca="false">IF(COUNTIF(Sales_Transactions!$A$2:$A$865,A573)&gt;1,1,0)</f>
        <v>0</v>
      </c>
      <c r="U573" s="42" t="n">
        <f aca="false">IF(OR(ABS(Sales_Transactions!F573*Sales_Transactions!G573-Sales_Transactions!I573)&gt;0.01,ABS(Sales_Transactions!F573*Sales_Transactions!H573-Sales_Transactions!J573)&gt;0.01,ABS(Sales_Transactions!I573-Sales_Transactions!J573-Sales_Transactions!K573)&gt;0.01),1,0)</f>
        <v>0</v>
      </c>
      <c r="V573" s="42" t="n">
        <f aca="false">IF(C573&lt;&gt;L573,1,0)</f>
        <v>0</v>
      </c>
      <c r="W573" s="42" t="n">
        <f aca="false">IF(SUM(Q573:V573)&gt;0,1,0)</f>
        <v>0</v>
      </c>
    </row>
    <row r="574" customFormat="false" ht="15" hidden="false" customHeight="false" outlineLevel="0" collapsed="false">
      <c r="A574" s="42" t="str">
        <f aca="false">Sales_Transactions!A574</f>
        <v>INV-16-033</v>
      </c>
      <c r="B574" s="42" t="str">
        <f aca="false">Sales_Transactions!B574</f>
        <v>2026-04</v>
      </c>
      <c r="C574" s="42" t="str">
        <f aca="false">Sales_Transactions!C574</f>
        <v>Actual</v>
      </c>
      <c r="D574" s="42" t="str">
        <f aca="false">Sales_Transactions!D574</f>
        <v>C030</v>
      </c>
      <c r="E574" s="42" t="str">
        <f aca="false">Sales_Transactions!E574</f>
        <v>P008</v>
      </c>
      <c r="F574" s="42" t="str">
        <f aca="false">IFERROR(INDEX(Customer_Master!$C$2:$C$49,MATCH(D574,Customer_Master!$A$2:$A$49,0)),"UNMATCHED")</f>
        <v>North</v>
      </c>
      <c r="G574" s="42" t="str">
        <f aca="false">IFERROR(INDEX(Customer_Master!$D$2:$D$49,MATCH(D574,Customer_Master!$A$2:$A$49,0)),"UNMATCHED")</f>
        <v>Retail</v>
      </c>
      <c r="H574" s="42" t="str">
        <f aca="false">IFERROR(INDEX(Product_Master!$C$2:$C$9,MATCH(E574,Product_Master!$A$2:$A$9,0)),"UNMATCHED")</f>
        <v>Personal Care</v>
      </c>
      <c r="I574" s="42" t="str">
        <f aca="false">IFERROR(INDEX(Product_Master!$B$2:$B$9,MATCH(E574,Product_Master!$A$2:$A$9,0)),"UNMATCHED")</f>
        <v>Body Lotion</v>
      </c>
      <c r="J574" s="42" t="n">
        <f aca="false">IFERROR(INDEX(Calendar!$B$2:$B$25,MATCH(B574,Calendar!$A$2:$A$25,0)),0)</f>
        <v>2026</v>
      </c>
      <c r="K574" s="42" t="n">
        <f aca="false">IFERROR(VALUE(RIGHT(B574,2)),0)</f>
        <v>4</v>
      </c>
      <c r="L574" s="42" t="str">
        <f aca="false">IFERROR(INDEX(Calendar!$E$2:$E$25,MATCH(B574,Calendar!$A$2:$A$25,0)),"UNMATCHED")</f>
        <v>Actual</v>
      </c>
      <c r="M574" s="42" t="n">
        <f aca="false">Sales_Transactions!F574</f>
        <v>378</v>
      </c>
      <c r="N574" s="52" t="n">
        <f aca="false">Sales_Transactions!I574</f>
        <v>111536.46</v>
      </c>
      <c r="O574" s="52" t="n">
        <f aca="false">Sales_Transactions!J574</f>
        <v>76662.18</v>
      </c>
      <c r="P574" s="52" t="n">
        <f aca="false">Sales_Transactions!K574</f>
        <v>34874.28</v>
      </c>
      <c r="Q574" s="42" t="n">
        <f aca="false">IF(ISNUMBER(MATCH(E574,Product_Master!$A$2:$A$9,0)),0,1)</f>
        <v>0</v>
      </c>
      <c r="R574" s="42" t="n">
        <f aca="false">IF(ISNUMBER(MATCH(D574,Customer_Master!$A$2:$A$49,0)),0,1)</f>
        <v>0</v>
      </c>
      <c r="S574" s="42" t="n">
        <f aca="false">IF(ISNUMBER(MATCH(B574,Calendar!$A$2:$A$25,0)),0,1)</f>
        <v>0</v>
      </c>
      <c r="T574" s="42" t="n">
        <f aca="false">IF(COUNTIF(Sales_Transactions!$A$2:$A$865,A574)&gt;1,1,0)</f>
        <v>0</v>
      </c>
      <c r="U574" s="42" t="n">
        <f aca="false">IF(OR(ABS(Sales_Transactions!F574*Sales_Transactions!G574-Sales_Transactions!I574)&gt;0.01,ABS(Sales_Transactions!F574*Sales_Transactions!H574-Sales_Transactions!J574)&gt;0.01,ABS(Sales_Transactions!I574-Sales_Transactions!J574-Sales_Transactions!K574)&gt;0.01),1,0)</f>
        <v>0</v>
      </c>
      <c r="V574" s="42" t="n">
        <f aca="false">IF(C574&lt;&gt;L574,1,0)</f>
        <v>0</v>
      </c>
      <c r="W574" s="42" t="n">
        <f aca="false">IF(SUM(Q574:V574)&gt;0,1,0)</f>
        <v>0</v>
      </c>
    </row>
    <row r="575" customFormat="false" ht="15" hidden="false" customHeight="false" outlineLevel="0" collapsed="false">
      <c r="A575" s="42" t="str">
        <f aca="false">Sales_Transactions!A575</f>
        <v>INV-16-034</v>
      </c>
      <c r="B575" s="42" t="str">
        <f aca="false">Sales_Transactions!B575</f>
        <v>2026-04</v>
      </c>
      <c r="C575" s="42" t="str">
        <f aca="false">Sales_Transactions!C575</f>
        <v>Actual</v>
      </c>
      <c r="D575" s="42" t="str">
        <f aca="false">Sales_Transactions!D575</f>
        <v>C037</v>
      </c>
      <c r="E575" s="42" t="str">
        <f aca="false">Sales_Transactions!E575</f>
        <v>P005</v>
      </c>
      <c r="F575" s="42" t="str">
        <f aca="false">IFERROR(INDEX(Customer_Master!$C$2:$C$49,MATCH(D575,Customer_Master!$A$2:$A$49,0)),"UNMATCHED")</f>
        <v>South</v>
      </c>
      <c r="G575" s="42" t="str">
        <f aca="false">IFERROR(INDEX(Customer_Master!$D$2:$D$49,MATCH(D575,Customer_Master!$A$2:$A$49,0)),"UNMATCHED")</f>
        <v>Distributor</v>
      </c>
      <c r="H575" s="42" t="str">
        <f aca="false">IFERROR(INDEX(Product_Master!$C$2:$C$9,MATCH(E575,Product_Master!$A$2:$A$9,0)),"UNMATCHED")</f>
        <v>Foods</v>
      </c>
      <c r="I575" s="42" t="str">
        <f aca="false">IFERROR(INDEX(Product_Master!$B$2:$B$9,MATCH(E575,Product_Master!$A$2:$A$9,0)),"UNMATCHED")</f>
        <v>Biscuits 500g</v>
      </c>
      <c r="J575" s="42" t="n">
        <f aca="false">IFERROR(INDEX(Calendar!$B$2:$B$25,MATCH(B575,Calendar!$A$2:$A$25,0)),0)</f>
        <v>2026</v>
      </c>
      <c r="K575" s="42" t="n">
        <f aca="false">IFERROR(VALUE(RIGHT(B575,2)),0)</f>
        <v>4</v>
      </c>
      <c r="L575" s="42" t="str">
        <f aca="false">IFERROR(INDEX(Calendar!$E$2:$E$25,MATCH(B575,Calendar!$A$2:$A$25,0)),"UNMATCHED")</f>
        <v>Actual</v>
      </c>
      <c r="M575" s="42" t="n">
        <f aca="false">Sales_Transactions!F575</f>
        <v>245</v>
      </c>
      <c r="N575" s="52" t="n">
        <f aca="false">Sales_Transactions!I575</f>
        <v>26261.55</v>
      </c>
      <c r="O575" s="52" t="n">
        <f aca="false">Sales_Transactions!J575</f>
        <v>16250.85</v>
      </c>
      <c r="P575" s="52" t="n">
        <f aca="false">Sales_Transactions!K575</f>
        <v>10010.7</v>
      </c>
      <c r="Q575" s="42" t="n">
        <f aca="false">IF(ISNUMBER(MATCH(E575,Product_Master!$A$2:$A$9,0)),0,1)</f>
        <v>0</v>
      </c>
      <c r="R575" s="42" t="n">
        <f aca="false">IF(ISNUMBER(MATCH(D575,Customer_Master!$A$2:$A$49,0)),0,1)</f>
        <v>0</v>
      </c>
      <c r="S575" s="42" t="n">
        <f aca="false">IF(ISNUMBER(MATCH(B575,Calendar!$A$2:$A$25,0)),0,1)</f>
        <v>0</v>
      </c>
      <c r="T575" s="42" t="n">
        <f aca="false">IF(COUNTIF(Sales_Transactions!$A$2:$A$865,A575)&gt;1,1,0)</f>
        <v>0</v>
      </c>
      <c r="U575" s="42" t="n">
        <f aca="false">IF(OR(ABS(Sales_Transactions!F575*Sales_Transactions!G575-Sales_Transactions!I575)&gt;0.01,ABS(Sales_Transactions!F575*Sales_Transactions!H575-Sales_Transactions!J575)&gt;0.01,ABS(Sales_Transactions!I575-Sales_Transactions!J575-Sales_Transactions!K575)&gt;0.01),1,0)</f>
        <v>0</v>
      </c>
      <c r="V575" s="42" t="n">
        <f aca="false">IF(C575&lt;&gt;L575,1,0)</f>
        <v>0</v>
      </c>
      <c r="W575" s="42" t="n">
        <f aca="false">IF(SUM(Q575:V575)&gt;0,1,0)</f>
        <v>0</v>
      </c>
    </row>
    <row r="576" customFormat="false" ht="15" hidden="false" customHeight="false" outlineLevel="0" collapsed="false">
      <c r="A576" s="42" t="str">
        <f aca="false">Sales_Transactions!A576</f>
        <v>INV-16-035</v>
      </c>
      <c r="B576" s="42" t="str">
        <f aca="false">Sales_Transactions!B576</f>
        <v>2026-04</v>
      </c>
      <c r="C576" s="42" t="str">
        <f aca="false">Sales_Transactions!C576</f>
        <v>Actual</v>
      </c>
      <c r="D576" s="42" t="str">
        <f aca="false">Sales_Transactions!D576</f>
        <v>C044</v>
      </c>
      <c r="E576" s="42" t="str">
        <f aca="false">Sales_Transactions!E576</f>
        <v>P002</v>
      </c>
      <c r="F576" s="42" t="str">
        <f aca="false">IFERROR(INDEX(Customer_Master!$C$2:$C$49,MATCH(D576,Customer_Master!$A$2:$A$49,0)),"UNMATCHED")</f>
        <v>East</v>
      </c>
      <c r="G576" s="42" t="str">
        <f aca="false">IFERROR(INDEX(Customer_Master!$D$2:$D$49,MATCH(D576,Customer_Master!$A$2:$A$49,0)),"UNMATCHED")</f>
        <v>Modern Trade</v>
      </c>
      <c r="H576" s="42" t="str">
        <f aca="false">IFERROR(INDEX(Product_Master!$C$2:$C$9,MATCH(E576,Product_Master!$A$2:$A$9,0)),"UNMATCHED")</f>
        <v>Home Care</v>
      </c>
      <c r="I576" s="42" t="str">
        <f aca="false">IFERROR(INDEX(Product_Master!$B$2:$B$9,MATCH(E576,Product_Master!$A$2:$A$9,0)),"UNMATCHED")</f>
        <v>Dishwash Gel</v>
      </c>
      <c r="J576" s="42" t="n">
        <f aca="false">IFERROR(INDEX(Calendar!$B$2:$B$25,MATCH(B576,Calendar!$A$2:$A$25,0)),0)</f>
        <v>2026</v>
      </c>
      <c r="K576" s="42" t="n">
        <f aca="false">IFERROR(VALUE(RIGHT(B576,2)),0)</f>
        <v>4</v>
      </c>
      <c r="L576" s="42" t="str">
        <f aca="false">IFERROR(INDEX(Calendar!$E$2:$E$25,MATCH(B576,Calendar!$A$2:$A$25,0)),"UNMATCHED")</f>
        <v>Actual</v>
      </c>
      <c r="M576" s="42" t="n">
        <f aca="false">Sales_Transactions!F576</f>
        <v>143</v>
      </c>
      <c r="N576" s="52" t="n">
        <f aca="false">Sales_Transactions!I576</f>
        <v>18524.22</v>
      </c>
      <c r="O576" s="52" t="n">
        <f aca="false">Sales_Transactions!J576</f>
        <v>11518.65</v>
      </c>
      <c r="P576" s="52" t="n">
        <f aca="false">Sales_Transactions!K576</f>
        <v>7005.57</v>
      </c>
      <c r="Q576" s="42" t="n">
        <f aca="false">IF(ISNUMBER(MATCH(E576,Product_Master!$A$2:$A$9,0)),0,1)</f>
        <v>0</v>
      </c>
      <c r="R576" s="42" t="n">
        <f aca="false">IF(ISNUMBER(MATCH(D576,Customer_Master!$A$2:$A$49,0)),0,1)</f>
        <v>0</v>
      </c>
      <c r="S576" s="42" t="n">
        <f aca="false">IF(ISNUMBER(MATCH(B576,Calendar!$A$2:$A$25,0)),0,1)</f>
        <v>0</v>
      </c>
      <c r="T576" s="42" t="n">
        <f aca="false">IF(COUNTIF(Sales_Transactions!$A$2:$A$865,A576)&gt;1,1,0)</f>
        <v>0</v>
      </c>
      <c r="U576" s="42" t="n">
        <f aca="false">IF(OR(ABS(Sales_Transactions!F576*Sales_Transactions!G576-Sales_Transactions!I576)&gt;0.01,ABS(Sales_Transactions!F576*Sales_Transactions!H576-Sales_Transactions!J576)&gt;0.01,ABS(Sales_Transactions!I576-Sales_Transactions!J576-Sales_Transactions!K576)&gt;0.01),1,0)</f>
        <v>0</v>
      </c>
      <c r="V576" s="42" t="n">
        <f aca="false">IF(C576&lt;&gt;L576,1,0)</f>
        <v>0</v>
      </c>
      <c r="W576" s="42" t="n">
        <f aca="false">IF(SUM(Q576:V576)&gt;0,1,0)</f>
        <v>0</v>
      </c>
    </row>
    <row r="577" customFormat="false" ht="15" hidden="false" customHeight="false" outlineLevel="0" collapsed="false">
      <c r="A577" s="42" t="str">
        <f aca="false">Sales_Transactions!A577</f>
        <v>INV-16-036</v>
      </c>
      <c r="B577" s="42" t="str">
        <f aca="false">Sales_Transactions!B577</f>
        <v>2026-04</v>
      </c>
      <c r="C577" s="42" t="str">
        <f aca="false">Sales_Transactions!C577</f>
        <v>Actual</v>
      </c>
      <c r="D577" s="42" t="str">
        <f aca="false">Sales_Transactions!D577</f>
        <v>C003</v>
      </c>
      <c r="E577" s="42" t="str">
        <f aca="false">Sales_Transactions!E577</f>
        <v>P007</v>
      </c>
      <c r="F577" s="42" t="str">
        <f aca="false">IFERROR(INDEX(Customer_Master!$C$2:$C$49,MATCH(D577,Customer_Master!$A$2:$A$49,0)),"UNMATCHED")</f>
        <v>West</v>
      </c>
      <c r="G577" s="42" t="str">
        <f aca="false">IFERROR(INDEX(Customer_Master!$D$2:$D$49,MATCH(D577,Customer_Master!$A$2:$A$49,0)),"UNMATCHED")</f>
        <v>Retail</v>
      </c>
      <c r="H577" s="42" t="str">
        <f aca="false">IFERROR(INDEX(Product_Master!$C$2:$C$9,MATCH(E577,Product_Master!$A$2:$A$9,0)),"UNMATCHED")</f>
        <v>Home Care</v>
      </c>
      <c r="I577" s="42" t="str">
        <f aca="false">IFERROR(INDEX(Product_Master!$B$2:$B$9,MATCH(E577,Product_Master!$A$2:$A$9,0)),"UNMATCHED")</f>
        <v>Floor Cleaner</v>
      </c>
      <c r="J577" s="42" t="n">
        <f aca="false">IFERROR(INDEX(Calendar!$B$2:$B$25,MATCH(B577,Calendar!$A$2:$A$25,0)),0)</f>
        <v>2026</v>
      </c>
      <c r="K577" s="42" t="n">
        <f aca="false">IFERROR(VALUE(RIGHT(B577,2)),0)</f>
        <v>4</v>
      </c>
      <c r="L577" s="42" t="str">
        <f aca="false">IFERROR(INDEX(Calendar!$E$2:$E$25,MATCH(B577,Calendar!$A$2:$A$25,0)),"UNMATCHED")</f>
        <v>Actual</v>
      </c>
      <c r="M577" s="42" t="n">
        <f aca="false">Sales_Transactions!F577</f>
        <v>350</v>
      </c>
      <c r="N577" s="52" t="n">
        <f aca="false">Sales_Transactions!I577</f>
        <v>62531</v>
      </c>
      <c r="O577" s="52" t="n">
        <f aca="false">Sales_Transactions!J577</f>
        <v>40274.5</v>
      </c>
      <c r="P577" s="52" t="n">
        <f aca="false">Sales_Transactions!K577</f>
        <v>22256.5</v>
      </c>
      <c r="Q577" s="42" t="n">
        <f aca="false">IF(ISNUMBER(MATCH(E577,Product_Master!$A$2:$A$9,0)),0,1)</f>
        <v>0</v>
      </c>
      <c r="R577" s="42" t="n">
        <f aca="false">IF(ISNUMBER(MATCH(D577,Customer_Master!$A$2:$A$49,0)),0,1)</f>
        <v>0</v>
      </c>
      <c r="S577" s="42" t="n">
        <f aca="false">IF(ISNUMBER(MATCH(B577,Calendar!$A$2:$A$25,0)),0,1)</f>
        <v>0</v>
      </c>
      <c r="T577" s="42" t="n">
        <f aca="false">IF(COUNTIF(Sales_Transactions!$A$2:$A$865,A577)&gt;1,1,0)</f>
        <v>0</v>
      </c>
      <c r="U577" s="42" t="n">
        <f aca="false">IF(OR(ABS(Sales_Transactions!F577*Sales_Transactions!G577-Sales_Transactions!I577)&gt;0.01,ABS(Sales_Transactions!F577*Sales_Transactions!H577-Sales_Transactions!J577)&gt;0.01,ABS(Sales_Transactions!I577-Sales_Transactions!J577-Sales_Transactions!K577)&gt;0.01),1,0)</f>
        <v>0</v>
      </c>
      <c r="V577" s="42" t="n">
        <f aca="false">IF(C577&lt;&gt;L577,1,0)</f>
        <v>0</v>
      </c>
      <c r="W577" s="42" t="n">
        <f aca="false">IF(SUM(Q577:V577)&gt;0,1,0)</f>
        <v>0</v>
      </c>
    </row>
    <row r="578" customFormat="false" ht="15" hidden="false" customHeight="false" outlineLevel="0" collapsed="false">
      <c r="A578" s="42" t="str">
        <f aca="false">Sales_Transactions!A578</f>
        <v>INV-17-001</v>
      </c>
      <c r="B578" s="42" t="str">
        <f aca="false">Sales_Transactions!B578</f>
        <v>2026-05</v>
      </c>
      <c r="C578" s="42" t="str">
        <f aca="false">Sales_Transactions!C578</f>
        <v>Actual</v>
      </c>
      <c r="D578" s="42" t="str">
        <f aca="false">Sales_Transactions!D578</f>
        <v>C001</v>
      </c>
      <c r="E578" s="42" t="str">
        <f aca="false">Sales_Transactions!E578</f>
        <v>P001</v>
      </c>
      <c r="F578" s="42" t="str">
        <f aca="false">IFERROR(INDEX(Customer_Master!$C$2:$C$49,MATCH(D578,Customer_Master!$A$2:$A$49,0)),"UNMATCHED")</f>
        <v>South</v>
      </c>
      <c r="G578" s="42" t="str">
        <f aca="false">IFERROR(INDEX(Customer_Master!$D$2:$D$49,MATCH(D578,Customer_Master!$A$2:$A$49,0)),"UNMATCHED")</f>
        <v>Distributor</v>
      </c>
      <c r="H578" s="42" t="str">
        <f aca="false">IFERROR(INDEX(Product_Master!$C$2:$C$9,MATCH(E578,Product_Master!$A$2:$A$9,0)),"UNMATCHED")</f>
        <v>Home Care</v>
      </c>
      <c r="I578" s="42" t="str">
        <f aca="false">IFERROR(INDEX(Product_Master!$B$2:$B$9,MATCH(E578,Product_Master!$A$2:$A$9,0)),"UNMATCHED")</f>
        <v>Detergent 1kg</v>
      </c>
      <c r="J578" s="42" t="n">
        <f aca="false">IFERROR(INDEX(Calendar!$B$2:$B$25,MATCH(B578,Calendar!$A$2:$A$25,0)),0)</f>
        <v>2026</v>
      </c>
      <c r="K578" s="42" t="n">
        <f aca="false">IFERROR(VALUE(RIGHT(B578,2)),0)</f>
        <v>5</v>
      </c>
      <c r="L578" s="42" t="str">
        <f aca="false">IFERROR(INDEX(Calendar!$E$2:$E$25,MATCH(B578,Calendar!$A$2:$A$25,0)),"UNMATCHED")</f>
        <v>Actual</v>
      </c>
      <c r="M578" s="42" t="n">
        <f aca="false">Sales_Transactions!F578</f>
        <v>219</v>
      </c>
      <c r="N578" s="52" t="n">
        <f aca="false">Sales_Transactions!I578</f>
        <v>45565.14</v>
      </c>
      <c r="O578" s="52" t="n">
        <f aca="false">Sales_Transactions!J578</f>
        <v>30193.53</v>
      </c>
      <c r="P578" s="52" t="n">
        <f aca="false">Sales_Transactions!K578</f>
        <v>15371.61</v>
      </c>
      <c r="Q578" s="42" t="n">
        <f aca="false">IF(ISNUMBER(MATCH(E578,Product_Master!$A$2:$A$9,0)),0,1)</f>
        <v>0</v>
      </c>
      <c r="R578" s="42" t="n">
        <f aca="false">IF(ISNUMBER(MATCH(D578,Customer_Master!$A$2:$A$49,0)),0,1)</f>
        <v>0</v>
      </c>
      <c r="S578" s="42" t="n">
        <f aca="false">IF(ISNUMBER(MATCH(B578,Calendar!$A$2:$A$25,0)),0,1)</f>
        <v>0</v>
      </c>
      <c r="T578" s="42" t="n">
        <f aca="false">IF(COUNTIF(Sales_Transactions!$A$2:$A$865,A578)&gt;1,1,0)</f>
        <v>0</v>
      </c>
      <c r="U578" s="42" t="n">
        <f aca="false">IF(OR(ABS(Sales_Transactions!F578*Sales_Transactions!G578-Sales_Transactions!I578)&gt;0.01,ABS(Sales_Transactions!F578*Sales_Transactions!H578-Sales_Transactions!J578)&gt;0.01,ABS(Sales_Transactions!I578-Sales_Transactions!J578-Sales_Transactions!K578)&gt;0.01),1,0)</f>
        <v>0</v>
      </c>
      <c r="V578" s="42" t="n">
        <f aca="false">IF(C578&lt;&gt;L578,1,0)</f>
        <v>0</v>
      </c>
      <c r="W578" s="42" t="n">
        <f aca="false">IF(SUM(Q578:V578)&gt;0,1,0)</f>
        <v>0</v>
      </c>
    </row>
    <row r="579" customFormat="false" ht="15" hidden="false" customHeight="false" outlineLevel="0" collapsed="false">
      <c r="A579" s="42" t="str">
        <f aca="false">Sales_Transactions!A579</f>
        <v>INV-17-002</v>
      </c>
      <c r="B579" s="42" t="str">
        <f aca="false">Sales_Transactions!B579</f>
        <v>2026-05</v>
      </c>
      <c r="C579" s="42" t="str">
        <f aca="false">Sales_Transactions!C579</f>
        <v>Actual</v>
      </c>
      <c r="D579" s="42" t="str">
        <f aca="false">Sales_Transactions!D579</f>
        <v>C008</v>
      </c>
      <c r="E579" s="42" t="str">
        <f aca="false">Sales_Transactions!E579</f>
        <v>P006</v>
      </c>
      <c r="F579" s="42" t="str">
        <f aca="false">IFERROR(INDEX(Customer_Master!$C$2:$C$49,MATCH(D579,Customer_Master!$A$2:$A$49,0)),"UNMATCHED")</f>
        <v>East</v>
      </c>
      <c r="G579" s="42" t="str">
        <f aca="false">IFERROR(INDEX(Customer_Master!$D$2:$D$49,MATCH(D579,Customer_Master!$A$2:$A$49,0)),"UNMATCHED")</f>
        <v>Modern Trade</v>
      </c>
      <c r="H579" s="42" t="str">
        <f aca="false">IFERROR(INDEX(Product_Master!$C$2:$C$9,MATCH(E579,Product_Master!$A$2:$A$9,0)),"UNMATCHED")</f>
        <v>Foods</v>
      </c>
      <c r="I579" s="42" t="str">
        <f aca="false">IFERROR(INDEX(Product_Master!$B$2:$B$9,MATCH(E579,Product_Master!$A$2:$A$9,0)),"UNMATCHED")</f>
        <v>Breakfast Cereal</v>
      </c>
      <c r="J579" s="42" t="n">
        <f aca="false">IFERROR(INDEX(Calendar!$B$2:$B$25,MATCH(B579,Calendar!$A$2:$A$25,0)),0)</f>
        <v>2026</v>
      </c>
      <c r="K579" s="42" t="n">
        <f aca="false">IFERROR(VALUE(RIGHT(B579,2)),0)</f>
        <v>5</v>
      </c>
      <c r="L579" s="42" t="str">
        <f aca="false">IFERROR(INDEX(Calendar!$E$2:$E$25,MATCH(B579,Calendar!$A$2:$A$25,0)),"UNMATCHED")</f>
        <v>Actual</v>
      </c>
      <c r="M579" s="42" t="n">
        <f aca="false">Sales_Transactions!F579</f>
        <v>194</v>
      </c>
      <c r="N579" s="52" t="n">
        <f aca="false">Sales_Transactions!I579</f>
        <v>50436.12</v>
      </c>
      <c r="O579" s="52" t="n">
        <f aca="false">Sales_Transactions!J579</f>
        <v>30091.34</v>
      </c>
      <c r="P579" s="52" t="n">
        <f aca="false">Sales_Transactions!K579</f>
        <v>20344.78</v>
      </c>
      <c r="Q579" s="42" t="n">
        <f aca="false">IF(ISNUMBER(MATCH(E579,Product_Master!$A$2:$A$9,0)),0,1)</f>
        <v>0</v>
      </c>
      <c r="R579" s="42" t="n">
        <f aca="false">IF(ISNUMBER(MATCH(D579,Customer_Master!$A$2:$A$49,0)),0,1)</f>
        <v>0</v>
      </c>
      <c r="S579" s="42" t="n">
        <f aca="false">IF(ISNUMBER(MATCH(B579,Calendar!$A$2:$A$25,0)),0,1)</f>
        <v>0</v>
      </c>
      <c r="T579" s="42" t="n">
        <f aca="false">IF(COUNTIF(Sales_Transactions!$A$2:$A$865,A579)&gt;1,1,0)</f>
        <v>0</v>
      </c>
      <c r="U579" s="42" t="n">
        <f aca="false">IF(OR(ABS(Sales_Transactions!F579*Sales_Transactions!G579-Sales_Transactions!I579)&gt;0.01,ABS(Sales_Transactions!F579*Sales_Transactions!H579-Sales_Transactions!J579)&gt;0.01,ABS(Sales_Transactions!I579-Sales_Transactions!J579-Sales_Transactions!K579)&gt;0.01),1,0)</f>
        <v>0</v>
      </c>
      <c r="V579" s="42" t="n">
        <f aca="false">IF(C579&lt;&gt;L579,1,0)</f>
        <v>0</v>
      </c>
      <c r="W579" s="42" t="n">
        <f aca="false">IF(SUM(Q579:V579)&gt;0,1,0)</f>
        <v>0</v>
      </c>
    </row>
    <row r="580" customFormat="false" ht="15" hidden="false" customHeight="false" outlineLevel="0" collapsed="false">
      <c r="A580" s="42" t="str">
        <f aca="false">Sales_Transactions!A580</f>
        <v>INV-17-003</v>
      </c>
      <c r="B580" s="42" t="str">
        <f aca="false">Sales_Transactions!B580</f>
        <v>2026-05</v>
      </c>
      <c r="C580" s="42" t="str">
        <f aca="false">Sales_Transactions!C580</f>
        <v>Actual</v>
      </c>
      <c r="D580" s="42" t="str">
        <f aca="false">Sales_Transactions!D580</f>
        <v>C015</v>
      </c>
      <c r="E580" s="42" t="str">
        <f aca="false">Sales_Transactions!E580</f>
        <v>P003</v>
      </c>
      <c r="F580" s="42" t="str">
        <f aca="false">IFERROR(INDEX(Customer_Master!$C$2:$C$49,MATCH(D580,Customer_Master!$A$2:$A$49,0)),"UNMATCHED")</f>
        <v>West</v>
      </c>
      <c r="G580" s="42" t="str">
        <f aca="false">IFERROR(INDEX(Customer_Master!$D$2:$D$49,MATCH(D580,Customer_Master!$A$2:$A$49,0)),"UNMATCHED")</f>
        <v>Retail</v>
      </c>
      <c r="H580" s="42" t="str">
        <f aca="false">IFERROR(INDEX(Product_Master!$C$2:$C$9,MATCH(E580,Product_Master!$A$2:$A$9,0)),"UNMATCHED")</f>
        <v>Personal Care</v>
      </c>
      <c r="I580" s="42" t="str">
        <f aca="false">IFERROR(INDEX(Product_Master!$B$2:$B$9,MATCH(E580,Product_Master!$A$2:$A$9,0)),"UNMATCHED")</f>
        <v>Shampoo 400ml</v>
      </c>
      <c r="J580" s="42" t="n">
        <f aca="false">IFERROR(INDEX(Calendar!$B$2:$B$25,MATCH(B580,Calendar!$A$2:$A$25,0)),0)</f>
        <v>2026</v>
      </c>
      <c r="K580" s="42" t="n">
        <f aca="false">IFERROR(VALUE(RIGHT(B580,2)),0)</f>
        <v>5</v>
      </c>
      <c r="L580" s="42" t="str">
        <f aca="false">IFERROR(INDEX(Calendar!$E$2:$E$25,MATCH(B580,Calendar!$A$2:$A$25,0)),"UNMATCHED")</f>
        <v>Actual</v>
      </c>
      <c r="M580" s="42" t="n">
        <f aca="false">Sales_Transactions!F580</f>
        <v>336</v>
      </c>
      <c r="N580" s="52" t="n">
        <f aca="false">Sales_Transactions!I580</f>
        <v>86180.64</v>
      </c>
      <c r="O580" s="52" t="n">
        <f aca="false">Sales_Transactions!J580</f>
        <v>56095.2</v>
      </c>
      <c r="P580" s="52" t="n">
        <f aca="false">Sales_Transactions!K580</f>
        <v>30085.44</v>
      </c>
      <c r="Q580" s="42" t="n">
        <f aca="false">IF(ISNUMBER(MATCH(E580,Product_Master!$A$2:$A$9,0)),0,1)</f>
        <v>0</v>
      </c>
      <c r="R580" s="42" t="n">
        <f aca="false">IF(ISNUMBER(MATCH(D580,Customer_Master!$A$2:$A$49,0)),0,1)</f>
        <v>0</v>
      </c>
      <c r="S580" s="42" t="n">
        <f aca="false">IF(ISNUMBER(MATCH(B580,Calendar!$A$2:$A$25,0)),0,1)</f>
        <v>0</v>
      </c>
      <c r="T580" s="42" t="n">
        <f aca="false">IF(COUNTIF(Sales_Transactions!$A$2:$A$865,A580)&gt;1,1,0)</f>
        <v>0</v>
      </c>
      <c r="U580" s="42" t="n">
        <f aca="false">IF(OR(ABS(Sales_Transactions!F580*Sales_Transactions!G580-Sales_Transactions!I580)&gt;0.01,ABS(Sales_Transactions!F580*Sales_Transactions!H580-Sales_Transactions!J580)&gt;0.01,ABS(Sales_Transactions!I580-Sales_Transactions!J580-Sales_Transactions!K580)&gt;0.01),1,0)</f>
        <v>0</v>
      </c>
      <c r="V580" s="42" t="n">
        <f aca="false">IF(C580&lt;&gt;L580,1,0)</f>
        <v>0</v>
      </c>
      <c r="W580" s="42" t="n">
        <f aca="false">IF(SUM(Q580:V580)&gt;0,1,0)</f>
        <v>0</v>
      </c>
    </row>
    <row r="581" customFormat="false" ht="15" hidden="false" customHeight="false" outlineLevel="0" collapsed="false">
      <c r="A581" s="42" t="str">
        <f aca="false">Sales_Transactions!A581</f>
        <v>INV-17-004</v>
      </c>
      <c r="B581" s="42" t="str">
        <f aca="false">Sales_Transactions!B581</f>
        <v>2026-05</v>
      </c>
      <c r="C581" s="42" t="str">
        <f aca="false">Sales_Transactions!C581</f>
        <v>Actual</v>
      </c>
      <c r="D581" s="42" t="str">
        <f aca="false">Sales_Transactions!D581</f>
        <v>C022</v>
      </c>
      <c r="E581" s="42" t="str">
        <f aca="false">Sales_Transactions!E581</f>
        <v>P008</v>
      </c>
      <c r="F581" s="42" t="str">
        <f aca="false">IFERROR(INDEX(Customer_Master!$C$2:$C$49,MATCH(D581,Customer_Master!$A$2:$A$49,0)),"UNMATCHED")</f>
        <v>North</v>
      </c>
      <c r="G581" s="42" t="str">
        <f aca="false">IFERROR(INDEX(Customer_Master!$D$2:$D$49,MATCH(D581,Customer_Master!$A$2:$A$49,0)),"UNMATCHED")</f>
        <v>Distributor</v>
      </c>
      <c r="H581" s="42" t="str">
        <f aca="false">IFERROR(INDEX(Product_Master!$C$2:$C$9,MATCH(E581,Product_Master!$A$2:$A$9,0)),"UNMATCHED")</f>
        <v>Personal Care</v>
      </c>
      <c r="I581" s="42" t="str">
        <f aca="false">IFERROR(INDEX(Product_Master!$B$2:$B$9,MATCH(E581,Product_Master!$A$2:$A$9,0)),"UNMATCHED")</f>
        <v>Body Lotion</v>
      </c>
      <c r="J581" s="42" t="n">
        <f aca="false">IFERROR(INDEX(Calendar!$B$2:$B$25,MATCH(B581,Calendar!$A$2:$A$25,0)),0)</f>
        <v>2026</v>
      </c>
      <c r="K581" s="42" t="n">
        <f aca="false">IFERROR(VALUE(RIGHT(B581,2)),0)</f>
        <v>5</v>
      </c>
      <c r="L581" s="42" t="str">
        <f aca="false">IFERROR(INDEX(Calendar!$E$2:$E$25,MATCH(B581,Calendar!$A$2:$A$25,0)),"UNMATCHED")</f>
        <v>Actual</v>
      </c>
      <c r="M581" s="42" t="n">
        <f aca="false">Sales_Transactions!F581</f>
        <v>122</v>
      </c>
      <c r="N581" s="52" t="n">
        <f aca="false">Sales_Transactions!I581</f>
        <v>37618.7</v>
      </c>
      <c r="O581" s="52" t="n">
        <f aca="false">Sales_Transactions!J581</f>
        <v>26315.4</v>
      </c>
      <c r="P581" s="52" t="n">
        <f aca="false">Sales_Transactions!K581</f>
        <v>11303.3</v>
      </c>
      <c r="Q581" s="42" t="n">
        <f aca="false">IF(ISNUMBER(MATCH(E581,Product_Master!$A$2:$A$9,0)),0,1)</f>
        <v>0</v>
      </c>
      <c r="R581" s="42" t="n">
        <f aca="false">IF(ISNUMBER(MATCH(D581,Customer_Master!$A$2:$A$49,0)),0,1)</f>
        <v>0</v>
      </c>
      <c r="S581" s="42" t="n">
        <f aca="false">IF(ISNUMBER(MATCH(B581,Calendar!$A$2:$A$25,0)),0,1)</f>
        <v>0</v>
      </c>
      <c r="T581" s="42" t="n">
        <f aca="false">IF(COUNTIF(Sales_Transactions!$A$2:$A$865,A581)&gt;1,1,0)</f>
        <v>0</v>
      </c>
      <c r="U581" s="42" t="n">
        <f aca="false">IF(OR(ABS(Sales_Transactions!F581*Sales_Transactions!G581-Sales_Transactions!I581)&gt;0.01,ABS(Sales_Transactions!F581*Sales_Transactions!H581-Sales_Transactions!J581)&gt;0.01,ABS(Sales_Transactions!I581-Sales_Transactions!J581-Sales_Transactions!K581)&gt;0.01),1,0)</f>
        <v>0</v>
      </c>
      <c r="V581" s="42" t="n">
        <f aca="false">IF(C581&lt;&gt;L581,1,0)</f>
        <v>0</v>
      </c>
      <c r="W581" s="42" t="n">
        <f aca="false">IF(SUM(Q581:V581)&gt;0,1,0)</f>
        <v>0</v>
      </c>
    </row>
    <row r="582" customFormat="false" ht="15" hidden="false" customHeight="false" outlineLevel="0" collapsed="false">
      <c r="A582" s="42" t="str">
        <f aca="false">Sales_Transactions!A582</f>
        <v>INV-17-005</v>
      </c>
      <c r="B582" s="42" t="str">
        <f aca="false">Sales_Transactions!B582</f>
        <v>2026-05</v>
      </c>
      <c r="C582" s="42" t="str">
        <f aca="false">Sales_Transactions!C582</f>
        <v>Actual</v>
      </c>
      <c r="D582" s="42" t="str">
        <f aca="false">Sales_Transactions!D582</f>
        <v>C029</v>
      </c>
      <c r="E582" s="42" t="str">
        <f aca="false">Sales_Transactions!E582</f>
        <v>P005</v>
      </c>
      <c r="F582" s="42" t="str">
        <f aca="false">IFERROR(INDEX(Customer_Master!$C$2:$C$49,MATCH(D582,Customer_Master!$A$2:$A$49,0)),"UNMATCHED")</f>
        <v>South</v>
      </c>
      <c r="G582" s="42" t="str">
        <f aca="false">IFERROR(INDEX(Customer_Master!$D$2:$D$49,MATCH(D582,Customer_Master!$A$2:$A$49,0)),"UNMATCHED")</f>
        <v>Modern Trade</v>
      </c>
      <c r="H582" s="42" t="str">
        <f aca="false">IFERROR(INDEX(Product_Master!$C$2:$C$9,MATCH(E582,Product_Master!$A$2:$A$9,0)),"UNMATCHED")</f>
        <v>Foods</v>
      </c>
      <c r="I582" s="42" t="str">
        <f aca="false">IFERROR(INDEX(Product_Master!$B$2:$B$9,MATCH(E582,Product_Master!$A$2:$A$9,0)),"UNMATCHED")</f>
        <v>Biscuits 500g</v>
      </c>
      <c r="J582" s="42" t="n">
        <f aca="false">IFERROR(INDEX(Calendar!$B$2:$B$25,MATCH(B582,Calendar!$A$2:$A$25,0)),0)</f>
        <v>2026</v>
      </c>
      <c r="K582" s="42" t="n">
        <f aca="false">IFERROR(VALUE(RIGHT(B582,2)),0)</f>
        <v>5</v>
      </c>
      <c r="L582" s="42" t="str">
        <f aca="false">IFERROR(INDEX(Calendar!$E$2:$E$25,MATCH(B582,Calendar!$A$2:$A$25,0)),"UNMATCHED")</f>
        <v>Actual</v>
      </c>
      <c r="M582" s="42" t="n">
        <f aca="false">Sales_Transactions!F582</f>
        <v>312</v>
      </c>
      <c r="N582" s="52" t="n">
        <f aca="false">Sales_Transactions!I582</f>
        <v>34993.92</v>
      </c>
      <c r="O582" s="52" t="n">
        <f aca="false">Sales_Transactions!J582</f>
        <v>22102.08</v>
      </c>
      <c r="P582" s="52" t="n">
        <f aca="false">Sales_Transactions!K582</f>
        <v>12891.84</v>
      </c>
      <c r="Q582" s="42" t="n">
        <f aca="false">IF(ISNUMBER(MATCH(E582,Product_Master!$A$2:$A$9,0)),0,1)</f>
        <v>0</v>
      </c>
      <c r="R582" s="42" t="n">
        <f aca="false">IF(ISNUMBER(MATCH(D582,Customer_Master!$A$2:$A$49,0)),0,1)</f>
        <v>0</v>
      </c>
      <c r="S582" s="42" t="n">
        <f aca="false">IF(ISNUMBER(MATCH(B582,Calendar!$A$2:$A$25,0)),0,1)</f>
        <v>0</v>
      </c>
      <c r="T582" s="42" t="n">
        <f aca="false">IF(COUNTIF(Sales_Transactions!$A$2:$A$865,A582)&gt;1,1,0)</f>
        <v>0</v>
      </c>
      <c r="U582" s="42" t="n">
        <f aca="false">IF(OR(ABS(Sales_Transactions!F582*Sales_Transactions!G582-Sales_Transactions!I582)&gt;0.01,ABS(Sales_Transactions!F582*Sales_Transactions!H582-Sales_Transactions!J582)&gt;0.01,ABS(Sales_Transactions!I582-Sales_Transactions!J582-Sales_Transactions!K582)&gt;0.01),1,0)</f>
        <v>0</v>
      </c>
      <c r="V582" s="42" t="n">
        <f aca="false">IF(C582&lt;&gt;L582,1,0)</f>
        <v>0</v>
      </c>
      <c r="W582" s="42" t="n">
        <f aca="false">IF(SUM(Q582:V582)&gt;0,1,0)</f>
        <v>0</v>
      </c>
    </row>
    <row r="583" customFormat="false" ht="15" hidden="false" customHeight="false" outlineLevel="0" collapsed="false">
      <c r="A583" s="42" t="str">
        <f aca="false">Sales_Transactions!A583</f>
        <v>INV-17-006</v>
      </c>
      <c r="B583" s="42" t="str">
        <f aca="false">Sales_Transactions!B583</f>
        <v>2026-05</v>
      </c>
      <c r="C583" s="42" t="str">
        <f aca="false">Sales_Transactions!C583</f>
        <v>Actual</v>
      </c>
      <c r="D583" s="42" t="str">
        <f aca="false">Sales_Transactions!D583</f>
        <v>C036</v>
      </c>
      <c r="E583" s="42" t="str">
        <f aca="false">Sales_Transactions!E583</f>
        <v>P002</v>
      </c>
      <c r="F583" s="42" t="str">
        <f aca="false">IFERROR(INDEX(Customer_Master!$C$2:$C$49,MATCH(D583,Customer_Master!$A$2:$A$49,0)),"UNMATCHED")</f>
        <v>East</v>
      </c>
      <c r="G583" s="42" t="str">
        <f aca="false">IFERROR(INDEX(Customer_Master!$D$2:$D$49,MATCH(D583,Customer_Master!$A$2:$A$49,0)),"UNMATCHED")</f>
        <v>Retail</v>
      </c>
      <c r="H583" s="42" t="str">
        <f aca="false">IFERROR(INDEX(Product_Master!$C$2:$C$9,MATCH(E583,Product_Master!$A$2:$A$9,0)),"UNMATCHED")</f>
        <v>Home Care</v>
      </c>
      <c r="I583" s="42" t="str">
        <f aca="false">IFERROR(INDEX(Product_Master!$B$2:$B$9,MATCH(E583,Product_Master!$A$2:$A$9,0)),"UNMATCHED")</f>
        <v>Dishwash Gel</v>
      </c>
      <c r="J583" s="42" t="n">
        <f aca="false">IFERROR(INDEX(Calendar!$B$2:$B$25,MATCH(B583,Calendar!$A$2:$A$25,0)),0)</f>
        <v>2026</v>
      </c>
      <c r="K583" s="42" t="n">
        <f aca="false">IFERROR(VALUE(RIGHT(B583,2)),0)</f>
        <v>5</v>
      </c>
      <c r="L583" s="42" t="str">
        <f aca="false">IFERROR(INDEX(Calendar!$E$2:$E$25,MATCH(B583,Calendar!$A$2:$A$25,0)),"UNMATCHED")</f>
        <v>Actual</v>
      </c>
      <c r="M583" s="42" t="n">
        <f aca="false">Sales_Transactions!F583</f>
        <v>248</v>
      </c>
      <c r="N583" s="52" t="n">
        <f aca="false">Sales_Transactions!I583</f>
        <v>35126.72</v>
      </c>
      <c r="O583" s="52" t="n">
        <f aca="false">Sales_Transactions!J583</f>
        <v>21253.6</v>
      </c>
      <c r="P583" s="52" t="n">
        <f aca="false">Sales_Transactions!K583</f>
        <v>13873.12</v>
      </c>
      <c r="Q583" s="42" t="n">
        <f aca="false">IF(ISNUMBER(MATCH(E583,Product_Master!$A$2:$A$9,0)),0,1)</f>
        <v>0</v>
      </c>
      <c r="R583" s="42" t="n">
        <f aca="false">IF(ISNUMBER(MATCH(D583,Customer_Master!$A$2:$A$49,0)),0,1)</f>
        <v>0</v>
      </c>
      <c r="S583" s="42" t="n">
        <f aca="false">IF(ISNUMBER(MATCH(B583,Calendar!$A$2:$A$25,0)),0,1)</f>
        <v>0</v>
      </c>
      <c r="T583" s="42" t="n">
        <f aca="false">IF(COUNTIF(Sales_Transactions!$A$2:$A$865,A583)&gt;1,1,0)</f>
        <v>0</v>
      </c>
      <c r="U583" s="42" t="n">
        <f aca="false">IF(OR(ABS(Sales_Transactions!F583*Sales_Transactions!G583-Sales_Transactions!I583)&gt;0.01,ABS(Sales_Transactions!F583*Sales_Transactions!H583-Sales_Transactions!J583)&gt;0.01,ABS(Sales_Transactions!I583-Sales_Transactions!J583-Sales_Transactions!K583)&gt;0.01),1,0)</f>
        <v>0</v>
      </c>
      <c r="V583" s="42" t="n">
        <f aca="false">IF(C583&lt;&gt;L583,1,0)</f>
        <v>0</v>
      </c>
      <c r="W583" s="42" t="n">
        <f aca="false">IF(SUM(Q583:V583)&gt;0,1,0)</f>
        <v>0</v>
      </c>
    </row>
    <row r="584" customFormat="false" ht="15" hidden="false" customHeight="false" outlineLevel="0" collapsed="false">
      <c r="A584" s="42" t="str">
        <f aca="false">Sales_Transactions!A584</f>
        <v>INV-17-007</v>
      </c>
      <c r="B584" s="42" t="str">
        <f aca="false">Sales_Transactions!B584</f>
        <v>2026-05</v>
      </c>
      <c r="C584" s="42" t="str">
        <f aca="false">Sales_Transactions!C584</f>
        <v>Actual</v>
      </c>
      <c r="D584" s="42" t="str">
        <f aca="false">Sales_Transactions!D584</f>
        <v>C043</v>
      </c>
      <c r="E584" s="42" t="str">
        <f aca="false">Sales_Transactions!E584</f>
        <v>P007</v>
      </c>
      <c r="F584" s="42" t="str">
        <f aca="false">IFERROR(INDEX(Customer_Master!$C$2:$C$49,MATCH(D584,Customer_Master!$A$2:$A$49,0)),"UNMATCHED")</f>
        <v>West</v>
      </c>
      <c r="G584" s="42" t="str">
        <f aca="false">IFERROR(INDEX(Customer_Master!$D$2:$D$49,MATCH(D584,Customer_Master!$A$2:$A$49,0)),"UNMATCHED")</f>
        <v>Distributor</v>
      </c>
      <c r="H584" s="42" t="str">
        <f aca="false">IFERROR(INDEX(Product_Master!$C$2:$C$9,MATCH(E584,Product_Master!$A$2:$A$9,0)),"UNMATCHED")</f>
        <v>Home Care</v>
      </c>
      <c r="I584" s="42" t="str">
        <f aca="false">IFERROR(INDEX(Product_Master!$B$2:$B$9,MATCH(E584,Product_Master!$A$2:$A$9,0)),"UNMATCHED")</f>
        <v>Floor Cleaner</v>
      </c>
      <c r="J584" s="42" t="n">
        <f aca="false">IFERROR(INDEX(Calendar!$B$2:$B$25,MATCH(B584,Calendar!$A$2:$A$25,0)),0)</f>
        <v>2026</v>
      </c>
      <c r="K584" s="42" t="n">
        <f aca="false">IFERROR(VALUE(RIGHT(B584,2)),0)</f>
        <v>5</v>
      </c>
      <c r="L584" s="42" t="str">
        <f aca="false">IFERROR(INDEX(Calendar!$E$2:$E$25,MATCH(B584,Calendar!$A$2:$A$25,0)),"UNMATCHED")</f>
        <v>Actual</v>
      </c>
      <c r="M584" s="42" t="n">
        <f aca="false">Sales_Transactions!F584</f>
        <v>366</v>
      </c>
      <c r="N584" s="52" t="n">
        <f aca="false">Sales_Transactions!I584</f>
        <v>66791.34</v>
      </c>
      <c r="O584" s="52" t="n">
        <f aca="false">Sales_Transactions!J584</f>
        <v>43737</v>
      </c>
      <c r="P584" s="52" t="n">
        <f aca="false">Sales_Transactions!K584</f>
        <v>23054.34</v>
      </c>
      <c r="Q584" s="42" t="n">
        <f aca="false">IF(ISNUMBER(MATCH(E584,Product_Master!$A$2:$A$9,0)),0,1)</f>
        <v>0</v>
      </c>
      <c r="R584" s="42" t="n">
        <f aca="false">IF(ISNUMBER(MATCH(D584,Customer_Master!$A$2:$A$49,0)),0,1)</f>
        <v>0</v>
      </c>
      <c r="S584" s="42" t="n">
        <f aca="false">IF(ISNUMBER(MATCH(B584,Calendar!$A$2:$A$25,0)),0,1)</f>
        <v>0</v>
      </c>
      <c r="T584" s="42" t="n">
        <f aca="false">IF(COUNTIF(Sales_Transactions!$A$2:$A$865,A584)&gt;1,1,0)</f>
        <v>0</v>
      </c>
      <c r="U584" s="42" t="n">
        <f aca="false">IF(OR(ABS(Sales_Transactions!F584*Sales_Transactions!G584-Sales_Transactions!I584)&gt;0.01,ABS(Sales_Transactions!F584*Sales_Transactions!H584-Sales_Transactions!J584)&gt;0.01,ABS(Sales_Transactions!I584-Sales_Transactions!J584-Sales_Transactions!K584)&gt;0.01),1,0)</f>
        <v>0</v>
      </c>
      <c r="V584" s="42" t="n">
        <f aca="false">IF(C584&lt;&gt;L584,1,0)</f>
        <v>0</v>
      </c>
      <c r="W584" s="42" t="n">
        <f aca="false">IF(SUM(Q584:V584)&gt;0,1,0)</f>
        <v>0</v>
      </c>
    </row>
    <row r="585" customFormat="false" ht="15" hidden="false" customHeight="false" outlineLevel="0" collapsed="false">
      <c r="A585" s="42" t="str">
        <f aca="false">Sales_Transactions!A585</f>
        <v>INV-17-008</v>
      </c>
      <c r="B585" s="42" t="str">
        <f aca="false">Sales_Transactions!B585</f>
        <v>2026-05</v>
      </c>
      <c r="C585" s="42" t="str">
        <f aca="false">Sales_Transactions!C585</f>
        <v>Actual</v>
      </c>
      <c r="D585" s="42" t="str">
        <f aca="false">Sales_Transactions!D585</f>
        <v>C002</v>
      </c>
      <c r="E585" s="42" t="str">
        <f aca="false">Sales_Transactions!E585</f>
        <v>P004</v>
      </c>
      <c r="F585" s="42" t="str">
        <f aca="false">IFERROR(INDEX(Customer_Master!$C$2:$C$49,MATCH(D585,Customer_Master!$A$2:$A$49,0)),"UNMATCHED")</f>
        <v>North</v>
      </c>
      <c r="G585" s="42" t="str">
        <f aca="false">IFERROR(INDEX(Customer_Master!$D$2:$D$49,MATCH(D585,Customer_Master!$A$2:$A$49,0)),"UNMATCHED")</f>
        <v>Modern Trade</v>
      </c>
      <c r="H585" s="42" t="str">
        <f aca="false">IFERROR(INDEX(Product_Master!$C$2:$C$9,MATCH(E585,Product_Master!$A$2:$A$9,0)),"UNMATCHED")</f>
        <v>Personal Care</v>
      </c>
      <c r="I585" s="42" t="str">
        <f aca="false">IFERROR(INDEX(Product_Master!$B$2:$B$9,MATCH(E585,Product_Master!$A$2:$A$9,0)),"UNMATCHED")</f>
        <v>Soap 4-pack</v>
      </c>
      <c r="J585" s="42" t="n">
        <f aca="false">IFERROR(INDEX(Calendar!$B$2:$B$25,MATCH(B585,Calendar!$A$2:$A$25,0)),0)</f>
        <v>2026</v>
      </c>
      <c r="K585" s="42" t="n">
        <f aca="false">IFERROR(VALUE(RIGHT(B585,2)),0)</f>
        <v>5</v>
      </c>
      <c r="L585" s="42" t="str">
        <f aca="false">IFERROR(INDEX(Calendar!$E$2:$E$25,MATCH(B585,Calendar!$A$2:$A$25,0)),"UNMATCHED")</f>
        <v>Actual</v>
      </c>
      <c r="M585" s="42" t="n">
        <f aca="false">Sales_Transactions!F585</f>
        <v>165</v>
      </c>
      <c r="N585" s="52" t="n">
        <f aca="false">Sales_Transactions!I585</f>
        <v>28370.1</v>
      </c>
      <c r="O585" s="52" t="n">
        <f aca="false">Sales_Transactions!J585</f>
        <v>16968.6</v>
      </c>
      <c r="P585" s="52" t="n">
        <f aca="false">Sales_Transactions!K585</f>
        <v>11401.5</v>
      </c>
      <c r="Q585" s="42" t="n">
        <f aca="false">IF(ISNUMBER(MATCH(E585,Product_Master!$A$2:$A$9,0)),0,1)</f>
        <v>0</v>
      </c>
      <c r="R585" s="42" t="n">
        <f aca="false">IF(ISNUMBER(MATCH(D585,Customer_Master!$A$2:$A$49,0)),0,1)</f>
        <v>0</v>
      </c>
      <c r="S585" s="42" t="n">
        <f aca="false">IF(ISNUMBER(MATCH(B585,Calendar!$A$2:$A$25,0)),0,1)</f>
        <v>0</v>
      </c>
      <c r="T585" s="42" t="n">
        <f aca="false">IF(COUNTIF(Sales_Transactions!$A$2:$A$865,A585)&gt;1,1,0)</f>
        <v>0</v>
      </c>
      <c r="U585" s="42" t="n">
        <f aca="false">IF(OR(ABS(Sales_Transactions!F585*Sales_Transactions!G585-Sales_Transactions!I585)&gt;0.01,ABS(Sales_Transactions!F585*Sales_Transactions!H585-Sales_Transactions!J585)&gt;0.01,ABS(Sales_Transactions!I585-Sales_Transactions!J585-Sales_Transactions!K585)&gt;0.01),1,0)</f>
        <v>0</v>
      </c>
      <c r="V585" s="42" t="n">
        <f aca="false">IF(C585&lt;&gt;L585,1,0)</f>
        <v>0</v>
      </c>
      <c r="W585" s="42" t="n">
        <f aca="false">IF(SUM(Q585:V585)&gt;0,1,0)</f>
        <v>0</v>
      </c>
    </row>
    <row r="586" customFormat="false" ht="15" hidden="false" customHeight="false" outlineLevel="0" collapsed="false">
      <c r="A586" s="42" t="str">
        <f aca="false">Sales_Transactions!A586</f>
        <v>INV-17-009</v>
      </c>
      <c r="B586" s="42" t="str">
        <f aca="false">Sales_Transactions!B586</f>
        <v>2026-05</v>
      </c>
      <c r="C586" s="42" t="str">
        <f aca="false">Sales_Transactions!C586</f>
        <v>Actual</v>
      </c>
      <c r="D586" s="42" t="str">
        <f aca="false">Sales_Transactions!D586</f>
        <v>C009</v>
      </c>
      <c r="E586" s="42" t="str">
        <f aca="false">Sales_Transactions!E586</f>
        <v>P001</v>
      </c>
      <c r="F586" s="42" t="str">
        <f aca="false">IFERROR(INDEX(Customer_Master!$C$2:$C$49,MATCH(D586,Customer_Master!$A$2:$A$49,0)),"UNMATCHED")</f>
        <v>South</v>
      </c>
      <c r="G586" s="42" t="str">
        <f aca="false">IFERROR(INDEX(Customer_Master!$D$2:$D$49,MATCH(D586,Customer_Master!$A$2:$A$49,0)),"UNMATCHED")</f>
        <v>Retail</v>
      </c>
      <c r="H586" s="42" t="str">
        <f aca="false">IFERROR(INDEX(Product_Master!$C$2:$C$9,MATCH(E586,Product_Master!$A$2:$A$9,0)),"UNMATCHED")</f>
        <v>Home Care</v>
      </c>
      <c r="I586" s="42" t="str">
        <f aca="false">IFERROR(INDEX(Product_Master!$B$2:$B$9,MATCH(E586,Product_Master!$A$2:$A$9,0)),"UNMATCHED")</f>
        <v>Detergent 1kg</v>
      </c>
      <c r="J586" s="42" t="n">
        <f aca="false">IFERROR(INDEX(Calendar!$B$2:$B$25,MATCH(B586,Calendar!$A$2:$A$25,0)),0)</f>
        <v>2026</v>
      </c>
      <c r="K586" s="42" t="n">
        <f aca="false">IFERROR(VALUE(RIGHT(B586,2)),0)</f>
        <v>5</v>
      </c>
      <c r="L586" s="42" t="str">
        <f aca="false">IFERROR(INDEX(Calendar!$E$2:$E$25,MATCH(B586,Calendar!$A$2:$A$25,0)),"UNMATCHED")</f>
        <v>Actual</v>
      </c>
      <c r="M586" s="42" t="n">
        <f aca="false">Sales_Transactions!F586</f>
        <v>411</v>
      </c>
      <c r="N586" s="52" t="n">
        <f aca="false">Sales_Transactions!I586</f>
        <v>78768.15</v>
      </c>
      <c r="O586" s="52" t="n">
        <f aca="false">Sales_Transactions!J586</f>
        <v>54436.95</v>
      </c>
      <c r="P586" s="52" t="n">
        <f aca="false">Sales_Transactions!K586</f>
        <v>24331.2</v>
      </c>
      <c r="Q586" s="42" t="n">
        <f aca="false">IF(ISNUMBER(MATCH(E586,Product_Master!$A$2:$A$9,0)),0,1)</f>
        <v>0</v>
      </c>
      <c r="R586" s="42" t="n">
        <f aca="false">IF(ISNUMBER(MATCH(D586,Customer_Master!$A$2:$A$49,0)),0,1)</f>
        <v>0</v>
      </c>
      <c r="S586" s="42" t="n">
        <f aca="false">IF(ISNUMBER(MATCH(B586,Calendar!$A$2:$A$25,0)),0,1)</f>
        <v>0</v>
      </c>
      <c r="T586" s="42" t="n">
        <f aca="false">IF(COUNTIF(Sales_Transactions!$A$2:$A$865,A586)&gt;1,1,0)</f>
        <v>0</v>
      </c>
      <c r="U586" s="42" t="n">
        <f aca="false">IF(OR(ABS(Sales_Transactions!F586*Sales_Transactions!G586-Sales_Transactions!I586)&gt;0.01,ABS(Sales_Transactions!F586*Sales_Transactions!H586-Sales_Transactions!J586)&gt;0.01,ABS(Sales_Transactions!I586-Sales_Transactions!J586-Sales_Transactions!K586)&gt;0.01),1,0)</f>
        <v>0</v>
      </c>
      <c r="V586" s="42" t="n">
        <f aca="false">IF(C586&lt;&gt;L586,1,0)</f>
        <v>0</v>
      </c>
      <c r="W586" s="42" t="n">
        <f aca="false">IF(SUM(Q586:V586)&gt;0,1,0)</f>
        <v>0</v>
      </c>
    </row>
    <row r="587" customFormat="false" ht="15" hidden="false" customHeight="false" outlineLevel="0" collapsed="false">
      <c r="A587" s="42" t="str">
        <f aca="false">Sales_Transactions!A587</f>
        <v>INV-17-010</v>
      </c>
      <c r="B587" s="42" t="str">
        <f aca="false">Sales_Transactions!B587</f>
        <v>2026-05</v>
      </c>
      <c r="C587" s="42" t="str">
        <f aca="false">Sales_Transactions!C587</f>
        <v>Actual</v>
      </c>
      <c r="D587" s="42" t="str">
        <f aca="false">Sales_Transactions!D587</f>
        <v>C016</v>
      </c>
      <c r="E587" s="42" t="str">
        <f aca="false">Sales_Transactions!E587</f>
        <v>P006</v>
      </c>
      <c r="F587" s="42" t="str">
        <f aca="false">IFERROR(INDEX(Customer_Master!$C$2:$C$49,MATCH(D587,Customer_Master!$A$2:$A$49,0)),"UNMATCHED")</f>
        <v>East</v>
      </c>
      <c r="G587" s="42" t="str">
        <f aca="false">IFERROR(INDEX(Customer_Master!$D$2:$D$49,MATCH(D587,Customer_Master!$A$2:$A$49,0)),"UNMATCHED")</f>
        <v>Distributor</v>
      </c>
      <c r="H587" s="42" t="str">
        <f aca="false">IFERROR(INDEX(Product_Master!$C$2:$C$9,MATCH(E587,Product_Master!$A$2:$A$9,0)),"UNMATCHED")</f>
        <v>Foods</v>
      </c>
      <c r="I587" s="42" t="str">
        <f aca="false">IFERROR(INDEX(Product_Master!$B$2:$B$9,MATCH(E587,Product_Master!$A$2:$A$9,0)),"UNMATCHED")</f>
        <v>Breakfast Cereal</v>
      </c>
      <c r="J587" s="42" t="n">
        <f aca="false">IFERROR(INDEX(Calendar!$B$2:$B$25,MATCH(B587,Calendar!$A$2:$A$25,0)),0)</f>
        <v>2026</v>
      </c>
      <c r="K587" s="42" t="n">
        <f aca="false">IFERROR(VALUE(RIGHT(B587,2)),0)</f>
        <v>5</v>
      </c>
      <c r="L587" s="42" t="str">
        <f aca="false">IFERROR(INDEX(Calendar!$E$2:$E$25,MATCH(B587,Calendar!$A$2:$A$25,0)),"UNMATCHED")</f>
        <v>Actual</v>
      </c>
      <c r="M587" s="42" t="n">
        <f aca="false">Sales_Transactions!F587</f>
        <v>199</v>
      </c>
      <c r="N587" s="52" t="n">
        <f aca="false">Sales_Transactions!I587</f>
        <v>45963.03</v>
      </c>
      <c r="O587" s="52" t="n">
        <f aca="false">Sales_Transactions!J587</f>
        <v>30550.48</v>
      </c>
      <c r="P587" s="52" t="n">
        <f aca="false">Sales_Transactions!K587</f>
        <v>15412.55</v>
      </c>
      <c r="Q587" s="42" t="n">
        <f aca="false">IF(ISNUMBER(MATCH(E587,Product_Master!$A$2:$A$9,0)),0,1)</f>
        <v>0</v>
      </c>
      <c r="R587" s="42" t="n">
        <f aca="false">IF(ISNUMBER(MATCH(D587,Customer_Master!$A$2:$A$49,0)),0,1)</f>
        <v>0</v>
      </c>
      <c r="S587" s="42" t="n">
        <f aca="false">IF(ISNUMBER(MATCH(B587,Calendar!$A$2:$A$25,0)),0,1)</f>
        <v>0</v>
      </c>
      <c r="T587" s="42" t="n">
        <f aca="false">IF(COUNTIF(Sales_Transactions!$A$2:$A$865,A587)&gt;1,1,0)</f>
        <v>0</v>
      </c>
      <c r="U587" s="42" t="n">
        <f aca="false">IF(OR(ABS(Sales_Transactions!F587*Sales_Transactions!G587-Sales_Transactions!I587)&gt;0.01,ABS(Sales_Transactions!F587*Sales_Transactions!H587-Sales_Transactions!J587)&gt;0.01,ABS(Sales_Transactions!I587-Sales_Transactions!J587-Sales_Transactions!K587)&gt;0.01),1,0)</f>
        <v>0</v>
      </c>
      <c r="V587" s="42" t="n">
        <f aca="false">IF(C587&lt;&gt;L587,1,0)</f>
        <v>0</v>
      </c>
      <c r="W587" s="42" t="n">
        <f aca="false">IF(SUM(Q587:V587)&gt;0,1,0)</f>
        <v>0</v>
      </c>
    </row>
    <row r="588" customFormat="false" ht="15" hidden="false" customHeight="false" outlineLevel="0" collapsed="false">
      <c r="A588" s="42" t="str">
        <f aca="false">Sales_Transactions!A588</f>
        <v>INV-17-011</v>
      </c>
      <c r="B588" s="42" t="str">
        <f aca="false">Sales_Transactions!B588</f>
        <v>2026-05</v>
      </c>
      <c r="C588" s="42" t="str">
        <f aca="false">Sales_Transactions!C588</f>
        <v>Actual</v>
      </c>
      <c r="D588" s="42" t="str">
        <f aca="false">Sales_Transactions!D588</f>
        <v>C023</v>
      </c>
      <c r="E588" s="42" t="str">
        <f aca="false">Sales_Transactions!E588</f>
        <v>P003</v>
      </c>
      <c r="F588" s="42" t="str">
        <f aca="false">IFERROR(INDEX(Customer_Master!$C$2:$C$49,MATCH(D588,Customer_Master!$A$2:$A$49,0)),"UNMATCHED")</f>
        <v>West</v>
      </c>
      <c r="G588" s="42" t="str">
        <f aca="false">IFERROR(INDEX(Customer_Master!$D$2:$D$49,MATCH(D588,Customer_Master!$A$2:$A$49,0)),"UNMATCHED")</f>
        <v>Modern Trade</v>
      </c>
      <c r="H588" s="42" t="str">
        <f aca="false">IFERROR(INDEX(Product_Master!$C$2:$C$9,MATCH(E588,Product_Master!$A$2:$A$9,0)),"UNMATCHED")</f>
        <v>Personal Care</v>
      </c>
      <c r="I588" s="42" t="str">
        <f aca="false">IFERROR(INDEX(Product_Master!$B$2:$B$9,MATCH(E588,Product_Master!$A$2:$A$9,0)),"UNMATCHED")</f>
        <v>Shampoo 400ml</v>
      </c>
      <c r="J588" s="42" t="n">
        <f aca="false">IFERROR(INDEX(Calendar!$B$2:$B$25,MATCH(B588,Calendar!$A$2:$A$25,0)),0)</f>
        <v>2026</v>
      </c>
      <c r="K588" s="42" t="n">
        <f aca="false">IFERROR(VALUE(RIGHT(B588,2)),0)</f>
        <v>5</v>
      </c>
      <c r="L588" s="42" t="str">
        <f aca="false">IFERROR(INDEX(Calendar!$E$2:$E$25,MATCH(B588,Calendar!$A$2:$A$25,0)),"UNMATCHED")</f>
        <v>Actual</v>
      </c>
      <c r="M588" s="42" t="n">
        <f aca="false">Sales_Transactions!F588</f>
        <v>156</v>
      </c>
      <c r="N588" s="52" t="n">
        <f aca="false">Sales_Transactions!I588</f>
        <v>40219.92</v>
      </c>
      <c r="O588" s="52" t="n">
        <f aca="false">Sales_Transactions!J588</f>
        <v>27190.8</v>
      </c>
      <c r="P588" s="52" t="n">
        <f aca="false">Sales_Transactions!K588</f>
        <v>13029.12</v>
      </c>
      <c r="Q588" s="42" t="n">
        <f aca="false">IF(ISNUMBER(MATCH(E588,Product_Master!$A$2:$A$9,0)),0,1)</f>
        <v>0</v>
      </c>
      <c r="R588" s="42" t="n">
        <f aca="false">IF(ISNUMBER(MATCH(D588,Customer_Master!$A$2:$A$49,0)),0,1)</f>
        <v>0</v>
      </c>
      <c r="S588" s="42" t="n">
        <f aca="false">IF(ISNUMBER(MATCH(B588,Calendar!$A$2:$A$25,0)),0,1)</f>
        <v>0</v>
      </c>
      <c r="T588" s="42" t="n">
        <f aca="false">IF(COUNTIF(Sales_Transactions!$A$2:$A$865,A588)&gt;1,1,0)</f>
        <v>0</v>
      </c>
      <c r="U588" s="42" t="n">
        <f aca="false">IF(OR(ABS(Sales_Transactions!F588*Sales_Transactions!G588-Sales_Transactions!I588)&gt;0.01,ABS(Sales_Transactions!F588*Sales_Transactions!H588-Sales_Transactions!J588)&gt;0.01,ABS(Sales_Transactions!I588-Sales_Transactions!J588-Sales_Transactions!K588)&gt;0.01),1,0)</f>
        <v>0</v>
      </c>
      <c r="V588" s="42" t="n">
        <f aca="false">IF(C588&lt;&gt;L588,1,0)</f>
        <v>0</v>
      </c>
      <c r="W588" s="42" t="n">
        <f aca="false">IF(SUM(Q588:V588)&gt;0,1,0)</f>
        <v>0</v>
      </c>
    </row>
    <row r="589" customFormat="false" ht="15" hidden="false" customHeight="false" outlineLevel="0" collapsed="false">
      <c r="A589" s="42" t="str">
        <f aca="false">Sales_Transactions!A589</f>
        <v>INV-17-012</v>
      </c>
      <c r="B589" s="42" t="str">
        <f aca="false">Sales_Transactions!B589</f>
        <v>2026-05</v>
      </c>
      <c r="C589" s="42" t="str">
        <f aca="false">Sales_Transactions!C589</f>
        <v>Actual</v>
      </c>
      <c r="D589" s="42" t="str">
        <f aca="false">Sales_Transactions!D589</f>
        <v>C030</v>
      </c>
      <c r="E589" s="42" t="str">
        <f aca="false">Sales_Transactions!E589</f>
        <v>P008</v>
      </c>
      <c r="F589" s="42" t="str">
        <f aca="false">IFERROR(INDEX(Customer_Master!$C$2:$C$49,MATCH(D589,Customer_Master!$A$2:$A$49,0)),"UNMATCHED")</f>
        <v>North</v>
      </c>
      <c r="G589" s="42" t="str">
        <f aca="false">IFERROR(INDEX(Customer_Master!$D$2:$D$49,MATCH(D589,Customer_Master!$A$2:$A$49,0)),"UNMATCHED")</f>
        <v>Retail</v>
      </c>
      <c r="H589" s="42" t="str">
        <f aca="false">IFERROR(INDEX(Product_Master!$C$2:$C$9,MATCH(E589,Product_Master!$A$2:$A$9,0)),"UNMATCHED")</f>
        <v>Personal Care</v>
      </c>
      <c r="I589" s="42" t="str">
        <f aca="false">IFERROR(INDEX(Product_Master!$B$2:$B$9,MATCH(E589,Product_Master!$A$2:$A$9,0)),"UNMATCHED")</f>
        <v>Body Lotion</v>
      </c>
      <c r="J589" s="42" t="n">
        <f aca="false">IFERROR(INDEX(Calendar!$B$2:$B$25,MATCH(B589,Calendar!$A$2:$A$25,0)),0)</f>
        <v>2026</v>
      </c>
      <c r="K589" s="42" t="n">
        <f aca="false">IFERROR(VALUE(RIGHT(B589,2)),0)</f>
        <v>5</v>
      </c>
      <c r="L589" s="42" t="str">
        <f aca="false">IFERROR(INDEX(Calendar!$E$2:$E$25,MATCH(B589,Calendar!$A$2:$A$25,0)),"UNMATCHED")</f>
        <v>Actual</v>
      </c>
      <c r="M589" s="42" t="n">
        <f aca="false">Sales_Transactions!F589</f>
        <v>269</v>
      </c>
      <c r="N589" s="52" t="n">
        <f aca="false">Sales_Transactions!I589</f>
        <v>84105.54</v>
      </c>
      <c r="O589" s="52" t="n">
        <f aca="false">Sales_Transactions!J589</f>
        <v>54569.34</v>
      </c>
      <c r="P589" s="52" t="n">
        <f aca="false">Sales_Transactions!K589</f>
        <v>29536.2</v>
      </c>
      <c r="Q589" s="42" t="n">
        <f aca="false">IF(ISNUMBER(MATCH(E589,Product_Master!$A$2:$A$9,0)),0,1)</f>
        <v>0</v>
      </c>
      <c r="R589" s="42" t="n">
        <f aca="false">IF(ISNUMBER(MATCH(D589,Customer_Master!$A$2:$A$49,0)),0,1)</f>
        <v>0</v>
      </c>
      <c r="S589" s="42" t="n">
        <f aca="false">IF(ISNUMBER(MATCH(B589,Calendar!$A$2:$A$25,0)),0,1)</f>
        <v>0</v>
      </c>
      <c r="T589" s="42" t="n">
        <f aca="false">IF(COUNTIF(Sales_Transactions!$A$2:$A$865,A589)&gt;1,1,0)</f>
        <v>0</v>
      </c>
      <c r="U589" s="42" t="n">
        <f aca="false">IF(OR(ABS(Sales_Transactions!F589*Sales_Transactions!G589-Sales_Transactions!I589)&gt;0.01,ABS(Sales_Transactions!F589*Sales_Transactions!H589-Sales_Transactions!J589)&gt;0.01,ABS(Sales_Transactions!I589-Sales_Transactions!J589-Sales_Transactions!K589)&gt;0.01),1,0)</f>
        <v>0</v>
      </c>
      <c r="V589" s="42" t="n">
        <f aca="false">IF(C589&lt;&gt;L589,1,0)</f>
        <v>0</v>
      </c>
      <c r="W589" s="42" t="n">
        <f aca="false">IF(SUM(Q589:V589)&gt;0,1,0)</f>
        <v>0</v>
      </c>
    </row>
    <row r="590" customFormat="false" ht="15" hidden="false" customHeight="false" outlineLevel="0" collapsed="false">
      <c r="A590" s="42" t="str">
        <f aca="false">Sales_Transactions!A590</f>
        <v>INV-17-013</v>
      </c>
      <c r="B590" s="42" t="str">
        <f aca="false">Sales_Transactions!B590</f>
        <v>2026-05</v>
      </c>
      <c r="C590" s="42" t="str">
        <f aca="false">Sales_Transactions!C590</f>
        <v>Actual</v>
      </c>
      <c r="D590" s="42" t="str">
        <f aca="false">Sales_Transactions!D590</f>
        <v>C037</v>
      </c>
      <c r="E590" s="42" t="str">
        <f aca="false">Sales_Transactions!E590</f>
        <v>P005</v>
      </c>
      <c r="F590" s="42" t="str">
        <f aca="false">IFERROR(INDEX(Customer_Master!$C$2:$C$49,MATCH(D590,Customer_Master!$A$2:$A$49,0)),"UNMATCHED")</f>
        <v>South</v>
      </c>
      <c r="G590" s="42" t="str">
        <f aca="false">IFERROR(INDEX(Customer_Master!$D$2:$D$49,MATCH(D590,Customer_Master!$A$2:$A$49,0)),"UNMATCHED")</f>
        <v>Distributor</v>
      </c>
      <c r="H590" s="42" t="str">
        <f aca="false">IFERROR(INDEX(Product_Master!$C$2:$C$9,MATCH(E590,Product_Master!$A$2:$A$9,0)),"UNMATCHED")</f>
        <v>Foods</v>
      </c>
      <c r="I590" s="42" t="str">
        <f aca="false">IFERROR(INDEX(Product_Master!$B$2:$B$9,MATCH(E590,Product_Master!$A$2:$A$9,0)),"UNMATCHED")</f>
        <v>Biscuits 500g</v>
      </c>
      <c r="J590" s="42" t="n">
        <f aca="false">IFERROR(INDEX(Calendar!$B$2:$B$25,MATCH(B590,Calendar!$A$2:$A$25,0)),0)</f>
        <v>2026</v>
      </c>
      <c r="K590" s="42" t="n">
        <f aca="false">IFERROR(VALUE(RIGHT(B590,2)),0)</f>
        <v>5</v>
      </c>
      <c r="L590" s="42" t="str">
        <f aca="false">IFERROR(INDEX(Calendar!$E$2:$E$25,MATCH(B590,Calendar!$A$2:$A$25,0)),"UNMATCHED")</f>
        <v>Actual</v>
      </c>
      <c r="M590" s="42" t="n">
        <f aca="false">Sales_Transactions!F590</f>
        <v>367</v>
      </c>
      <c r="N590" s="52" t="n">
        <f aca="false">Sales_Transactions!I590</f>
        <v>36611.92</v>
      </c>
      <c r="O590" s="52" t="n">
        <f aca="false">Sales_Transactions!J590</f>
        <v>26214.81</v>
      </c>
      <c r="P590" s="52" t="n">
        <f aca="false">Sales_Transactions!K590</f>
        <v>10397.11</v>
      </c>
      <c r="Q590" s="42" t="n">
        <f aca="false">IF(ISNUMBER(MATCH(E590,Product_Master!$A$2:$A$9,0)),0,1)</f>
        <v>0</v>
      </c>
      <c r="R590" s="42" t="n">
        <f aca="false">IF(ISNUMBER(MATCH(D590,Customer_Master!$A$2:$A$49,0)),0,1)</f>
        <v>0</v>
      </c>
      <c r="S590" s="42" t="n">
        <f aca="false">IF(ISNUMBER(MATCH(B590,Calendar!$A$2:$A$25,0)),0,1)</f>
        <v>0</v>
      </c>
      <c r="T590" s="42" t="n">
        <f aca="false">IF(COUNTIF(Sales_Transactions!$A$2:$A$865,A590)&gt;1,1,0)</f>
        <v>0</v>
      </c>
      <c r="U590" s="42" t="n">
        <f aca="false">IF(OR(ABS(Sales_Transactions!F590*Sales_Transactions!G590-Sales_Transactions!I590)&gt;0.01,ABS(Sales_Transactions!F590*Sales_Transactions!H590-Sales_Transactions!J590)&gt;0.01,ABS(Sales_Transactions!I590-Sales_Transactions!J590-Sales_Transactions!K590)&gt;0.01),1,0)</f>
        <v>0</v>
      </c>
      <c r="V590" s="42" t="n">
        <f aca="false">IF(C590&lt;&gt;L590,1,0)</f>
        <v>0</v>
      </c>
      <c r="W590" s="42" t="n">
        <f aca="false">IF(SUM(Q590:V590)&gt;0,1,0)</f>
        <v>0</v>
      </c>
    </row>
    <row r="591" customFormat="false" ht="15" hidden="false" customHeight="false" outlineLevel="0" collapsed="false">
      <c r="A591" s="42" t="str">
        <f aca="false">Sales_Transactions!A591</f>
        <v>INV-17-014</v>
      </c>
      <c r="B591" s="42" t="str">
        <f aca="false">Sales_Transactions!B591</f>
        <v>2026-05</v>
      </c>
      <c r="C591" s="42" t="str">
        <f aca="false">Sales_Transactions!C591</f>
        <v>Actual</v>
      </c>
      <c r="D591" s="42" t="str">
        <f aca="false">Sales_Transactions!D591</f>
        <v>C044</v>
      </c>
      <c r="E591" s="42" t="str">
        <f aca="false">Sales_Transactions!E591</f>
        <v>P002</v>
      </c>
      <c r="F591" s="42" t="str">
        <f aca="false">IFERROR(INDEX(Customer_Master!$C$2:$C$49,MATCH(D591,Customer_Master!$A$2:$A$49,0)),"UNMATCHED")</f>
        <v>East</v>
      </c>
      <c r="G591" s="42" t="str">
        <f aca="false">IFERROR(INDEX(Customer_Master!$D$2:$D$49,MATCH(D591,Customer_Master!$A$2:$A$49,0)),"UNMATCHED")</f>
        <v>Modern Trade</v>
      </c>
      <c r="H591" s="42" t="str">
        <f aca="false">IFERROR(INDEX(Product_Master!$C$2:$C$9,MATCH(E591,Product_Master!$A$2:$A$9,0)),"UNMATCHED")</f>
        <v>Home Care</v>
      </c>
      <c r="I591" s="42" t="str">
        <f aca="false">IFERROR(INDEX(Product_Master!$B$2:$B$9,MATCH(E591,Product_Master!$A$2:$A$9,0)),"UNMATCHED")</f>
        <v>Dishwash Gel</v>
      </c>
      <c r="J591" s="42" t="n">
        <f aca="false">IFERROR(INDEX(Calendar!$B$2:$B$25,MATCH(B591,Calendar!$A$2:$A$25,0)),0)</f>
        <v>2026</v>
      </c>
      <c r="K591" s="42" t="n">
        <f aca="false">IFERROR(VALUE(RIGHT(B591,2)),0)</f>
        <v>5</v>
      </c>
      <c r="L591" s="42" t="str">
        <f aca="false">IFERROR(INDEX(Calendar!$E$2:$E$25,MATCH(B591,Calendar!$A$2:$A$25,0)),"UNMATCHED")</f>
        <v>Actual</v>
      </c>
      <c r="M591" s="42" t="n">
        <f aca="false">Sales_Transactions!F591</f>
        <v>118</v>
      </c>
      <c r="N591" s="52" t="n">
        <f aca="false">Sales_Transactions!I591</f>
        <v>15915.84</v>
      </c>
      <c r="O591" s="52" t="n">
        <f aca="false">Sales_Transactions!J591</f>
        <v>10450.08</v>
      </c>
      <c r="P591" s="52" t="n">
        <f aca="false">Sales_Transactions!K591</f>
        <v>5465.76</v>
      </c>
      <c r="Q591" s="42" t="n">
        <f aca="false">IF(ISNUMBER(MATCH(E591,Product_Master!$A$2:$A$9,0)),0,1)</f>
        <v>0</v>
      </c>
      <c r="R591" s="42" t="n">
        <f aca="false">IF(ISNUMBER(MATCH(D591,Customer_Master!$A$2:$A$49,0)),0,1)</f>
        <v>0</v>
      </c>
      <c r="S591" s="42" t="n">
        <f aca="false">IF(ISNUMBER(MATCH(B591,Calendar!$A$2:$A$25,0)),0,1)</f>
        <v>0</v>
      </c>
      <c r="T591" s="42" t="n">
        <f aca="false">IF(COUNTIF(Sales_Transactions!$A$2:$A$865,A591)&gt;1,1,0)</f>
        <v>0</v>
      </c>
      <c r="U591" s="42" t="n">
        <f aca="false">IF(OR(ABS(Sales_Transactions!F591*Sales_Transactions!G591-Sales_Transactions!I591)&gt;0.01,ABS(Sales_Transactions!F591*Sales_Transactions!H591-Sales_Transactions!J591)&gt;0.01,ABS(Sales_Transactions!I591-Sales_Transactions!J591-Sales_Transactions!K591)&gt;0.01),1,0)</f>
        <v>0</v>
      </c>
      <c r="V591" s="42" t="n">
        <f aca="false">IF(C591&lt;&gt;L591,1,0)</f>
        <v>0</v>
      </c>
      <c r="W591" s="42" t="n">
        <f aca="false">IF(SUM(Q591:V591)&gt;0,1,0)</f>
        <v>0</v>
      </c>
    </row>
    <row r="592" customFormat="false" ht="15" hidden="false" customHeight="false" outlineLevel="0" collapsed="false">
      <c r="A592" s="42" t="str">
        <f aca="false">Sales_Transactions!A592</f>
        <v>INV-17-015</v>
      </c>
      <c r="B592" s="42" t="str">
        <f aca="false">Sales_Transactions!B592</f>
        <v>2026-05</v>
      </c>
      <c r="C592" s="42" t="str">
        <f aca="false">Sales_Transactions!C592</f>
        <v>Actual</v>
      </c>
      <c r="D592" s="42" t="str">
        <f aca="false">Sales_Transactions!D592</f>
        <v>C003</v>
      </c>
      <c r="E592" s="42" t="str">
        <f aca="false">Sales_Transactions!E592</f>
        <v>P007</v>
      </c>
      <c r="F592" s="42" t="str">
        <f aca="false">IFERROR(INDEX(Customer_Master!$C$2:$C$49,MATCH(D592,Customer_Master!$A$2:$A$49,0)),"UNMATCHED")</f>
        <v>West</v>
      </c>
      <c r="G592" s="42" t="str">
        <f aca="false">IFERROR(INDEX(Customer_Master!$D$2:$D$49,MATCH(D592,Customer_Master!$A$2:$A$49,0)),"UNMATCHED")</f>
        <v>Retail</v>
      </c>
      <c r="H592" s="42" t="str">
        <f aca="false">IFERROR(INDEX(Product_Master!$C$2:$C$9,MATCH(E592,Product_Master!$A$2:$A$9,0)),"UNMATCHED")</f>
        <v>Home Care</v>
      </c>
      <c r="I592" s="42" t="str">
        <f aca="false">IFERROR(INDEX(Product_Master!$B$2:$B$9,MATCH(E592,Product_Master!$A$2:$A$9,0)),"UNMATCHED")</f>
        <v>Floor Cleaner</v>
      </c>
      <c r="J592" s="42" t="n">
        <f aca="false">IFERROR(INDEX(Calendar!$B$2:$B$25,MATCH(B592,Calendar!$A$2:$A$25,0)),0)</f>
        <v>2026</v>
      </c>
      <c r="K592" s="42" t="n">
        <f aca="false">IFERROR(VALUE(RIGHT(B592,2)),0)</f>
        <v>5</v>
      </c>
      <c r="L592" s="42" t="str">
        <f aca="false">IFERROR(INDEX(Calendar!$E$2:$E$25,MATCH(B592,Calendar!$A$2:$A$25,0)),"UNMATCHED")</f>
        <v>Actual</v>
      </c>
      <c r="M592" s="42" t="n">
        <f aca="false">Sales_Transactions!F592</f>
        <v>453</v>
      </c>
      <c r="N592" s="52" t="n">
        <f aca="false">Sales_Transactions!I592</f>
        <v>81956.76</v>
      </c>
      <c r="O592" s="52" t="n">
        <f aca="false">Sales_Transactions!J592</f>
        <v>51207.12</v>
      </c>
      <c r="P592" s="52" t="n">
        <f aca="false">Sales_Transactions!K592</f>
        <v>30749.64</v>
      </c>
      <c r="Q592" s="42" t="n">
        <f aca="false">IF(ISNUMBER(MATCH(E592,Product_Master!$A$2:$A$9,0)),0,1)</f>
        <v>0</v>
      </c>
      <c r="R592" s="42" t="n">
        <f aca="false">IF(ISNUMBER(MATCH(D592,Customer_Master!$A$2:$A$49,0)),0,1)</f>
        <v>0</v>
      </c>
      <c r="S592" s="42" t="n">
        <f aca="false">IF(ISNUMBER(MATCH(B592,Calendar!$A$2:$A$25,0)),0,1)</f>
        <v>0</v>
      </c>
      <c r="T592" s="42" t="n">
        <f aca="false">IF(COUNTIF(Sales_Transactions!$A$2:$A$865,A592)&gt;1,1,0)</f>
        <v>0</v>
      </c>
      <c r="U592" s="42" t="n">
        <f aca="false">IF(OR(ABS(Sales_Transactions!F592*Sales_Transactions!G592-Sales_Transactions!I592)&gt;0.01,ABS(Sales_Transactions!F592*Sales_Transactions!H592-Sales_Transactions!J592)&gt;0.01,ABS(Sales_Transactions!I592-Sales_Transactions!J592-Sales_Transactions!K592)&gt;0.01),1,0)</f>
        <v>0</v>
      </c>
      <c r="V592" s="42" t="n">
        <f aca="false">IF(C592&lt;&gt;L592,1,0)</f>
        <v>0</v>
      </c>
      <c r="W592" s="42" t="n">
        <f aca="false">IF(SUM(Q592:V592)&gt;0,1,0)</f>
        <v>0</v>
      </c>
    </row>
    <row r="593" customFormat="false" ht="15" hidden="false" customHeight="false" outlineLevel="0" collapsed="false">
      <c r="A593" s="42" t="str">
        <f aca="false">Sales_Transactions!A593</f>
        <v>INV-17-016</v>
      </c>
      <c r="B593" s="42" t="str">
        <f aca="false">Sales_Transactions!B593</f>
        <v>2026-05</v>
      </c>
      <c r="C593" s="42" t="str">
        <f aca="false">Sales_Transactions!C593</f>
        <v>Actual</v>
      </c>
      <c r="D593" s="42" t="str">
        <f aca="false">Sales_Transactions!D593</f>
        <v>C010</v>
      </c>
      <c r="E593" s="42" t="str">
        <f aca="false">Sales_Transactions!E593</f>
        <v>P004</v>
      </c>
      <c r="F593" s="42" t="str">
        <f aca="false">IFERROR(INDEX(Customer_Master!$C$2:$C$49,MATCH(D593,Customer_Master!$A$2:$A$49,0)),"UNMATCHED")</f>
        <v>North</v>
      </c>
      <c r="G593" s="42" t="str">
        <f aca="false">IFERROR(INDEX(Customer_Master!$D$2:$D$49,MATCH(D593,Customer_Master!$A$2:$A$49,0)),"UNMATCHED")</f>
        <v>Distributor</v>
      </c>
      <c r="H593" s="42" t="str">
        <f aca="false">IFERROR(INDEX(Product_Master!$C$2:$C$9,MATCH(E593,Product_Master!$A$2:$A$9,0)),"UNMATCHED")</f>
        <v>Personal Care</v>
      </c>
      <c r="I593" s="42" t="str">
        <f aca="false">IFERROR(INDEX(Product_Master!$B$2:$B$9,MATCH(E593,Product_Master!$A$2:$A$9,0)),"UNMATCHED")</f>
        <v>Soap 4-pack</v>
      </c>
      <c r="J593" s="42" t="n">
        <f aca="false">IFERROR(INDEX(Calendar!$B$2:$B$25,MATCH(B593,Calendar!$A$2:$A$25,0)),0)</f>
        <v>2026</v>
      </c>
      <c r="K593" s="42" t="n">
        <f aca="false">IFERROR(VALUE(RIGHT(B593,2)),0)</f>
        <v>5</v>
      </c>
      <c r="L593" s="42" t="str">
        <f aca="false">IFERROR(INDEX(Calendar!$E$2:$E$25,MATCH(B593,Calendar!$A$2:$A$25,0)),"UNMATCHED")</f>
        <v>Actual</v>
      </c>
      <c r="M593" s="42" t="n">
        <f aca="false">Sales_Transactions!F593</f>
        <v>294</v>
      </c>
      <c r="N593" s="52" t="n">
        <f aca="false">Sales_Transactions!I593</f>
        <v>51297.12</v>
      </c>
      <c r="O593" s="52" t="n">
        <f aca="false">Sales_Transactions!J593</f>
        <v>27344.94</v>
      </c>
      <c r="P593" s="52" t="n">
        <f aca="false">Sales_Transactions!K593</f>
        <v>23952.18</v>
      </c>
      <c r="Q593" s="42" t="n">
        <f aca="false">IF(ISNUMBER(MATCH(E593,Product_Master!$A$2:$A$9,0)),0,1)</f>
        <v>0</v>
      </c>
      <c r="R593" s="42" t="n">
        <f aca="false">IF(ISNUMBER(MATCH(D593,Customer_Master!$A$2:$A$49,0)),0,1)</f>
        <v>0</v>
      </c>
      <c r="S593" s="42" t="n">
        <f aca="false">IF(ISNUMBER(MATCH(B593,Calendar!$A$2:$A$25,0)),0,1)</f>
        <v>0</v>
      </c>
      <c r="T593" s="42" t="n">
        <f aca="false">IF(COUNTIF(Sales_Transactions!$A$2:$A$865,A593)&gt;1,1,0)</f>
        <v>0</v>
      </c>
      <c r="U593" s="42" t="n">
        <f aca="false">IF(OR(ABS(Sales_Transactions!F593*Sales_Transactions!G593-Sales_Transactions!I593)&gt;0.01,ABS(Sales_Transactions!F593*Sales_Transactions!H593-Sales_Transactions!J593)&gt;0.01,ABS(Sales_Transactions!I593-Sales_Transactions!J593-Sales_Transactions!K593)&gt;0.01),1,0)</f>
        <v>0</v>
      </c>
      <c r="V593" s="42" t="n">
        <f aca="false">IF(C593&lt;&gt;L593,1,0)</f>
        <v>0</v>
      </c>
      <c r="W593" s="42" t="n">
        <f aca="false">IF(SUM(Q593:V593)&gt;0,1,0)</f>
        <v>0</v>
      </c>
    </row>
    <row r="594" customFormat="false" ht="15" hidden="false" customHeight="false" outlineLevel="0" collapsed="false">
      <c r="A594" s="42" t="str">
        <f aca="false">Sales_Transactions!A594</f>
        <v>INV-17-017</v>
      </c>
      <c r="B594" s="42" t="str">
        <f aca="false">Sales_Transactions!B594</f>
        <v>2026-05</v>
      </c>
      <c r="C594" s="42" t="str">
        <f aca="false">Sales_Transactions!C594</f>
        <v>Actual</v>
      </c>
      <c r="D594" s="42" t="str">
        <f aca="false">Sales_Transactions!D594</f>
        <v>C017</v>
      </c>
      <c r="E594" s="42" t="str">
        <f aca="false">Sales_Transactions!E594</f>
        <v>P001</v>
      </c>
      <c r="F594" s="42" t="str">
        <f aca="false">IFERROR(INDEX(Customer_Master!$C$2:$C$49,MATCH(D594,Customer_Master!$A$2:$A$49,0)),"UNMATCHED")</f>
        <v>South</v>
      </c>
      <c r="G594" s="42" t="str">
        <f aca="false">IFERROR(INDEX(Customer_Master!$D$2:$D$49,MATCH(D594,Customer_Master!$A$2:$A$49,0)),"UNMATCHED")</f>
        <v>Modern Trade</v>
      </c>
      <c r="H594" s="42" t="str">
        <f aca="false">IFERROR(INDEX(Product_Master!$C$2:$C$9,MATCH(E594,Product_Master!$A$2:$A$9,0)),"UNMATCHED")</f>
        <v>Home Care</v>
      </c>
      <c r="I594" s="42" t="str">
        <f aca="false">IFERROR(INDEX(Product_Master!$B$2:$B$9,MATCH(E594,Product_Master!$A$2:$A$9,0)),"UNMATCHED")</f>
        <v>Detergent 1kg</v>
      </c>
      <c r="J594" s="42" t="n">
        <f aca="false">IFERROR(INDEX(Calendar!$B$2:$B$25,MATCH(B594,Calendar!$A$2:$A$25,0)),0)</f>
        <v>2026</v>
      </c>
      <c r="K594" s="42" t="n">
        <f aca="false">IFERROR(VALUE(RIGHT(B594,2)),0)</f>
        <v>5</v>
      </c>
      <c r="L594" s="42" t="str">
        <f aca="false">IFERROR(INDEX(Calendar!$E$2:$E$25,MATCH(B594,Calendar!$A$2:$A$25,0)),"UNMATCHED")</f>
        <v>Actual</v>
      </c>
      <c r="M594" s="42" t="n">
        <f aca="false">Sales_Transactions!F594</f>
        <v>247</v>
      </c>
      <c r="N594" s="52" t="n">
        <f aca="false">Sales_Transactions!I594</f>
        <v>50496.68</v>
      </c>
      <c r="O594" s="52" t="n">
        <f aca="false">Sales_Transactions!J594</f>
        <v>33060.95</v>
      </c>
      <c r="P594" s="52" t="n">
        <f aca="false">Sales_Transactions!K594</f>
        <v>17435.73</v>
      </c>
      <c r="Q594" s="42" t="n">
        <f aca="false">IF(ISNUMBER(MATCH(E594,Product_Master!$A$2:$A$9,0)),0,1)</f>
        <v>0</v>
      </c>
      <c r="R594" s="42" t="n">
        <f aca="false">IF(ISNUMBER(MATCH(D594,Customer_Master!$A$2:$A$49,0)),0,1)</f>
        <v>0</v>
      </c>
      <c r="S594" s="42" t="n">
        <f aca="false">IF(ISNUMBER(MATCH(B594,Calendar!$A$2:$A$25,0)),0,1)</f>
        <v>0</v>
      </c>
      <c r="T594" s="42" t="n">
        <f aca="false">IF(COUNTIF(Sales_Transactions!$A$2:$A$865,A594)&gt;1,1,0)</f>
        <v>0</v>
      </c>
      <c r="U594" s="42" t="n">
        <f aca="false">IF(OR(ABS(Sales_Transactions!F594*Sales_Transactions!G594-Sales_Transactions!I594)&gt;0.01,ABS(Sales_Transactions!F594*Sales_Transactions!H594-Sales_Transactions!J594)&gt;0.01,ABS(Sales_Transactions!I594-Sales_Transactions!J594-Sales_Transactions!K594)&gt;0.01),1,0)</f>
        <v>0</v>
      </c>
      <c r="V594" s="42" t="n">
        <f aca="false">IF(C594&lt;&gt;L594,1,0)</f>
        <v>0</v>
      </c>
      <c r="W594" s="42" t="n">
        <f aca="false">IF(SUM(Q594:V594)&gt;0,1,0)</f>
        <v>0</v>
      </c>
    </row>
    <row r="595" customFormat="false" ht="15" hidden="false" customHeight="false" outlineLevel="0" collapsed="false">
      <c r="A595" s="42" t="str">
        <f aca="false">Sales_Transactions!A595</f>
        <v>INV-17-018</v>
      </c>
      <c r="B595" s="42" t="str">
        <f aca="false">Sales_Transactions!B595</f>
        <v>2026-05</v>
      </c>
      <c r="C595" s="42" t="str">
        <f aca="false">Sales_Transactions!C595</f>
        <v>Actual</v>
      </c>
      <c r="D595" s="42" t="str">
        <f aca="false">Sales_Transactions!D595</f>
        <v>C024</v>
      </c>
      <c r="E595" s="42" t="str">
        <f aca="false">Sales_Transactions!E595</f>
        <v>P006</v>
      </c>
      <c r="F595" s="42" t="str">
        <f aca="false">IFERROR(INDEX(Customer_Master!$C$2:$C$49,MATCH(D595,Customer_Master!$A$2:$A$49,0)),"UNMATCHED")</f>
        <v>East</v>
      </c>
      <c r="G595" s="42" t="str">
        <f aca="false">IFERROR(INDEX(Customer_Master!$D$2:$D$49,MATCH(D595,Customer_Master!$A$2:$A$49,0)),"UNMATCHED")</f>
        <v>Retail</v>
      </c>
      <c r="H595" s="42" t="str">
        <f aca="false">IFERROR(INDEX(Product_Master!$C$2:$C$9,MATCH(E595,Product_Master!$A$2:$A$9,0)),"UNMATCHED")</f>
        <v>Foods</v>
      </c>
      <c r="I595" s="42" t="str">
        <f aca="false">IFERROR(INDEX(Product_Master!$B$2:$B$9,MATCH(E595,Product_Master!$A$2:$A$9,0)),"UNMATCHED")</f>
        <v>Breakfast Cereal</v>
      </c>
      <c r="J595" s="42" t="n">
        <f aca="false">IFERROR(INDEX(Calendar!$B$2:$B$25,MATCH(B595,Calendar!$A$2:$A$25,0)),0)</f>
        <v>2026</v>
      </c>
      <c r="K595" s="42" t="n">
        <f aca="false">IFERROR(VALUE(RIGHT(B595,2)),0)</f>
        <v>5</v>
      </c>
      <c r="L595" s="42" t="str">
        <f aca="false">IFERROR(INDEX(Calendar!$E$2:$E$25,MATCH(B595,Calendar!$A$2:$A$25,0)),"UNMATCHED")</f>
        <v>Actual</v>
      </c>
      <c r="M595" s="42" t="n">
        <f aca="false">Sales_Transactions!F595</f>
        <v>433</v>
      </c>
      <c r="N595" s="52" t="n">
        <f aca="false">Sales_Transactions!I595</f>
        <v>105695.3</v>
      </c>
      <c r="O595" s="52" t="n">
        <f aca="false">Sales_Transactions!J595</f>
        <v>65885.28</v>
      </c>
      <c r="P595" s="52" t="n">
        <f aca="false">Sales_Transactions!K595</f>
        <v>39810.02</v>
      </c>
      <c r="Q595" s="42" t="n">
        <f aca="false">IF(ISNUMBER(MATCH(E595,Product_Master!$A$2:$A$9,0)),0,1)</f>
        <v>0</v>
      </c>
      <c r="R595" s="42" t="n">
        <f aca="false">IF(ISNUMBER(MATCH(D595,Customer_Master!$A$2:$A$49,0)),0,1)</f>
        <v>0</v>
      </c>
      <c r="S595" s="42" t="n">
        <f aca="false">IF(ISNUMBER(MATCH(B595,Calendar!$A$2:$A$25,0)),0,1)</f>
        <v>0</v>
      </c>
      <c r="T595" s="42" t="n">
        <f aca="false">IF(COUNTIF(Sales_Transactions!$A$2:$A$865,A595)&gt;1,1,0)</f>
        <v>0</v>
      </c>
      <c r="U595" s="42" t="n">
        <f aca="false">IF(OR(ABS(Sales_Transactions!F595*Sales_Transactions!G595-Sales_Transactions!I595)&gt;0.01,ABS(Sales_Transactions!F595*Sales_Transactions!H595-Sales_Transactions!J595)&gt;0.01,ABS(Sales_Transactions!I595-Sales_Transactions!J595-Sales_Transactions!K595)&gt;0.01),1,0)</f>
        <v>0</v>
      </c>
      <c r="V595" s="42" t="n">
        <f aca="false">IF(C595&lt;&gt;L595,1,0)</f>
        <v>0</v>
      </c>
      <c r="W595" s="42" t="n">
        <f aca="false">IF(SUM(Q595:V595)&gt;0,1,0)</f>
        <v>0</v>
      </c>
    </row>
    <row r="596" customFormat="false" ht="15" hidden="false" customHeight="false" outlineLevel="0" collapsed="false">
      <c r="A596" s="42" t="str">
        <f aca="false">Sales_Transactions!A596</f>
        <v>INV-17-019</v>
      </c>
      <c r="B596" s="42" t="str">
        <f aca="false">Sales_Transactions!B596</f>
        <v>2026-05</v>
      </c>
      <c r="C596" s="42" t="str">
        <f aca="false">Sales_Transactions!C596</f>
        <v>Actual</v>
      </c>
      <c r="D596" s="42" t="str">
        <f aca="false">Sales_Transactions!D596</f>
        <v>C031</v>
      </c>
      <c r="E596" s="42" t="str">
        <f aca="false">Sales_Transactions!E596</f>
        <v>P003</v>
      </c>
      <c r="F596" s="42" t="str">
        <f aca="false">IFERROR(INDEX(Customer_Master!$C$2:$C$49,MATCH(D596,Customer_Master!$A$2:$A$49,0)),"UNMATCHED")</f>
        <v>West</v>
      </c>
      <c r="G596" s="42" t="str">
        <f aca="false">IFERROR(INDEX(Customer_Master!$D$2:$D$49,MATCH(D596,Customer_Master!$A$2:$A$49,0)),"UNMATCHED")</f>
        <v>Distributor</v>
      </c>
      <c r="H596" s="42" t="str">
        <f aca="false">IFERROR(INDEX(Product_Master!$C$2:$C$9,MATCH(E596,Product_Master!$A$2:$A$9,0)),"UNMATCHED")</f>
        <v>Personal Care</v>
      </c>
      <c r="I596" s="42" t="str">
        <f aca="false">IFERROR(INDEX(Product_Master!$B$2:$B$9,MATCH(E596,Product_Master!$A$2:$A$9,0)),"UNMATCHED")</f>
        <v>Shampoo 400ml</v>
      </c>
      <c r="J596" s="42" t="n">
        <f aca="false">IFERROR(INDEX(Calendar!$B$2:$B$25,MATCH(B596,Calendar!$A$2:$A$25,0)),0)</f>
        <v>2026</v>
      </c>
      <c r="K596" s="42" t="n">
        <f aca="false">IFERROR(VALUE(RIGHT(B596,2)),0)</f>
        <v>5</v>
      </c>
      <c r="L596" s="42" t="str">
        <f aca="false">IFERROR(INDEX(Calendar!$E$2:$E$25,MATCH(B596,Calendar!$A$2:$A$25,0)),"UNMATCHED")</f>
        <v>Actual</v>
      </c>
      <c r="M596" s="42" t="n">
        <f aca="false">Sales_Transactions!F596</f>
        <v>367</v>
      </c>
      <c r="N596" s="52" t="n">
        <f aca="false">Sales_Transactions!I596</f>
        <v>100003.83</v>
      </c>
      <c r="O596" s="52" t="n">
        <f aca="false">Sales_Transactions!J596</f>
        <v>61615.63</v>
      </c>
      <c r="P596" s="52" t="n">
        <f aca="false">Sales_Transactions!K596</f>
        <v>38388.2</v>
      </c>
      <c r="Q596" s="42" t="n">
        <f aca="false">IF(ISNUMBER(MATCH(E596,Product_Master!$A$2:$A$9,0)),0,1)</f>
        <v>0</v>
      </c>
      <c r="R596" s="42" t="n">
        <f aca="false">IF(ISNUMBER(MATCH(D596,Customer_Master!$A$2:$A$49,0)),0,1)</f>
        <v>0</v>
      </c>
      <c r="S596" s="42" t="n">
        <f aca="false">IF(ISNUMBER(MATCH(B596,Calendar!$A$2:$A$25,0)),0,1)</f>
        <v>0</v>
      </c>
      <c r="T596" s="42" t="n">
        <f aca="false">IF(COUNTIF(Sales_Transactions!$A$2:$A$865,A596)&gt;1,1,0)</f>
        <v>0</v>
      </c>
      <c r="U596" s="42" t="n">
        <f aca="false">IF(OR(ABS(Sales_Transactions!F596*Sales_Transactions!G596-Sales_Transactions!I596)&gt;0.01,ABS(Sales_Transactions!F596*Sales_Transactions!H596-Sales_Transactions!J596)&gt;0.01,ABS(Sales_Transactions!I596-Sales_Transactions!J596-Sales_Transactions!K596)&gt;0.01),1,0)</f>
        <v>0</v>
      </c>
      <c r="V596" s="42" t="n">
        <f aca="false">IF(C596&lt;&gt;L596,1,0)</f>
        <v>0</v>
      </c>
      <c r="W596" s="42" t="n">
        <f aca="false">IF(SUM(Q596:V596)&gt;0,1,0)</f>
        <v>0</v>
      </c>
    </row>
    <row r="597" customFormat="false" ht="15" hidden="false" customHeight="false" outlineLevel="0" collapsed="false">
      <c r="A597" s="42" t="str">
        <f aca="false">Sales_Transactions!A597</f>
        <v>INV-17-020</v>
      </c>
      <c r="B597" s="42" t="str">
        <f aca="false">Sales_Transactions!B597</f>
        <v>2026-05</v>
      </c>
      <c r="C597" s="42" t="str">
        <f aca="false">Sales_Transactions!C597</f>
        <v>Actual</v>
      </c>
      <c r="D597" s="42" t="str">
        <f aca="false">Sales_Transactions!D597</f>
        <v>C038</v>
      </c>
      <c r="E597" s="42" t="str">
        <f aca="false">Sales_Transactions!E597</f>
        <v>P008</v>
      </c>
      <c r="F597" s="42" t="str">
        <f aca="false">IFERROR(INDEX(Customer_Master!$C$2:$C$49,MATCH(D597,Customer_Master!$A$2:$A$49,0)),"UNMATCHED")</f>
        <v>North</v>
      </c>
      <c r="G597" s="42" t="str">
        <f aca="false">IFERROR(INDEX(Customer_Master!$D$2:$D$49,MATCH(D597,Customer_Master!$A$2:$A$49,0)),"UNMATCHED")</f>
        <v>Modern Trade</v>
      </c>
      <c r="H597" s="42" t="str">
        <f aca="false">IFERROR(INDEX(Product_Master!$C$2:$C$9,MATCH(E597,Product_Master!$A$2:$A$9,0)),"UNMATCHED")</f>
        <v>Personal Care</v>
      </c>
      <c r="I597" s="42" t="str">
        <f aca="false">IFERROR(INDEX(Product_Master!$B$2:$B$9,MATCH(E597,Product_Master!$A$2:$A$9,0)),"UNMATCHED")</f>
        <v>Body Lotion</v>
      </c>
      <c r="J597" s="42" t="n">
        <f aca="false">IFERROR(INDEX(Calendar!$B$2:$B$25,MATCH(B597,Calendar!$A$2:$A$25,0)),0)</f>
        <v>2026</v>
      </c>
      <c r="K597" s="42" t="n">
        <f aca="false">IFERROR(VALUE(RIGHT(B597,2)),0)</f>
        <v>5</v>
      </c>
      <c r="L597" s="42" t="str">
        <f aca="false">IFERROR(INDEX(Calendar!$E$2:$E$25,MATCH(B597,Calendar!$A$2:$A$25,0)),"UNMATCHED")</f>
        <v>Actual</v>
      </c>
      <c r="M597" s="42" t="n">
        <f aca="false">Sales_Transactions!F597</f>
        <v>151</v>
      </c>
      <c r="N597" s="52" t="n">
        <f aca="false">Sales_Transactions!I597</f>
        <v>46437.03</v>
      </c>
      <c r="O597" s="52" t="n">
        <f aca="false">Sales_Transactions!J597</f>
        <v>32616</v>
      </c>
      <c r="P597" s="52" t="n">
        <f aca="false">Sales_Transactions!K597</f>
        <v>13821.03</v>
      </c>
      <c r="Q597" s="42" t="n">
        <f aca="false">IF(ISNUMBER(MATCH(E597,Product_Master!$A$2:$A$9,0)),0,1)</f>
        <v>0</v>
      </c>
      <c r="R597" s="42" t="n">
        <f aca="false">IF(ISNUMBER(MATCH(D597,Customer_Master!$A$2:$A$49,0)),0,1)</f>
        <v>0</v>
      </c>
      <c r="S597" s="42" t="n">
        <f aca="false">IF(ISNUMBER(MATCH(B597,Calendar!$A$2:$A$25,0)),0,1)</f>
        <v>0</v>
      </c>
      <c r="T597" s="42" t="n">
        <f aca="false">IF(COUNTIF(Sales_Transactions!$A$2:$A$865,A597)&gt;1,1,0)</f>
        <v>0</v>
      </c>
      <c r="U597" s="42" t="n">
        <f aca="false">IF(OR(ABS(Sales_Transactions!F597*Sales_Transactions!G597-Sales_Transactions!I597)&gt;0.01,ABS(Sales_Transactions!F597*Sales_Transactions!H597-Sales_Transactions!J597)&gt;0.01,ABS(Sales_Transactions!I597-Sales_Transactions!J597-Sales_Transactions!K597)&gt;0.01),1,0)</f>
        <v>0</v>
      </c>
      <c r="V597" s="42" t="n">
        <f aca="false">IF(C597&lt;&gt;L597,1,0)</f>
        <v>0</v>
      </c>
      <c r="W597" s="42" t="n">
        <f aca="false">IF(SUM(Q597:V597)&gt;0,1,0)</f>
        <v>0</v>
      </c>
    </row>
    <row r="598" customFormat="false" ht="15" hidden="false" customHeight="false" outlineLevel="0" collapsed="false">
      <c r="A598" s="42" t="str">
        <f aca="false">Sales_Transactions!A598</f>
        <v>INV-17-021</v>
      </c>
      <c r="B598" s="42" t="str">
        <f aca="false">Sales_Transactions!B598</f>
        <v>2026-05</v>
      </c>
      <c r="C598" s="42" t="str">
        <f aca="false">Sales_Transactions!C598</f>
        <v>Actual</v>
      </c>
      <c r="D598" s="42" t="str">
        <f aca="false">Sales_Transactions!D598</f>
        <v>C045</v>
      </c>
      <c r="E598" s="42" t="str">
        <f aca="false">Sales_Transactions!E598</f>
        <v>P005</v>
      </c>
      <c r="F598" s="42" t="str">
        <f aca="false">IFERROR(INDEX(Customer_Master!$C$2:$C$49,MATCH(D598,Customer_Master!$A$2:$A$49,0)),"UNMATCHED")</f>
        <v>South</v>
      </c>
      <c r="G598" s="42" t="str">
        <f aca="false">IFERROR(INDEX(Customer_Master!$D$2:$D$49,MATCH(D598,Customer_Master!$A$2:$A$49,0)),"UNMATCHED")</f>
        <v>Retail</v>
      </c>
      <c r="H598" s="42" t="str">
        <f aca="false">IFERROR(INDEX(Product_Master!$C$2:$C$9,MATCH(E598,Product_Master!$A$2:$A$9,0)),"UNMATCHED")</f>
        <v>Foods</v>
      </c>
      <c r="I598" s="42" t="str">
        <f aca="false">IFERROR(INDEX(Product_Master!$B$2:$B$9,MATCH(E598,Product_Master!$A$2:$A$9,0)),"UNMATCHED")</f>
        <v>Biscuits 500g</v>
      </c>
      <c r="J598" s="42" t="n">
        <f aca="false">IFERROR(INDEX(Calendar!$B$2:$B$25,MATCH(B598,Calendar!$A$2:$A$25,0)),0)</f>
        <v>2026</v>
      </c>
      <c r="K598" s="42" t="n">
        <f aca="false">IFERROR(VALUE(RIGHT(B598,2)),0)</f>
        <v>5</v>
      </c>
      <c r="L598" s="42" t="str">
        <f aca="false">IFERROR(INDEX(Calendar!$E$2:$E$25,MATCH(B598,Calendar!$A$2:$A$25,0)),"UNMATCHED")</f>
        <v>Actual</v>
      </c>
      <c r="M598" s="42" t="n">
        <f aca="false">Sales_Transactions!F598</f>
        <v>113</v>
      </c>
      <c r="N598" s="52" t="n">
        <f aca="false">Sales_Transactions!I598</f>
        <v>12406.27</v>
      </c>
      <c r="O598" s="52" t="n">
        <f aca="false">Sales_Transactions!J598</f>
        <v>7739.37</v>
      </c>
      <c r="P598" s="52" t="n">
        <f aca="false">Sales_Transactions!K598</f>
        <v>4666.9</v>
      </c>
      <c r="Q598" s="42" t="n">
        <f aca="false">IF(ISNUMBER(MATCH(E598,Product_Master!$A$2:$A$9,0)),0,1)</f>
        <v>0</v>
      </c>
      <c r="R598" s="42" t="n">
        <f aca="false">IF(ISNUMBER(MATCH(D598,Customer_Master!$A$2:$A$49,0)),0,1)</f>
        <v>0</v>
      </c>
      <c r="S598" s="42" t="n">
        <f aca="false">IF(ISNUMBER(MATCH(B598,Calendar!$A$2:$A$25,0)),0,1)</f>
        <v>0</v>
      </c>
      <c r="T598" s="42" t="n">
        <f aca="false">IF(COUNTIF(Sales_Transactions!$A$2:$A$865,A598)&gt;1,1,0)</f>
        <v>0</v>
      </c>
      <c r="U598" s="42" t="n">
        <f aca="false">IF(OR(ABS(Sales_Transactions!F598*Sales_Transactions!G598-Sales_Transactions!I598)&gt;0.01,ABS(Sales_Transactions!F598*Sales_Transactions!H598-Sales_Transactions!J598)&gt;0.01,ABS(Sales_Transactions!I598-Sales_Transactions!J598-Sales_Transactions!K598)&gt;0.01),1,0)</f>
        <v>0</v>
      </c>
      <c r="V598" s="42" t="n">
        <f aca="false">IF(C598&lt;&gt;L598,1,0)</f>
        <v>0</v>
      </c>
      <c r="W598" s="42" t="n">
        <f aca="false">IF(SUM(Q598:V598)&gt;0,1,0)</f>
        <v>0</v>
      </c>
    </row>
    <row r="599" customFormat="false" ht="15" hidden="false" customHeight="false" outlineLevel="0" collapsed="false">
      <c r="A599" s="42" t="str">
        <f aca="false">Sales_Transactions!A599</f>
        <v>INV-17-022</v>
      </c>
      <c r="B599" s="42" t="str">
        <f aca="false">Sales_Transactions!B599</f>
        <v>2026-05</v>
      </c>
      <c r="C599" s="42" t="str">
        <f aca="false">Sales_Transactions!C599</f>
        <v>Actual</v>
      </c>
      <c r="D599" s="42" t="str">
        <f aca="false">Sales_Transactions!D599</f>
        <v>C004</v>
      </c>
      <c r="E599" s="42" t="str">
        <f aca="false">Sales_Transactions!E599</f>
        <v>P002</v>
      </c>
      <c r="F599" s="42" t="str">
        <f aca="false">IFERROR(INDEX(Customer_Master!$C$2:$C$49,MATCH(D599,Customer_Master!$A$2:$A$49,0)),"UNMATCHED")</f>
        <v>East</v>
      </c>
      <c r="G599" s="42" t="str">
        <f aca="false">IFERROR(INDEX(Customer_Master!$D$2:$D$49,MATCH(D599,Customer_Master!$A$2:$A$49,0)),"UNMATCHED")</f>
        <v>Distributor</v>
      </c>
      <c r="H599" s="42" t="str">
        <f aca="false">IFERROR(INDEX(Product_Master!$C$2:$C$9,MATCH(E599,Product_Master!$A$2:$A$9,0)),"UNMATCHED")</f>
        <v>Home Care</v>
      </c>
      <c r="I599" s="42" t="str">
        <f aca="false">IFERROR(INDEX(Product_Master!$B$2:$B$9,MATCH(E599,Product_Master!$A$2:$A$9,0)),"UNMATCHED")</f>
        <v>Dishwash Gel</v>
      </c>
      <c r="J599" s="42" t="n">
        <f aca="false">IFERROR(INDEX(Calendar!$B$2:$B$25,MATCH(B599,Calendar!$A$2:$A$25,0)),0)</f>
        <v>2026</v>
      </c>
      <c r="K599" s="42" t="n">
        <f aca="false">IFERROR(VALUE(RIGHT(B599,2)),0)</f>
        <v>5</v>
      </c>
      <c r="L599" s="42" t="str">
        <f aca="false">IFERROR(INDEX(Calendar!$E$2:$E$25,MATCH(B599,Calendar!$A$2:$A$25,0)),"UNMATCHED")</f>
        <v>Actual</v>
      </c>
      <c r="M599" s="42" t="n">
        <f aca="false">Sales_Transactions!F599</f>
        <v>240</v>
      </c>
      <c r="N599" s="52" t="n">
        <f aca="false">Sales_Transactions!I599</f>
        <v>31716</v>
      </c>
      <c r="O599" s="52" t="n">
        <f aca="false">Sales_Transactions!J599</f>
        <v>19653.6</v>
      </c>
      <c r="P599" s="52" t="n">
        <f aca="false">Sales_Transactions!K599</f>
        <v>12062.4</v>
      </c>
      <c r="Q599" s="42" t="n">
        <f aca="false">IF(ISNUMBER(MATCH(E599,Product_Master!$A$2:$A$9,0)),0,1)</f>
        <v>0</v>
      </c>
      <c r="R599" s="42" t="n">
        <f aca="false">IF(ISNUMBER(MATCH(D599,Customer_Master!$A$2:$A$49,0)),0,1)</f>
        <v>0</v>
      </c>
      <c r="S599" s="42" t="n">
        <f aca="false">IF(ISNUMBER(MATCH(B599,Calendar!$A$2:$A$25,0)),0,1)</f>
        <v>0</v>
      </c>
      <c r="T599" s="42" t="n">
        <f aca="false">IF(COUNTIF(Sales_Transactions!$A$2:$A$865,A599)&gt;1,1,0)</f>
        <v>0</v>
      </c>
      <c r="U599" s="42" t="n">
        <f aca="false">IF(OR(ABS(Sales_Transactions!F599*Sales_Transactions!G599-Sales_Transactions!I599)&gt;0.01,ABS(Sales_Transactions!F599*Sales_Transactions!H599-Sales_Transactions!J599)&gt;0.01,ABS(Sales_Transactions!I599-Sales_Transactions!J599-Sales_Transactions!K599)&gt;0.01),1,0)</f>
        <v>0</v>
      </c>
      <c r="V599" s="42" t="n">
        <f aca="false">IF(C599&lt;&gt;L599,1,0)</f>
        <v>0</v>
      </c>
      <c r="W599" s="42" t="n">
        <f aca="false">IF(SUM(Q599:V599)&gt;0,1,0)</f>
        <v>0</v>
      </c>
    </row>
    <row r="600" customFormat="false" ht="15" hidden="false" customHeight="false" outlineLevel="0" collapsed="false">
      <c r="A600" s="42" t="str">
        <f aca="false">Sales_Transactions!A600</f>
        <v>INV-17-023</v>
      </c>
      <c r="B600" s="42" t="str">
        <f aca="false">Sales_Transactions!B600</f>
        <v>2026-05</v>
      </c>
      <c r="C600" s="42" t="str">
        <f aca="false">Sales_Transactions!C600</f>
        <v>Actual</v>
      </c>
      <c r="D600" s="42" t="str">
        <f aca="false">Sales_Transactions!D600</f>
        <v>C011</v>
      </c>
      <c r="E600" s="42" t="str">
        <f aca="false">Sales_Transactions!E600</f>
        <v>P007</v>
      </c>
      <c r="F600" s="42" t="str">
        <f aca="false">IFERROR(INDEX(Customer_Master!$C$2:$C$49,MATCH(D600,Customer_Master!$A$2:$A$49,0)),"UNMATCHED")</f>
        <v>West</v>
      </c>
      <c r="G600" s="42" t="str">
        <f aca="false">IFERROR(INDEX(Customer_Master!$D$2:$D$49,MATCH(D600,Customer_Master!$A$2:$A$49,0)),"UNMATCHED")</f>
        <v>Modern Trade</v>
      </c>
      <c r="H600" s="42" t="str">
        <f aca="false">IFERROR(INDEX(Product_Master!$C$2:$C$9,MATCH(E600,Product_Master!$A$2:$A$9,0)),"UNMATCHED")</f>
        <v>Home Care</v>
      </c>
      <c r="I600" s="42" t="str">
        <f aca="false">IFERROR(INDEX(Product_Master!$B$2:$B$9,MATCH(E600,Product_Master!$A$2:$A$9,0)),"UNMATCHED")</f>
        <v>Floor Cleaner</v>
      </c>
      <c r="J600" s="42" t="n">
        <f aca="false">IFERROR(INDEX(Calendar!$B$2:$B$25,MATCH(B600,Calendar!$A$2:$A$25,0)),0)</f>
        <v>2026</v>
      </c>
      <c r="K600" s="42" t="n">
        <f aca="false">IFERROR(VALUE(RIGHT(B600,2)),0)</f>
        <v>5</v>
      </c>
      <c r="L600" s="42" t="str">
        <f aca="false">IFERROR(INDEX(Calendar!$E$2:$E$25,MATCH(B600,Calendar!$A$2:$A$25,0)),"UNMATCHED")</f>
        <v>Actual</v>
      </c>
      <c r="M600" s="42" t="n">
        <f aca="false">Sales_Transactions!F600</f>
        <v>448</v>
      </c>
      <c r="N600" s="52" t="n">
        <f aca="false">Sales_Transactions!I600</f>
        <v>78252.16</v>
      </c>
      <c r="O600" s="52" t="n">
        <f aca="false">Sales_Transactions!J600</f>
        <v>53872</v>
      </c>
      <c r="P600" s="52" t="n">
        <f aca="false">Sales_Transactions!K600</f>
        <v>24380.16</v>
      </c>
      <c r="Q600" s="42" t="n">
        <f aca="false">IF(ISNUMBER(MATCH(E600,Product_Master!$A$2:$A$9,0)),0,1)</f>
        <v>0</v>
      </c>
      <c r="R600" s="42" t="n">
        <f aca="false">IF(ISNUMBER(MATCH(D600,Customer_Master!$A$2:$A$49,0)),0,1)</f>
        <v>0</v>
      </c>
      <c r="S600" s="42" t="n">
        <f aca="false">IF(ISNUMBER(MATCH(B600,Calendar!$A$2:$A$25,0)),0,1)</f>
        <v>0</v>
      </c>
      <c r="T600" s="42" t="n">
        <f aca="false">IF(COUNTIF(Sales_Transactions!$A$2:$A$865,A600)&gt;1,1,0)</f>
        <v>0</v>
      </c>
      <c r="U600" s="42" t="n">
        <f aca="false">IF(OR(ABS(Sales_Transactions!F600*Sales_Transactions!G600-Sales_Transactions!I600)&gt;0.01,ABS(Sales_Transactions!F600*Sales_Transactions!H600-Sales_Transactions!J600)&gt;0.01,ABS(Sales_Transactions!I600-Sales_Transactions!J600-Sales_Transactions!K600)&gt;0.01),1,0)</f>
        <v>0</v>
      </c>
      <c r="V600" s="42" t="n">
        <f aca="false">IF(C600&lt;&gt;L600,1,0)</f>
        <v>0</v>
      </c>
      <c r="W600" s="42" t="n">
        <f aca="false">IF(SUM(Q600:V600)&gt;0,1,0)</f>
        <v>0</v>
      </c>
    </row>
    <row r="601" customFormat="false" ht="15" hidden="false" customHeight="false" outlineLevel="0" collapsed="false">
      <c r="A601" s="42" t="str">
        <f aca="false">Sales_Transactions!A601</f>
        <v>INV-17-024</v>
      </c>
      <c r="B601" s="42" t="str">
        <f aca="false">Sales_Transactions!B601</f>
        <v>2026-05</v>
      </c>
      <c r="C601" s="42" t="str">
        <f aca="false">Sales_Transactions!C601</f>
        <v>Actual</v>
      </c>
      <c r="D601" s="42" t="str">
        <f aca="false">Sales_Transactions!D601</f>
        <v>C018</v>
      </c>
      <c r="E601" s="42" t="str">
        <f aca="false">Sales_Transactions!E601</f>
        <v>P004</v>
      </c>
      <c r="F601" s="42" t="str">
        <f aca="false">IFERROR(INDEX(Customer_Master!$C$2:$C$49,MATCH(D601,Customer_Master!$A$2:$A$49,0)),"UNMATCHED")</f>
        <v>North</v>
      </c>
      <c r="G601" s="42" t="str">
        <f aca="false">IFERROR(INDEX(Customer_Master!$D$2:$D$49,MATCH(D601,Customer_Master!$A$2:$A$49,0)),"UNMATCHED")</f>
        <v>Retail</v>
      </c>
      <c r="H601" s="42" t="str">
        <f aca="false">IFERROR(INDEX(Product_Master!$C$2:$C$9,MATCH(E601,Product_Master!$A$2:$A$9,0)),"UNMATCHED")</f>
        <v>Personal Care</v>
      </c>
      <c r="I601" s="42" t="str">
        <f aca="false">IFERROR(INDEX(Product_Master!$B$2:$B$9,MATCH(E601,Product_Master!$A$2:$A$9,0)),"UNMATCHED")</f>
        <v>Soap 4-pack</v>
      </c>
      <c r="J601" s="42" t="n">
        <f aca="false">IFERROR(INDEX(Calendar!$B$2:$B$25,MATCH(B601,Calendar!$A$2:$A$25,0)),0)</f>
        <v>2026</v>
      </c>
      <c r="K601" s="42" t="n">
        <f aca="false">IFERROR(VALUE(RIGHT(B601,2)),0)</f>
        <v>5</v>
      </c>
      <c r="L601" s="42" t="str">
        <f aca="false">IFERROR(INDEX(Calendar!$E$2:$E$25,MATCH(B601,Calendar!$A$2:$A$25,0)),"UNMATCHED")</f>
        <v>Actual</v>
      </c>
      <c r="M601" s="42" t="n">
        <f aca="false">Sales_Transactions!F601</f>
        <v>350</v>
      </c>
      <c r="N601" s="52" t="n">
        <f aca="false">Sales_Transactions!I601</f>
        <v>61638.5</v>
      </c>
      <c r="O601" s="52" t="n">
        <f aca="false">Sales_Transactions!J601</f>
        <v>35668.5</v>
      </c>
      <c r="P601" s="52" t="n">
        <f aca="false">Sales_Transactions!K601</f>
        <v>25970</v>
      </c>
      <c r="Q601" s="42" t="n">
        <f aca="false">IF(ISNUMBER(MATCH(E601,Product_Master!$A$2:$A$9,0)),0,1)</f>
        <v>0</v>
      </c>
      <c r="R601" s="42" t="n">
        <f aca="false">IF(ISNUMBER(MATCH(D601,Customer_Master!$A$2:$A$49,0)),0,1)</f>
        <v>0</v>
      </c>
      <c r="S601" s="42" t="n">
        <f aca="false">IF(ISNUMBER(MATCH(B601,Calendar!$A$2:$A$25,0)),0,1)</f>
        <v>0</v>
      </c>
      <c r="T601" s="42" t="n">
        <f aca="false">IF(COUNTIF(Sales_Transactions!$A$2:$A$865,A601)&gt;1,1,0)</f>
        <v>0</v>
      </c>
      <c r="U601" s="42" t="n">
        <f aca="false">IF(OR(ABS(Sales_Transactions!F601*Sales_Transactions!G601-Sales_Transactions!I601)&gt;0.01,ABS(Sales_Transactions!F601*Sales_Transactions!H601-Sales_Transactions!J601)&gt;0.01,ABS(Sales_Transactions!I601-Sales_Transactions!J601-Sales_Transactions!K601)&gt;0.01),1,0)</f>
        <v>0</v>
      </c>
      <c r="V601" s="42" t="n">
        <f aca="false">IF(C601&lt;&gt;L601,1,0)</f>
        <v>0</v>
      </c>
      <c r="W601" s="42" t="n">
        <f aca="false">IF(SUM(Q601:V601)&gt;0,1,0)</f>
        <v>0</v>
      </c>
    </row>
    <row r="602" customFormat="false" ht="15" hidden="false" customHeight="false" outlineLevel="0" collapsed="false">
      <c r="A602" s="42" t="str">
        <f aca="false">Sales_Transactions!A602</f>
        <v>INV-17-025</v>
      </c>
      <c r="B602" s="42" t="str">
        <f aca="false">Sales_Transactions!B602</f>
        <v>2026-05</v>
      </c>
      <c r="C602" s="42" t="str">
        <f aca="false">Sales_Transactions!C602</f>
        <v>Actual</v>
      </c>
      <c r="D602" s="42" t="str">
        <f aca="false">Sales_Transactions!D602</f>
        <v>C025</v>
      </c>
      <c r="E602" s="42" t="str">
        <f aca="false">Sales_Transactions!E602</f>
        <v>P001</v>
      </c>
      <c r="F602" s="42" t="str">
        <f aca="false">IFERROR(INDEX(Customer_Master!$C$2:$C$49,MATCH(D602,Customer_Master!$A$2:$A$49,0)),"UNMATCHED")</f>
        <v>South</v>
      </c>
      <c r="G602" s="42" t="str">
        <f aca="false">IFERROR(INDEX(Customer_Master!$D$2:$D$49,MATCH(D602,Customer_Master!$A$2:$A$49,0)),"UNMATCHED")</f>
        <v>Distributor</v>
      </c>
      <c r="H602" s="42" t="str">
        <f aca="false">IFERROR(INDEX(Product_Master!$C$2:$C$9,MATCH(E602,Product_Master!$A$2:$A$9,0)),"UNMATCHED")</f>
        <v>Home Care</v>
      </c>
      <c r="I602" s="42" t="str">
        <f aca="false">IFERROR(INDEX(Product_Master!$B$2:$B$9,MATCH(E602,Product_Master!$A$2:$A$9,0)),"UNMATCHED")</f>
        <v>Detergent 1kg</v>
      </c>
      <c r="J602" s="42" t="n">
        <f aca="false">IFERROR(INDEX(Calendar!$B$2:$B$25,MATCH(B602,Calendar!$A$2:$A$25,0)),0)</f>
        <v>2026</v>
      </c>
      <c r="K602" s="42" t="n">
        <f aca="false">IFERROR(VALUE(RIGHT(B602,2)),0)</f>
        <v>5</v>
      </c>
      <c r="L602" s="42" t="str">
        <f aca="false">IFERROR(INDEX(Calendar!$E$2:$E$25,MATCH(B602,Calendar!$A$2:$A$25,0)),"UNMATCHED")</f>
        <v>Actual</v>
      </c>
      <c r="M602" s="42" t="n">
        <f aca="false">Sales_Transactions!F602</f>
        <v>213</v>
      </c>
      <c r="N602" s="52" t="n">
        <f aca="false">Sales_Transactions!I602</f>
        <v>40951.38</v>
      </c>
      <c r="O602" s="52" t="n">
        <f aca="false">Sales_Transactions!J602</f>
        <v>30218.31</v>
      </c>
      <c r="P602" s="52" t="n">
        <f aca="false">Sales_Transactions!K602</f>
        <v>10733.07</v>
      </c>
      <c r="Q602" s="42" t="n">
        <f aca="false">IF(ISNUMBER(MATCH(E602,Product_Master!$A$2:$A$9,0)),0,1)</f>
        <v>0</v>
      </c>
      <c r="R602" s="42" t="n">
        <f aca="false">IF(ISNUMBER(MATCH(D602,Customer_Master!$A$2:$A$49,0)),0,1)</f>
        <v>0</v>
      </c>
      <c r="S602" s="42" t="n">
        <f aca="false">IF(ISNUMBER(MATCH(B602,Calendar!$A$2:$A$25,0)),0,1)</f>
        <v>0</v>
      </c>
      <c r="T602" s="42" t="n">
        <f aca="false">IF(COUNTIF(Sales_Transactions!$A$2:$A$865,A602)&gt;1,1,0)</f>
        <v>0</v>
      </c>
      <c r="U602" s="42" t="n">
        <f aca="false">IF(OR(ABS(Sales_Transactions!F602*Sales_Transactions!G602-Sales_Transactions!I602)&gt;0.01,ABS(Sales_Transactions!F602*Sales_Transactions!H602-Sales_Transactions!J602)&gt;0.01,ABS(Sales_Transactions!I602-Sales_Transactions!J602-Sales_Transactions!K602)&gt;0.01),1,0)</f>
        <v>0</v>
      </c>
      <c r="V602" s="42" t="n">
        <f aca="false">IF(C602&lt;&gt;L602,1,0)</f>
        <v>0</v>
      </c>
      <c r="W602" s="42" t="n">
        <f aca="false">IF(SUM(Q602:V602)&gt;0,1,0)</f>
        <v>0</v>
      </c>
    </row>
    <row r="603" customFormat="false" ht="15" hidden="false" customHeight="false" outlineLevel="0" collapsed="false">
      <c r="A603" s="42" t="str">
        <f aca="false">Sales_Transactions!A603</f>
        <v>INV-17-026</v>
      </c>
      <c r="B603" s="42" t="str">
        <f aca="false">Sales_Transactions!B603</f>
        <v>2026-05</v>
      </c>
      <c r="C603" s="42" t="str">
        <f aca="false">Sales_Transactions!C603</f>
        <v>Actual</v>
      </c>
      <c r="D603" s="42" t="str">
        <f aca="false">Sales_Transactions!D603</f>
        <v>C032</v>
      </c>
      <c r="E603" s="42" t="str">
        <f aca="false">Sales_Transactions!E603</f>
        <v>P006</v>
      </c>
      <c r="F603" s="42" t="str">
        <f aca="false">IFERROR(INDEX(Customer_Master!$C$2:$C$49,MATCH(D603,Customer_Master!$A$2:$A$49,0)),"UNMATCHED")</f>
        <v>East</v>
      </c>
      <c r="G603" s="42" t="str">
        <f aca="false">IFERROR(INDEX(Customer_Master!$D$2:$D$49,MATCH(D603,Customer_Master!$A$2:$A$49,0)),"UNMATCHED")</f>
        <v>Modern Trade</v>
      </c>
      <c r="H603" s="42" t="str">
        <f aca="false">IFERROR(INDEX(Product_Master!$C$2:$C$9,MATCH(E603,Product_Master!$A$2:$A$9,0)),"UNMATCHED")</f>
        <v>Foods</v>
      </c>
      <c r="I603" s="42" t="str">
        <f aca="false">IFERROR(INDEX(Product_Master!$B$2:$B$9,MATCH(E603,Product_Master!$A$2:$A$9,0)),"UNMATCHED")</f>
        <v>Breakfast Cereal</v>
      </c>
      <c r="J603" s="42" t="n">
        <f aca="false">IFERROR(INDEX(Calendar!$B$2:$B$25,MATCH(B603,Calendar!$A$2:$A$25,0)),0)</f>
        <v>2026</v>
      </c>
      <c r="K603" s="42" t="n">
        <f aca="false">IFERROR(VALUE(RIGHT(B603,2)),0)</f>
        <v>5</v>
      </c>
      <c r="L603" s="42" t="str">
        <f aca="false">IFERROR(INDEX(Calendar!$E$2:$E$25,MATCH(B603,Calendar!$A$2:$A$25,0)),"UNMATCHED")</f>
        <v>Actual</v>
      </c>
      <c r="M603" s="42" t="n">
        <f aca="false">Sales_Transactions!F603</f>
        <v>225</v>
      </c>
      <c r="N603" s="52" t="n">
        <f aca="false">Sales_Transactions!I603</f>
        <v>51997.5</v>
      </c>
      <c r="O603" s="52" t="n">
        <f aca="false">Sales_Transactions!J603</f>
        <v>34971.75</v>
      </c>
      <c r="P603" s="52" t="n">
        <f aca="false">Sales_Transactions!K603</f>
        <v>17025.75</v>
      </c>
      <c r="Q603" s="42" t="n">
        <f aca="false">IF(ISNUMBER(MATCH(E603,Product_Master!$A$2:$A$9,0)),0,1)</f>
        <v>0</v>
      </c>
      <c r="R603" s="42" t="n">
        <f aca="false">IF(ISNUMBER(MATCH(D603,Customer_Master!$A$2:$A$49,0)),0,1)</f>
        <v>0</v>
      </c>
      <c r="S603" s="42" t="n">
        <f aca="false">IF(ISNUMBER(MATCH(B603,Calendar!$A$2:$A$25,0)),0,1)</f>
        <v>0</v>
      </c>
      <c r="T603" s="42" t="n">
        <f aca="false">IF(COUNTIF(Sales_Transactions!$A$2:$A$865,A603)&gt;1,1,0)</f>
        <v>0</v>
      </c>
      <c r="U603" s="42" t="n">
        <f aca="false">IF(OR(ABS(Sales_Transactions!F603*Sales_Transactions!G603-Sales_Transactions!I603)&gt;0.01,ABS(Sales_Transactions!F603*Sales_Transactions!H603-Sales_Transactions!J603)&gt;0.01,ABS(Sales_Transactions!I603-Sales_Transactions!J603-Sales_Transactions!K603)&gt;0.01),1,0)</f>
        <v>0</v>
      </c>
      <c r="V603" s="42" t="n">
        <f aca="false">IF(C603&lt;&gt;L603,1,0)</f>
        <v>0</v>
      </c>
      <c r="W603" s="42" t="n">
        <f aca="false">IF(SUM(Q603:V603)&gt;0,1,0)</f>
        <v>0</v>
      </c>
    </row>
    <row r="604" customFormat="false" ht="15" hidden="false" customHeight="false" outlineLevel="0" collapsed="false">
      <c r="A604" s="42" t="str">
        <f aca="false">Sales_Transactions!A604</f>
        <v>INV-17-027</v>
      </c>
      <c r="B604" s="42" t="str">
        <f aca="false">Sales_Transactions!B604</f>
        <v>2026-05</v>
      </c>
      <c r="C604" s="42" t="str">
        <f aca="false">Sales_Transactions!C604</f>
        <v>Actual</v>
      </c>
      <c r="D604" s="42" t="str">
        <f aca="false">Sales_Transactions!D604</f>
        <v>C039</v>
      </c>
      <c r="E604" s="42" t="str">
        <f aca="false">Sales_Transactions!E604</f>
        <v>P003</v>
      </c>
      <c r="F604" s="42" t="str">
        <f aca="false">IFERROR(INDEX(Customer_Master!$C$2:$C$49,MATCH(D604,Customer_Master!$A$2:$A$49,0)),"UNMATCHED")</f>
        <v>West</v>
      </c>
      <c r="G604" s="42" t="str">
        <f aca="false">IFERROR(INDEX(Customer_Master!$D$2:$D$49,MATCH(D604,Customer_Master!$A$2:$A$49,0)),"UNMATCHED")</f>
        <v>Retail</v>
      </c>
      <c r="H604" s="42" t="str">
        <f aca="false">IFERROR(INDEX(Product_Master!$C$2:$C$9,MATCH(E604,Product_Master!$A$2:$A$9,0)),"UNMATCHED")</f>
        <v>Personal Care</v>
      </c>
      <c r="I604" s="42" t="str">
        <f aca="false">IFERROR(INDEX(Product_Master!$B$2:$B$9,MATCH(E604,Product_Master!$A$2:$A$9,0)),"UNMATCHED")</f>
        <v>Shampoo 400ml</v>
      </c>
      <c r="J604" s="42" t="n">
        <f aca="false">IFERROR(INDEX(Calendar!$B$2:$B$25,MATCH(B604,Calendar!$A$2:$A$25,0)),0)</f>
        <v>2026</v>
      </c>
      <c r="K604" s="42" t="n">
        <f aca="false">IFERROR(VALUE(RIGHT(B604,2)),0)</f>
        <v>5</v>
      </c>
      <c r="L604" s="42" t="str">
        <f aca="false">IFERROR(INDEX(Calendar!$E$2:$E$25,MATCH(B604,Calendar!$A$2:$A$25,0)),"UNMATCHED")</f>
        <v>Actual</v>
      </c>
      <c r="M604" s="42" t="n">
        <f aca="false">Sales_Transactions!F604</f>
        <v>358</v>
      </c>
      <c r="N604" s="52" t="n">
        <f aca="false">Sales_Transactions!I604</f>
        <v>90430.8</v>
      </c>
      <c r="O604" s="52" t="n">
        <f aca="false">Sales_Transactions!J604</f>
        <v>63476.98</v>
      </c>
      <c r="P604" s="52" t="n">
        <f aca="false">Sales_Transactions!K604</f>
        <v>26953.82</v>
      </c>
      <c r="Q604" s="42" t="n">
        <f aca="false">IF(ISNUMBER(MATCH(E604,Product_Master!$A$2:$A$9,0)),0,1)</f>
        <v>0</v>
      </c>
      <c r="R604" s="42" t="n">
        <f aca="false">IF(ISNUMBER(MATCH(D604,Customer_Master!$A$2:$A$49,0)),0,1)</f>
        <v>0</v>
      </c>
      <c r="S604" s="42" t="n">
        <f aca="false">IF(ISNUMBER(MATCH(B604,Calendar!$A$2:$A$25,0)),0,1)</f>
        <v>0</v>
      </c>
      <c r="T604" s="42" t="n">
        <f aca="false">IF(COUNTIF(Sales_Transactions!$A$2:$A$865,A604)&gt;1,1,0)</f>
        <v>0</v>
      </c>
      <c r="U604" s="42" t="n">
        <f aca="false">IF(OR(ABS(Sales_Transactions!F604*Sales_Transactions!G604-Sales_Transactions!I604)&gt;0.01,ABS(Sales_Transactions!F604*Sales_Transactions!H604-Sales_Transactions!J604)&gt;0.01,ABS(Sales_Transactions!I604-Sales_Transactions!J604-Sales_Transactions!K604)&gt;0.01),1,0)</f>
        <v>0</v>
      </c>
      <c r="V604" s="42" t="n">
        <f aca="false">IF(C604&lt;&gt;L604,1,0)</f>
        <v>0</v>
      </c>
      <c r="W604" s="42" t="n">
        <f aca="false">IF(SUM(Q604:V604)&gt;0,1,0)</f>
        <v>0</v>
      </c>
    </row>
    <row r="605" customFormat="false" ht="15" hidden="false" customHeight="false" outlineLevel="0" collapsed="false">
      <c r="A605" s="42" t="str">
        <f aca="false">Sales_Transactions!A605</f>
        <v>INV-17-028</v>
      </c>
      <c r="B605" s="42" t="str">
        <f aca="false">Sales_Transactions!B605</f>
        <v>2026-05</v>
      </c>
      <c r="C605" s="42" t="str">
        <f aca="false">Sales_Transactions!C605</f>
        <v>Actual</v>
      </c>
      <c r="D605" s="42" t="str">
        <f aca="false">Sales_Transactions!D605</f>
        <v>C046</v>
      </c>
      <c r="E605" s="42" t="str">
        <f aca="false">Sales_Transactions!E605</f>
        <v>P008</v>
      </c>
      <c r="F605" s="42" t="str">
        <f aca="false">IFERROR(INDEX(Customer_Master!$C$2:$C$49,MATCH(D605,Customer_Master!$A$2:$A$49,0)),"UNMATCHED")</f>
        <v>North</v>
      </c>
      <c r="G605" s="42" t="str">
        <f aca="false">IFERROR(INDEX(Customer_Master!$D$2:$D$49,MATCH(D605,Customer_Master!$A$2:$A$49,0)),"UNMATCHED")</f>
        <v>Distributor</v>
      </c>
      <c r="H605" s="42" t="str">
        <f aca="false">IFERROR(INDEX(Product_Master!$C$2:$C$9,MATCH(E605,Product_Master!$A$2:$A$9,0)),"UNMATCHED")</f>
        <v>Personal Care</v>
      </c>
      <c r="I605" s="42" t="str">
        <f aca="false">IFERROR(INDEX(Product_Master!$B$2:$B$9,MATCH(E605,Product_Master!$A$2:$A$9,0)),"UNMATCHED")</f>
        <v>Body Lotion</v>
      </c>
      <c r="J605" s="42" t="n">
        <f aca="false">IFERROR(INDEX(Calendar!$B$2:$B$25,MATCH(B605,Calendar!$A$2:$A$25,0)),0)</f>
        <v>2026</v>
      </c>
      <c r="K605" s="42" t="n">
        <f aca="false">IFERROR(VALUE(RIGHT(B605,2)),0)</f>
        <v>5</v>
      </c>
      <c r="L605" s="42" t="str">
        <f aca="false">IFERROR(INDEX(Calendar!$E$2:$E$25,MATCH(B605,Calendar!$A$2:$A$25,0)),"UNMATCHED")</f>
        <v>Actual</v>
      </c>
      <c r="M605" s="42" t="n">
        <f aca="false">Sales_Transactions!F605</f>
        <v>388</v>
      </c>
      <c r="N605" s="52" t="n">
        <f aca="false">Sales_Transactions!I605</f>
        <v>127663.64</v>
      </c>
      <c r="O605" s="52" t="n">
        <f aca="false">Sales_Transactions!J605</f>
        <v>76692.08</v>
      </c>
      <c r="P605" s="52" t="n">
        <f aca="false">Sales_Transactions!K605</f>
        <v>50971.56</v>
      </c>
      <c r="Q605" s="42" t="n">
        <f aca="false">IF(ISNUMBER(MATCH(E605,Product_Master!$A$2:$A$9,0)),0,1)</f>
        <v>0</v>
      </c>
      <c r="R605" s="42" t="n">
        <f aca="false">IF(ISNUMBER(MATCH(D605,Customer_Master!$A$2:$A$49,0)),0,1)</f>
        <v>0</v>
      </c>
      <c r="S605" s="42" t="n">
        <f aca="false">IF(ISNUMBER(MATCH(B605,Calendar!$A$2:$A$25,0)),0,1)</f>
        <v>0</v>
      </c>
      <c r="T605" s="42" t="n">
        <f aca="false">IF(COUNTIF(Sales_Transactions!$A$2:$A$865,A605)&gt;1,1,0)</f>
        <v>0</v>
      </c>
      <c r="U605" s="42" t="n">
        <f aca="false">IF(OR(ABS(Sales_Transactions!F605*Sales_Transactions!G605-Sales_Transactions!I605)&gt;0.01,ABS(Sales_Transactions!F605*Sales_Transactions!H605-Sales_Transactions!J605)&gt;0.01,ABS(Sales_Transactions!I605-Sales_Transactions!J605-Sales_Transactions!K605)&gt;0.01),1,0)</f>
        <v>0</v>
      </c>
      <c r="V605" s="42" t="n">
        <f aca="false">IF(C605&lt;&gt;L605,1,0)</f>
        <v>0</v>
      </c>
      <c r="W605" s="42" t="n">
        <f aca="false">IF(SUM(Q605:V605)&gt;0,1,0)</f>
        <v>0</v>
      </c>
    </row>
    <row r="606" customFormat="false" ht="15" hidden="false" customHeight="false" outlineLevel="0" collapsed="false">
      <c r="A606" s="42" t="str">
        <f aca="false">Sales_Transactions!A606</f>
        <v>INV-17-029</v>
      </c>
      <c r="B606" s="42" t="str">
        <f aca="false">Sales_Transactions!B606</f>
        <v>2026-05</v>
      </c>
      <c r="C606" s="42" t="str">
        <f aca="false">Sales_Transactions!C606</f>
        <v>Actual</v>
      </c>
      <c r="D606" s="42" t="str">
        <f aca="false">Sales_Transactions!D606</f>
        <v>C005</v>
      </c>
      <c r="E606" s="42" t="str">
        <f aca="false">Sales_Transactions!E606</f>
        <v>P005</v>
      </c>
      <c r="F606" s="42" t="str">
        <f aca="false">IFERROR(INDEX(Customer_Master!$C$2:$C$49,MATCH(D606,Customer_Master!$A$2:$A$49,0)),"UNMATCHED")</f>
        <v>South</v>
      </c>
      <c r="G606" s="42" t="str">
        <f aca="false">IFERROR(INDEX(Customer_Master!$D$2:$D$49,MATCH(D606,Customer_Master!$A$2:$A$49,0)),"UNMATCHED")</f>
        <v>Modern Trade</v>
      </c>
      <c r="H606" s="42" t="str">
        <f aca="false">IFERROR(INDEX(Product_Master!$C$2:$C$9,MATCH(E606,Product_Master!$A$2:$A$9,0)),"UNMATCHED")</f>
        <v>Foods</v>
      </c>
      <c r="I606" s="42" t="str">
        <f aca="false">IFERROR(INDEX(Product_Master!$B$2:$B$9,MATCH(E606,Product_Master!$A$2:$A$9,0)),"UNMATCHED")</f>
        <v>Biscuits 500g</v>
      </c>
      <c r="J606" s="42" t="n">
        <f aca="false">IFERROR(INDEX(Calendar!$B$2:$B$25,MATCH(B606,Calendar!$A$2:$A$25,0)),0)</f>
        <v>2026</v>
      </c>
      <c r="K606" s="42" t="n">
        <f aca="false">IFERROR(VALUE(RIGHT(B606,2)),0)</f>
        <v>5</v>
      </c>
      <c r="L606" s="42" t="str">
        <f aca="false">IFERROR(INDEX(Calendar!$E$2:$E$25,MATCH(B606,Calendar!$A$2:$A$25,0)),"UNMATCHED")</f>
        <v>Actual</v>
      </c>
      <c r="M606" s="42" t="n">
        <f aca="false">Sales_Transactions!F606</f>
        <v>422</v>
      </c>
      <c r="N606" s="52" t="n">
        <f aca="false">Sales_Transactions!I606</f>
        <v>45082.26</v>
      </c>
      <c r="O606" s="52" t="n">
        <f aca="false">Sales_Transactions!J606</f>
        <v>30202.54</v>
      </c>
      <c r="P606" s="52" t="n">
        <f aca="false">Sales_Transactions!K606</f>
        <v>14879.72</v>
      </c>
      <c r="Q606" s="42" t="n">
        <f aca="false">IF(ISNUMBER(MATCH(E606,Product_Master!$A$2:$A$9,0)),0,1)</f>
        <v>0</v>
      </c>
      <c r="R606" s="42" t="n">
        <f aca="false">IF(ISNUMBER(MATCH(D606,Customer_Master!$A$2:$A$49,0)),0,1)</f>
        <v>0</v>
      </c>
      <c r="S606" s="42" t="n">
        <f aca="false">IF(ISNUMBER(MATCH(B606,Calendar!$A$2:$A$25,0)),0,1)</f>
        <v>0</v>
      </c>
      <c r="T606" s="42" t="n">
        <f aca="false">IF(COUNTIF(Sales_Transactions!$A$2:$A$865,A606)&gt;1,1,0)</f>
        <v>0</v>
      </c>
      <c r="U606" s="42" t="n">
        <f aca="false">IF(OR(ABS(Sales_Transactions!F606*Sales_Transactions!G606-Sales_Transactions!I606)&gt;0.01,ABS(Sales_Transactions!F606*Sales_Transactions!H606-Sales_Transactions!J606)&gt;0.01,ABS(Sales_Transactions!I606-Sales_Transactions!J606-Sales_Transactions!K606)&gt;0.01),1,0)</f>
        <v>0</v>
      </c>
      <c r="V606" s="42" t="n">
        <f aca="false">IF(C606&lt;&gt;L606,1,0)</f>
        <v>0</v>
      </c>
      <c r="W606" s="42" t="n">
        <f aca="false">IF(SUM(Q606:V606)&gt;0,1,0)</f>
        <v>0</v>
      </c>
    </row>
    <row r="607" customFormat="false" ht="15" hidden="false" customHeight="false" outlineLevel="0" collapsed="false">
      <c r="A607" s="42" t="str">
        <f aca="false">Sales_Transactions!A607</f>
        <v>INV-17-030</v>
      </c>
      <c r="B607" s="42" t="str">
        <f aca="false">Sales_Transactions!B607</f>
        <v>2026-05</v>
      </c>
      <c r="C607" s="42" t="str">
        <f aca="false">Sales_Transactions!C607</f>
        <v>Actual</v>
      </c>
      <c r="D607" s="42" t="str">
        <f aca="false">Sales_Transactions!D607</f>
        <v>C012</v>
      </c>
      <c r="E607" s="42" t="str">
        <f aca="false">Sales_Transactions!E607</f>
        <v>P002</v>
      </c>
      <c r="F607" s="42" t="str">
        <f aca="false">IFERROR(INDEX(Customer_Master!$C$2:$C$49,MATCH(D607,Customer_Master!$A$2:$A$49,0)),"UNMATCHED")</f>
        <v>East</v>
      </c>
      <c r="G607" s="42" t="str">
        <f aca="false">IFERROR(INDEX(Customer_Master!$D$2:$D$49,MATCH(D607,Customer_Master!$A$2:$A$49,0)),"UNMATCHED")</f>
        <v>Retail</v>
      </c>
      <c r="H607" s="42" t="str">
        <f aca="false">IFERROR(INDEX(Product_Master!$C$2:$C$9,MATCH(E607,Product_Master!$A$2:$A$9,0)),"UNMATCHED")</f>
        <v>Home Care</v>
      </c>
      <c r="I607" s="42" t="str">
        <f aca="false">IFERROR(INDEX(Product_Master!$B$2:$B$9,MATCH(E607,Product_Master!$A$2:$A$9,0)),"UNMATCHED")</f>
        <v>Dishwash Gel</v>
      </c>
      <c r="J607" s="42" t="n">
        <f aca="false">IFERROR(INDEX(Calendar!$B$2:$B$25,MATCH(B607,Calendar!$A$2:$A$25,0)),0)</f>
        <v>2026</v>
      </c>
      <c r="K607" s="42" t="n">
        <f aca="false">IFERROR(VALUE(RIGHT(B607,2)),0)</f>
        <v>5</v>
      </c>
      <c r="L607" s="42" t="str">
        <f aca="false">IFERROR(INDEX(Calendar!$E$2:$E$25,MATCH(B607,Calendar!$A$2:$A$25,0)),"UNMATCHED")</f>
        <v>Actual</v>
      </c>
      <c r="M607" s="42" t="n">
        <f aca="false">Sales_Transactions!F607</f>
        <v>257</v>
      </c>
      <c r="N607" s="52" t="n">
        <f aca="false">Sales_Transactions!I607</f>
        <v>37247.01</v>
      </c>
      <c r="O607" s="52" t="n">
        <f aca="false">Sales_Transactions!J607</f>
        <v>21657.39</v>
      </c>
      <c r="P607" s="52" t="n">
        <f aca="false">Sales_Transactions!K607</f>
        <v>15589.62</v>
      </c>
      <c r="Q607" s="42" t="n">
        <f aca="false">IF(ISNUMBER(MATCH(E607,Product_Master!$A$2:$A$9,0)),0,1)</f>
        <v>0</v>
      </c>
      <c r="R607" s="42" t="n">
        <f aca="false">IF(ISNUMBER(MATCH(D607,Customer_Master!$A$2:$A$49,0)),0,1)</f>
        <v>0</v>
      </c>
      <c r="S607" s="42" t="n">
        <f aca="false">IF(ISNUMBER(MATCH(B607,Calendar!$A$2:$A$25,0)),0,1)</f>
        <v>0</v>
      </c>
      <c r="T607" s="42" t="n">
        <f aca="false">IF(COUNTIF(Sales_Transactions!$A$2:$A$865,A607)&gt;1,1,0)</f>
        <v>0</v>
      </c>
      <c r="U607" s="42" t="n">
        <f aca="false">IF(OR(ABS(Sales_Transactions!F607*Sales_Transactions!G607-Sales_Transactions!I607)&gt;0.01,ABS(Sales_Transactions!F607*Sales_Transactions!H607-Sales_Transactions!J607)&gt;0.01,ABS(Sales_Transactions!I607-Sales_Transactions!J607-Sales_Transactions!K607)&gt;0.01),1,0)</f>
        <v>0</v>
      </c>
      <c r="V607" s="42" t="n">
        <f aca="false">IF(C607&lt;&gt;L607,1,0)</f>
        <v>0</v>
      </c>
      <c r="W607" s="42" t="n">
        <f aca="false">IF(SUM(Q607:V607)&gt;0,1,0)</f>
        <v>0</v>
      </c>
    </row>
    <row r="608" customFormat="false" ht="15" hidden="false" customHeight="false" outlineLevel="0" collapsed="false">
      <c r="A608" s="42" t="str">
        <f aca="false">Sales_Transactions!A608</f>
        <v>INV-17-031</v>
      </c>
      <c r="B608" s="42" t="str">
        <f aca="false">Sales_Transactions!B608</f>
        <v>2026-05</v>
      </c>
      <c r="C608" s="42" t="str">
        <f aca="false">Sales_Transactions!C608</f>
        <v>Actual</v>
      </c>
      <c r="D608" s="42" t="str">
        <f aca="false">Sales_Transactions!D608</f>
        <v>C019</v>
      </c>
      <c r="E608" s="42" t="str">
        <f aca="false">Sales_Transactions!E608</f>
        <v>P007</v>
      </c>
      <c r="F608" s="42" t="str">
        <f aca="false">IFERROR(INDEX(Customer_Master!$C$2:$C$49,MATCH(D608,Customer_Master!$A$2:$A$49,0)),"UNMATCHED")</f>
        <v>West</v>
      </c>
      <c r="G608" s="42" t="str">
        <f aca="false">IFERROR(INDEX(Customer_Master!$D$2:$D$49,MATCH(D608,Customer_Master!$A$2:$A$49,0)),"UNMATCHED")</f>
        <v>Distributor</v>
      </c>
      <c r="H608" s="42" t="str">
        <f aca="false">IFERROR(INDEX(Product_Master!$C$2:$C$9,MATCH(E608,Product_Master!$A$2:$A$9,0)),"UNMATCHED")</f>
        <v>Home Care</v>
      </c>
      <c r="I608" s="42" t="str">
        <f aca="false">IFERROR(INDEX(Product_Master!$B$2:$B$9,MATCH(E608,Product_Master!$A$2:$A$9,0)),"UNMATCHED")</f>
        <v>Floor Cleaner</v>
      </c>
      <c r="J608" s="42" t="n">
        <f aca="false">IFERROR(INDEX(Calendar!$B$2:$B$25,MATCH(B608,Calendar!$A$2:$A$25,0)),0)</f>
        <v>2026</v>
      </c>
      <c r="K608" s="42" t="n">
        <f aca="false">IFERROR(VALUE(RIGHT(B608,2)),0)</f>
        <v>5</v>
      </c>
      <c r="L608" s="42" t="str">
        <f aca="false">IFERROR(INDEX(Calendar!$E$2:$E$25,MATCH(B608,Calendar!$A$2:$A$25,0)),"UNMATCHED")</f>
        <v>Actual</v>
      </c>
      <c r="M608" s="42" t="n">
        <f aca="false">Sales_Transactions!F608</f>
        <v>99</v>
      </c>
      <c r="N608" s="52" t="n">
        <f aca="false">Sales_Transactions!I608</f>
        <v>16939.89</v>
      </c>
      <c r="O608" s="52" t="n">
        <f aca="false">Sales_Transactions!J608</f>
        <v>11906.73</v>
      </c>
      <c r="P608" s="52" t="n">
        <f aca="false">Sales_Transactions!K608</f>
        <v>5033.16</v>
      </c>
      <c r="Q608" s="42" t="n">
        <f aca="false">IF(ISNUMBER(MATCH(E608,Product_Master!$A$2:$A$9,0)),0,1)</f>
        <v>0</v>
      </c>
      <c r="R608" s="42" t="n">
        <f aca="false">IF(ISNUMBER(MATCH(D608,Customer_Master!$A$2:$A$49,0)),0,1)</f>
        <v>0</v>
      </c>
      <c r="S608" s="42" t="n">
        <f aca="false">IF(ISNUMBER(MATCH(B608,Calendar!$A$2:$A$25,0)),0,1)</f>
        <v>0</v>
      </c>
      <c r="T608" s="42" t="n">
        <f aca="false">IF(COUNTIF(Sales_Transactions!$A$2:$A$865,A608)&gt;1,1,0)</f>
        <v>0</v>
      </c>
      <c r="U608" s="42" t="n">
        <f aca="false">IF(OR(ABS(Sales_Transactions!F608*Sales_Transactions!G608-Sales_Transactions!I608)&gt;0.01,ABS(Sales_Transactions!F608*Sales_Transactions!H608-Sales_Transactions!J608)&gt;0.01,ABS(Sales_Transactions!I608-Sales_Transactions!J608-Sales_Transactions!K608)&gt;0.01),1,0)</f>
        <v>0</v>
      </c>
      <c r="V608" s="42" t="n">
        <f aca="false">IF(C608&lt;&gt;L608,1,0)</f>
        <v>0</v>
      </c>
      <c r="W608" s="42" t="n">
        <f aca="false">IF(SUM(Q608:V608)&gt;0,1,0)</f>
        <v>0</v>
      </c>
    </row>
    <row r="609" customFormat="false" ht="15" hidden="false" customHeight="false" outlineLevel="0" collapsed="false">
      <c r="A609" s="42" t="str">
        <f aca="false">Sales_Transactions!A609</f>
        <v>INV-17-032</v>
      </c>
      <c r="B609" s="42" t="str">
        <f aca="false">Sales_Transactions!B609</f>
        <v>2026-05</v>
      </c>
      <c r="C609" s="42" t="str">
        <f aca="false">Sales_Transactions!C609</f>
        <v>Actual</v>
      </c>
      <c r="D609" s="42" t="str">
        <f aca="false">Sales_Transactions!D609</f>
        <v>C026</v>
      </c>
      <c r="E609" s="42" t="str">
        <f aca="false">Sales_Transactions!E609</f>
        <v>P004</v>
      </c>
      <c r="F609" s="42" t="str">
        <f aca="false">IFERROR(INDEX(Customer_Master!$C$2:$C$49,MATCH(D609,Customer_Master!$A$2:$A$49,0)),"UNMATCHED")</f>
        <v>North</v>
      </c>
      <c r="G609" s="42" t="str">
        <f aca="false">IFERROR(INDEX(Customer_Master!$D$2:$D$49,MATCH(D609,Customer_Master!$A$2:$A$49,0)),"UNMATCHED")</f>
        <v>Modern Trade</v>
      </c>
      <c r="H609" s="42" t="str">
        <f aca="false">IFERROR(INDEX(Product_Master!$C$2:$C$9,MATCH(E609,Product_Master!$A$2:$A$9,0)),"UNMATCHED")</f>
        <v>Personal Care</v>
      </c>
      <c r="I609" s="42" t="str">
        <f aca="false">IFERROR(INDEX(Product_Master!$B$2:$B$9,MATCH(E609,Product_Master!$A$2:$A$9,0)),"UNMATCHED")</f>
        <v>Soap 4-pack</v>
      </c>
      <c r="J609" s="42" t="n">
        <f aca="false">IFERROR(INDEX(Calendar!$B$2:$B$25,MATCH(B609,Calendar!$A$2:$A$25,0)),0)</f>
        <v>2026</v>
      </c>
      <c r="K609" s="42" t="n">
        <f aca="false">IFERROR(VALUE(RIGHT(B609,2)),0)</f>
        <v>5</v>
      </c>
      <c r="L609" s="42" t="str">
        <f aca="false">IFERROR(INDEX(Calendar!$E$2:$E$25,MATCH(B609,Calendar!$A$2:$A$25,0)),"UNMATCHED")</f>
        <v>Actual</v>
      </c>
      <c r="M609" s="42" t="n">
        <f aca="false">Sales_Transactions!F609</f>
        <v>380</v>
      </c>
      <c r="N609" s="52" t="n">
        <f aca="false">Sales_Transactions!I609</f>
        <v>61472.6</v>
      </c>
      <c r="O609" s="52" t="n">
        <f aca="false">Sales_Transactions!J609</f>
        <v>35944.2</v>
      </c>
      <c r="P609" s="52" t="n">
        <f aca="false">Sales_Transactions!K609</f>
        <v>25528.4</v>
      </c>
      <c r="Q609" s="42" t="n">
        <f aca="false">IF(ISNUMBER(MATCH(E609,Product_Master!$A$2:$A$9,0)),0,1)</f>
        <v>0</v>
      </c>
      <c r="R609" s="42" t="n">
        <f aca="false">IF(ISNUMBER(MATCH(D609,Customer_Master!$A$2:$A$49,0)),0,1)</f>
        <v>0</v>
      </c>
      <c r="S609" s="42" t="n">
        <f aca="false">IF(ISNUMBER(MATCH(B609,Calendar!$A$2:$A$25,0)),0,1)</f>
        <v>0</v>
      </c>
      <c r="T609" s="42" t="n">
        <f aca="false">IF(COUNTIF(Sales_Transactions!$A$2:$A$865,A609)&gt;1,1,0)</f>
        <v>0</v>
      </c>
      <c r="U609" s="42" t="n">
        <f aca="false">IF(OR(ABS(Sales_Transactions!F609*Sales_Transactions!G609-Sales_Transactions!I609)&gt;0.01,ABS(Sales_Transactions!F609*Sales_Transactions!H609-Sales_Transactions!J609)&gt;0.01,ABS(Sales_Transactions!I609-Sales_Transactions!J609-Sales_Transactions!K609)&gt;0.01),1,0)</f>
        <v>0</v>
      </c>
      <c r="V609" s="42" t="n">
        <f aca="false">IF(C609&lt;&gt;L609,1,0)</f>
        <v>0</v>
      </c>
      <c r="W609" s="42" t="n">
        <f aca="false">IF(SUM(Q609:V609)&gt;0,1,0)</f>
        <v>0</v>
      </c>
    </row>
    <row r="610" customFormat="false" ht="15" hidden="false" customHeight="false" outlineLevel="0" collapsed="false">
      <c r="A610" s="42" t="str">
        <f aca="false">Sales_Transactions!A610</f>
        <v>INV-17-033</v>
      </c>
      <c r="B610" s="42" t="str">
        <f aca="false">Sales_Transactions!B610</f>
        <v>2026-05</v>
      </c>
      <c r="C610" s="42" t="str">
        <f aca="false">Sales_Transactions!C610</f>
        <v>Actual</v>
      </c>
      <c r="D610" s="42" t="str">
        <f aca="false">Sales_Transactions!D610</f>
        <v>C033</v>
      </c>
      <c r="E610" s="42" t="str">
        <f aca="false">Sales_Transactions!E610</f>
        <v>P001</v>
      </c>
      <c r="F610" s="42" t="str">
        <f aca="false">IFERROR(INDEX(Customer_Master!$C$2:$C$49,MATCH(D610,Customer_Master!$A$2:$A$49,0)),"UNMATCHED")</f>
        <v>South</v>
      </c>
      <c r="G610" s="42" t="str">
        <f aca="false">IFERROR(INDEX(Customer_Master!$D$2:$D$49,MATCH(D610,Customer_Master!$A$2:$A$49,0)),"UNMATCHED")</f>
        <v>Retail</v>
      </c>
      <c r="H610" s="42" t="str">
        <f aca="false">IFERROR(INDEX(Product_Master!$C$2:$C$9,MATCH(E610,Product_Master!$A$2:$A$9,0)),"UNMATCHED")</f>
        <v>Home Care</v>
      </c>
      <c r="I610" s="42" t="str">
        <f aca="false">IFERROR(INDEX(Product_Master!$B$2:$B$9,MATCH(E610,Product_Master!$A$2:$A$9,0)),"UNMATCHED")</f>
        <v>Detergent 1kg</v>
      </c>
      <c r="J610" s="42" t="n">
        <f aca="false">IFERROR(INDEX(Calendar!$B$2:$B$25,MATCH(B610,Calendar!$A$2:$A$25,0)),0)</f>
        <v>2026</v>
      </c>
      <c r="K610" s="42" t="n">
        <f aca="false">IFERROR(VALUE(RIGHT(B610,2)),0)</f>
        <v>5</v>
      </c>
      <c r="L610" s="42" t="str">
        <f aca="false">IFERROR(INDEX(Calendar!$E$2:$E$25,MATCH(B610,Calendar!$A$2:$A$25,0)),"UNMATCHED")</f>
        <v>Actual</v>
      </c>
      <c r="M610" s="42" t="n">
        <f aca="false">Sales_Transactions!F610</f>
        <v>377</v>
      </c>
      <c r="N610" s="52" t="n">
        <f aca="false">Sales_Transactions!I610</f>
        <v>74747.79</v>
      </c>
      <c r="O610" s="52" t="n">
        <f aca="false">Sales_Transactions!J610</f>
        <v>51588.68</v>
      </c>
      <c r="P610" s="52" t="n">
        <f aca="false">Sales_Transactions!K610</f>
        <v>23159.11</v>
      </c>
      <c r="Q610" s="42" t="n">
        <f aca="false">IF(ISNUMBER(MATCH(E610,Product_Master!$A$2:$A$9,0)),0,1)</f>
        <v>0</v>
      </c>
      <c r="R610" s="42" t="n">
        <f aca="false">IF(ISNUMBER(MATCH(D610,Customer_Master!$A$2:$A$49,0)),0,1)</f>
        <v>0</v>
      </c>
      <c r="S610" s="42" t="n">
        <f aca="false">IF(ISNUMBER(MATCH(B610,Calendar!$A$2:$A$25,0)),0,1)</f>
        <v>0</v>
      </c>
      <c r="T610" s="42" t="n">
        <f aca="false">IF(COUNTIF(Sales_Transactions!$A$2:$A$865,A610)&gt;1,1,0)</f>
        <v>0</v>
      </c>
      <c r="U610" s="42" t="n">
        <f aca="false">IF(OR(ABS(Sales_Transactions!F610*Sales_Transactions!G610-Sales_Transactions!I610)&gt;0.01,ABS(Sales_Transactions!F610*Sales_Transactions!H610-Sales_Transactions!J610)&gt;0.01,ABS(Sales_Transactions!I610-Sales_Transactions!J610-Sales_Transactions!K610)&gt;0.01),1,0)</f>
        <v>0</v>
      </c>
      <c r="V610" s="42" t="n">
        <f aca="false">IF(C610&lt;&gt;L610,1,0)</f>
        <v>0</v>
      </c>
      <c r="W610" s="42" t="n">
        <f aca="false">IF(SUM(Q610:V610)&gt;0,1,0)</f>
        <v>0</v>
      </c>
    </row>
    <row r="611" customFormat="false" ht="15" hidden="false" customHeight="false" outlineLevel="0" collapsed="false">
      <c r="A611" s="42" t="str">
        <f aca="false">Sales_Transactions!A611</f>
        <v>INV-17-034</v>
      </c>
      <c r="B611" s="42" t="str">
        <f aca="false">Sales_Transactions!B611</f>
        <v>2026-05</v>
      </c>
      <c r="C611" s="42" t="str">
        <f aca="false">Sales_Transactions!C611</f>
        <v>Actual</v>
      </c>
      <c r="D611" s="42" t="str">
        <f aca="false">Sales_Transactions!D611</f>
        <v>C040</v>
      </c>
      <c r="E611" s="42" t="str">
        <f aca="false">Sales_Transactions!E611</f>
        <v>P006</v>
      </c>
      <c r="F611" s="42" t="str">
        <f aca="false">IFERROR(INDEX(Customer_Master!$C$2:$C$49,MATCH(D611,Customer_Master!$A$2:$A$49,0)),"UNMATCHED")</f>
        <v>East</v>
      </c>
      <c r="G611" s="42" t="str">
        <f aca="false">IFERROR(INDEX(Customer_Master!$D$2:$D$49,MATCH(D611,Customer_Master!$A$2:$A$49,0)),"UNMATCHED")</f>
        <v>Distributor</v>
      </c>
      <c r="H611" s="42" t="str">
        <f aca="false">IFERROR(INDEX(Product_Master!$C$2:$C$9,MATCH(E611,Product_Master!$A$2:$A$9,0)),"UNMATCHED")</f>
        <v>Foods</v>
      </c>
      <c r="I611" s="42" t="str">
        <f aca="false">IFERROR(INDEX(Product_Master!$B$2:$B$9,MATCH(E611,Product_Master!$A$2:$A$9,0)),"UNMATCHED")</f>
        <v>Breakfast Cereal</v>
      </c>
      <c r="J611" s="42" t="n">
        <f aca="false">IFERROR(INDEX(Calendar!$B$2:$B$25,MATCH(B611,Calendar!$A$2:$A$25,0)),0)</f>
        <v>2026</v>
      </c>
      <c r="K611" s="42" t="n">
        <f aca="false">IFERROR(VALUE(RIGHT(B611,2)),0)</f>
        <v>5</v>
      </c>
      <c r="L611" s="42" t="str">
        <f aca="false">IFERROR(INDEX(Calendar!$E$2:$E$25,MATCH(B611,Calendar!$A$2:$A$25,0)),"UNMATCHED")</f>
        <v>Actual</v>
      </c>
      <c r="M611" s="42" t="n">
        <f aca="false">Sales_Transactions!F611</f>
        <v>339</v>
      </c>
      <c r="N611" s="52" t="n">
        <f aca="false">Sales_Transactions!I611</f>
        <v>86926.38</v>
      </c>
      <c r="O611" s="52" t="n">
        <f aca="false">Sales_Transactions!J611</f>
        <v>54229.83</v>
      </c>
      <c r="P611" s="52" t="n">
        <f aca="false">Sales_Transactions!K611</f>
        <v>32696.55</v>
      </c>
      <c r="Q611" s="42" t="n">
        <f aca="false">IF(ISNUMBER(MATCH(E611,Product_Master!$A$2:$A$9,0)),0,1)</f>
        <v>0</v>
      </c>
      <c r="R611" s="42" t="n">
        <f aca="false">IF(ISNUMBER(MATCH(D611,Customer_Master!$A$2:$A$49,0)),0,1)</f>
        <v>0</v>
      </c>
      <c r="S611" s="42" t="n">
        <f aca="false">IF(ISNUMBER(MATCH(B611,Calendar!$A$2:$A$25,0)),0,1)</f>
        <v>0</v>
      </c>
      <c r="T611" s="42" t="n">
        <f aca="false">IF(COUNTIF(Sales_Transactions!$A$2:$A$865,A611)&gt;1,1,0)</f>
        <v>0</v>
      </c>
      <c r="U611" s="42" t="n">
        <f aca="false">IF(OR(ABS(Sales_Transactions!F611*Sales_Transactions!G611-Sales_Transactions!I611)&gt;0.01,ABS(Sales_Transactions!F611*Sales_Transactions!H611-Sales_Transactions!J611)&gt;0.01,ABS(Sales_Transactions!I611-Sales_Transactions!J611-Sales_Transactions!K611)&gt;0.01),1,0)</f>
        <v>0</v>
      </c>
      <c r="V611" s="42" t="n">
        <f aca="false">IF(C611&lt;&gt;L611,1,0)</f>
        <v>0</v>
      </c>
      <c r="W611" s="42" t="n">
        <f aca="false">IF(SUM(Q611:V611)&gt;0,1,0)</f>
        <v>0</v>
      </c>
    </row>
    <row r="612" customFormat="false" ht="15" hidden="false" customHeight="false" outlineLevel="0" collapsed="false">
      <c r="A612" s="42" t="str">
        <f aca="false">Sales_Transactions!A612</f>
        <v>INV-17-035</v>
      </c>
      <c r="B612" s="42" t="str">
        <f aca="false">Sales_Transactions!B612</f>
        <v>2026-05</v>
      </c>
      <c r="C612" s="42" t="str">
        <f aca="false">Sales_Transactions!C612</f>
        <v>Actual</v>
      </c>
      <c r="D612" s="42" t="str">
        <f aca="false">Sales_Transactions!D612</f>
        <v>C047</v>
      </c>
      <c r="E612" s="42" t="str">
        <f aca="false">Sales_Transactions!E612</f>
        <v>P003</v>
      </c>
      <c r="F612" s="42" t="str">
        <f aca="false">IFERROR(INDEX(Customer_Master!$C$2:$C$49,MATCH(D612,Customer_Master!$A$2:$A$49,0)),"UNMATCHED")</f>
        <v>West</v>
      </c>
      <c r="G612" s="42" t="str">
        <f aca="false">IFERROR(INDEX(Customer_Master!$D$2:$D$49,MATCH(D612,Customer_Master!$A$2:$A$49,0)),"UNMATCHED")</f>
        <v>Modern Trade</v>
      </c>
      <c r="H612" s="42" t="str">
        <f aca="false">IFERROR(INDEX(Product_Master!$C$2:$C$9,MATCH(E612,Product_Master!$A$2:$A$9,0)),"UNMATCHED")</f>
        <v>Personal Care</v>
      </c>
      <c r="I612" s="42" t="str">
        <f aca="false">IFERROR(INDEX(Product_Master!$B$2:$B$9,MATCH(E612,Product_Master!$A$2:$A$9,0)),"UNMATCHED")</f>
        <v>Shampoo 400ml</v>
      </c>
      <c r="J612" s="42" t="n">
        <f aca="false">IFERROR(INDEX(Calendar!$B$2:$B$25,MATCH(B612,Calendar!$A$2:$A$25,0)),0)</f>
        <v>2026</v>
      </c>
      <c r="K612" s="42" t="n">
        <f aca="false">IFERROR(VALUE(RIGHT(B612,2)),0)</f>
        <v>5</v>
      </c>
      <c r="L612" s="42" t="str">
        <f aca="false">IFERROR(INDEX(Calendar!$E$2:$E$25,MATCH(B612,Calendar!$A$2:$A$25,0)),"UNMATCHED")</f>
        <v>Actual</v>
      </c>
      <c r="M612" s="42" t="n">
        <f aca="false">Sales_Transactions!F612</f>
        <v>413</v>
      </c>
      <c r="N612" s="52" t="n">
        <f aca="false">Sales_Transactions!I612</f>
        <v>117300.26</v>
      </c>
      <c r="O612" s="52" t="n">
        <f aca="false">Sales_Transactions!J612</f>
        <v>71890.91</v>
      </c>
      <c r="P612" s="52" t="n">
        <f aca="false">Sales_Transactions!K612</f>
        <v>45409.35</v>
      </c>
      <c r="Q612" s="42" t="n">
        <f aca="false">IF(ISNUMBER(MATCH(E612,Product_Master!$A$2:$A$9,0)),0,1)</f>
        <v>0</v>
      </c>
      <c r="R612" s="42" t="n">
        <f aca="false">IF(ISNUMBER(MATCH(D612,Customer_Master!$A$2:$A$49,0)),0,1)</f>
        <v>0</v>
      </c>
      <c r="S612" s="42" t="n">
        <f aca="false">IF(ISNUMBER(MATCH(B612,Calendar!$A$2:$A$25,0)),0,1)</f>
        <v>0</v>
      </c>
      <c r="T612" s="42" t="n">
        <f aca="false">IF(COUNTIF(Sales_Transactions!$A$2:$A$865,A612)&gt;1,1,0)</f>
        <v>0</v>
      </c>
      <c r="U612" s="42" t="n">
        <f aca="false">IF(OR(ABS(Sales_Transactions!F612*Sales_Transactions!G612-Sales_Transactions!I612)&gt;0.01,ABS(Sales_Transactions!F612*Sales_Transactions!H612-Sales_Transactions!J612)&gt;0.01,ABS(Sales_Transactions!I612-Sales_Transactions!J612-Sales_Transactions!K612)&gt;0.01),1,0)</f>
        <v>0</v>
      </c>
      <c r="V612" s="42" t="n">
        <f aca="false">IF(C612&lt;&gt;L612,1,0)</f>
        <v>0</v>
      </c>
      <c r="W612" s="42" t="n">
        <f aca="false">IF(SUM(Q612:V612)&gt;0,1,0)</f>
        <v>0</v>
      </c>
    </row>
    <row r="613" customFormat="false" ht="15" hidden="false" customHeight="false" outlineLevel="0" collapsed="false">
      <c r="A613" s="42" t="str">
        <f aca="false">Sales_Transactions!A613</f>
        <v>INV-17-036</v>
      </c>
      <c r="B613" s="42" t="str">
        <f aca="false">Sales_Transactions!B613</f>
        <v>2026-05</v>
      </c>
      <c r="C613" s="42" t="str">
        <f aca="false">Sales_Transactions!C613</f>
        <v>Actual</v>
      </c>
      <c r="D613" s="42" t="str">
        <f aca="false">Sales_Transactions!D613</f>
        <v>C006</v>
      </c>
      <c r="E613" s="42" t="str">
        <f aca="false">Sales_Transactions!E613</f>
        <v>P008</v>
      </c>
      <c r="F613" s="42" t="str">
        <f aca="false">IFERROR(INDEX(Customer_Master!$C$2:$C$49,MATCH(D613,Customer_Master!$A$2:$A$49,0)),"UNMATCHED")</f>
        <v>North</v>
      </c>
      <c r="G613" s="42" t="str">
        <f aca="false">IFERROR(INDEX(Customer_Master!$D$2:$D$49,MATCH(D613,Customer_Master!$A$2:$A$49,0)),"UNMATCHED")</f>
        <v>Retail</v>
      </c>
      <c r="H613" s="42" t="str">
        <f aca="false">IFERROR(INDEX(Product_Master!$C$2:$C$9,MATCH(E613,Product_Master!$A$2:$A$9,0)),"UNMATCHED")</f>
        <v>Personal Care</v>
      </c>
      <c r="I613" s="42" t="str">
        <f aca="false">IFERROR(INDEX(Product_Master!$B$2:$B$9,MATCH(E613,Product_Master!$A$2:$A$9,0)),"UNMATCHED")</f>
        <v>Body Lotion</v>
      </c>
      <c r="J613" s="42" t="n">
        <f aca="false">IFERROR(INDEX(Calendar!$B$2:$B$25,MATCH(B613,Calendar!$A$2:$A$25,0)),0)</f>
        <v>2026</v>
      </c>
      <c r="K613" s="42" t="n">
        <f aca="false">IFERROR(VALUE(RIGHT(B613,2)),0)</f>
        <v>5</v>
      </c>
      <c r="L613" s="42" t="str">
        <f aca="false">IFERROR(INDEX(Calendar!$E$2:$E$25,MATCH(B613,Calendar!$A$2:$A$25,0)),"UNMATCHED")</f>
        <v>Actual</v>
      </c>
      <c r="M613" s="42" t="n">
        <f aca="false">Sales_Transactions!F613</f>
        <v>435</v>
      </c>
      <c r="N613" s="52" t="n">
        <f aca="false">Sales_Transactions!I613</f>
        <v>133288.35</v>
      </c>
      <c r="O613" s="52" t="n">
        <f aca="false">Sales_Transactions!J613</f>
        <v>89135.85</v>
      </c>
      <c r="P613" s="52" t="n">
        <f aca="false">Sales_Transactions!K613</f>
        <v>44152.5</v>
      </c>
      <c r="Q613" s="42" t="n">
        <f aca="false">IF(ISNUMBER(MATCH(E613,Product_Master!$A$2:$A$9,0)),0,1)</f>
        <v>0</v>
      </c>
      <c r="R613" s="42" t="n">
        <f aca="false">IF(ISNUMBER(MATCH(D613,Customer_Master!$A$2:$A$49,0)),0,1)</f>
        <v>0</v>
      </c>
      <c r="S613" s="42" t="n">
        <f aca="false">IF(ISNUMBER(MATCH(B613,Calendar!$A$2:$A$25,0)),0,1)</f>
        <v>0</v>
      </c>
      <c r="T613" s="42" t="n">
        <f aca="false">IF(COUNTIF(Sales_Transactions!$A$2:$A$865,A613)&gt;1,1,0)</f>
        <v>0</v>
      </c>
      <c r="U613" s="42" t="n">
        <f aca="false">IF(OR(ABS(Sales_Transactions!F613*Sales_Transactions!G613-Sales_Transactions!I613)&gt;0.01,ABS(Sales_Transactions!F613*Sales_Transactions!H613-Sales_Transactions!J613)&gt;0.01,ABS(Sales_Transactions!I613-Sales_Transactions!J613-Sales_Transactions!K613)&gt;0.01),1,0)</f>
        <v>0</v>
      </c>
      <c r="V613" s="42" t="n">
        <f aca="false">IF(C613&lt;&gt;L613,1,0)</f>
        <v>0</v>
      </c>
      <c r="W613" s="42" t="n">
        <f aca="false">IF(SUM(Q613:V613)&gt;0,1,0)</f>
        <v>0</v>
      </c>
    </row>
    <row r="614" customFormat="false" ht="15" hidden="false" customHeight="false" outlineLevel="0" collapsed="false">
      <c r="A614" s="42" t="str">
        <f aca="false">Sales_Transactions!A614</f>
        <v>INV-18-001</v>
      </c>
      <c r="B614" s="42" t="str">
        <f aca="false">Sales_Transactions!B614</f>
        <v>2026-06</v>
      </c>
      <c r="C614" s="42" t="str">
        <f aca="false">Sales_Transactions!C614</f>
        <v>Actual</v>
      </c>
      <c r="D614" s="42" t="str">
        <f aca="false">Sales_Transactions!D614</f>
        <v>C004</v>
      </c>
      <c r="E614" s="42" t="str">
        <f aca="false">Sales_Transactions!E614</f>
        <v>P002</v>
      </c>
      <c r="F614" s="42" t="str">
        <f aca="false">IFERROR(INDEX(Customer_Master!$C$2:$C$49,MATCH(D614,Customer_Master!$A$2:$A$49,0)),"UNMATCHED")</f>
        <v>East</v>
      </c>
      <c r="G614" s="42" t="str">
        <f aca="false">IFERROR(INDEX(Customer_Master!$D$2:$D$49,MATCH(D614,Customer_Master!$A$2:$A$49,0)),"UNMATCHED")</f>
        <v>Distributor</v>
      </c>
      <c r="H614" s="42" t="str">
        <f aca="false">IFERROR(INDEX(Product_Master!$C$2:$C$9,MATCH(E614,Product_Master!$A$2:$A$9,0)),"UNMATCHED")</f>
        <v>Home Care</v>
      </c>
      <c r="I614" s="42" t="str">
        <f aca="false">IFERROR(INDEX(Product_Master!$B$2:$B$9,MATCH(E614,Product_Master!$A$2:$A$9,0)),"UNMATCHED")</f>
        <v>Dishwash Gel</v>
      </c>
      <c r="J614" s="42" t="n">
        <f aca="false">IFERROR(INDEX(Calendar!$B$2:$B$25,MATCH(B614,Calendar!$A$2:$A$25,0)),0)</f>
        <v>2026</v>
      </c>
      <c r="K614" s="42" t="n">
        <f aca="false">IFERROR(VALUE(RIGHT(B614,2)),0)</f>
        <v>6</v>
      </c>
      <c r="L614" s="42" t="str">
        <f aca="false">IFERROR(INDEX(Calendar!$E$2:$E$25,MATCH(B614,Calendar!$A$2:$A$25,0)),"UNMATCHED")</f>
        <v>Actual</v>
      </c>
      <c r="M614" s="42" t="n">
        <f aca="false">Sales_Transactions!F614</f>
        <v>437</v>
      </c>
      <c r="N614" s="52" t="n">
        <f aca="false">Sales_Transactions!I614</f>
        <v>56888.66</v>
      </c>
      <c r="O614" s="52" t="n">
        <f aca="false">Sales_Transactions!J614</f>
        <v>36292.85</v>
      </c>
      <c r="P614" s="52" t="n">
        <f aca="false">Sales_Transactions!K614</f>
        <v>20595.81</v>
      </c>
      <c r="Q614" s="42" t="n">
        <f aca="false">IF(ISNUMBER(MATCH(E614,Product_Master!$A$2:$A$9,0)),0,1)</f>
        <v>0</v>
      </c>
      <c r="R614" s="42" t="n">
        <f aca="false">IF(ISNUMBER(MATCH(D614,Customer_Master!$A$2:$A$49,0)),0,1)</f>
        <v>0</v>
      </c>
      <c r="S614" s="42" t="n">
        <f aca="false">IF(ISNUMBER(MATCH(B614,Calendar!$A$2:$A$25,0)),0,1)</f>
        <v>0</v>
      </c>
      <c r="T614" s="42" t="n">
        <f aca="false">IF(COUNTIF(Sales_Transactions!$A$2:$A$865,A614)&gt;1,1,0)</f>
        <v>0</v>
      </c>
      <c r="U614" s="42" t="n">
        <f aca="false">IF(OR(ABS(Sales_Transactions!F614*Sales_Transactions!G614-Sales_Transactions!I614)&gt;0.01,ABS(Sales_Transactions!F614*Sales_Transactions!H614-Sales_Transactions!J614)&gt;0.01,ABS(Sales_Transactions!I614-Sales_Transactions!J614-Sales_Transactions!K614)&gt;0.01),1,0)</f>
        <v>0</v>
      </c>
      <c r="V614" s="42" t="n">
        <f aca="false">IF(C614&lt;&gt;L614,1,0)</f>
        <v>0</v>
      </c>
      <c r="W614" s="42" t="n">
        <f aca="false">IF(SUM(Q614:V614)&gt;0,1,0)</f>
        <v>0</v>
      </c>
    </row>
    <row r="615" customFormat="false" ht="15" hidden="false" customHeight="false" outlineLevel="0" collapsed="false">
      <c r="A615" s="42" t="str">
        <f aca="false">Sales_Transactions!A615</f>
        <v>INV-18-002</v>
      </c>
      <c r="B615" s="42" t="str">
        <f aca="false">Sales_Transactions!B615</f>
        <v>2026-06</v>
      </c>
      <c r="C615" s="42" t="str">
        <f aca="false">Sales_Transactions!C615</f>
        <v>Actual</v>
      </c>
      <c r="D615" s="42" t="str">
        <f aca="false">Sales_Transactions!D615</f>
        <v>C011</v>
      </c>
      <c r="E615" s="42" t="str">
        <f aca="false">Sales_Transactions!E615</f>
        <v>P007</v>
      </c>
      <c r="F615" s="42" t="str">
        <f aca="false">IFERROR(INDEX(Customer_Master!$C$2:$C$49,MATCH(D615,Customer_Master!$A$2:$A$49,0)),"UNMATCHED")</f>
        <v>West</v>
      </c>
      <c r="G615" s="42" t="str">
        <f aca="false">IFERROR(INDEX(Customer_Master!$D$2:$D$49,MATCH(D615,Customer_Master!$A$2:$A$49,0)),"UNMATCHED")</f>
        <v>Modern Trade</v>
      </c>
      <c r="H615" s="42" t="str">
        <f aca="false">IFERROR(INDEX(Product_Master!$C$2:$C$9,MATCH(E615,Product_Master!$A$2:$A$9,0)),"UNMATCHED")</f>
        <v>Home Care</v>
      </c>
      <c r="I615" s="42" t="str">
        <f aca="false">IFERROR(INDEX(Product_Master!$B$2:$B$9,MATCH(E615,Product_Master!$A$2:$A$9,0)),"UNMATCHED")</f>
        <v>Floor Cleaner</v>
      </c>
      <c r="J615" s="42" t="n">
        <f aca="false">IFERROR(INDEX(Calendar!$B$2:$B$25,MATCH(B615,Calendar!$A$2:$A$25,0)),0)</f>
        <v>2026</v>
      </c>
      <c r="K615" s="42" t="n">
        <f aca="false">IFERROR(VALUE(RIGHT(B615,2)),0)</f>
        <v>6</v>
      </c>
      <c r="L615" s="42" t="str">
        <f aca="false">IFERROR(INDEX(Calendar!$E$2:$E$25,MATCH(B615,Calendar!$A$2:$A$25,0)),"UNMATCHED")</f>
        <v>Actual</v>
      </c>
      <c r="M615" s="42" t="n">
        <f aca="false">Sales_Transactions!F615</f>
        <v>332</v>
      </c>
      <c r="N615" s="52" t="n">
        <f aca="false">Sales_Transactions!I615</f>
        <v>59949.24</v>
      </c>
      <c r="O615" s="52" t="n">
        <f aca="false">Sales_Transactions!J615</f>
        <v>37213.88</v>
      </c>
      <c r="P615" s="52" t="n">
        <f aca="false">Sales_Transactions!K615</f>
        <v>22735.36</v>
      </c>
      <c r="Q615" s="42" t="n">
        <f aca="false">IF(ISNUMBER(MATCH(E615,Product_Master!$A$2:$A$9,0)),0,1)</f>
        <v>0</v>
      </c>
      <c r="R615" s="42" t="n">
        <f aca="false">IF(ISNUMBER(MATCH(D615,Customer_Master!$A$2:$A$49,0)),0,1)</f>
        <v>0</v>
      </c>
      <c r="S615" s="42" t="n">
        <f aca="false">IF(ISNUMBER(MATCH(B615,Calendar!$A$2:$A$25,0)),0,1)</f>
        <v>0</v>
      </c>
      <c r="T615" s="42" t="n">
        <f aca="false">IF(COUNTIF(Sales_Transactions!$A$2:$A$865,A615)&gt;1,1,0)</f>
        <v>0</v>
      </c>
      <c r="U615" s="42" t="n">
        <f aca="false">IF(OR(ABS(Sales_Transactions!F615*Sales_Transactions!G615-Sales_Transactions!I615)&gt;0.01,ABS(Sales_Transactions!F615*Sales_Transactions!H615-Sales_Transactions!J615)&gt;0.01,ABS(Sales_Transactions!I615-Sales_Transactions!J615-Sales_Transactions!K615)&gt;0.01),1,0)</f>
        <v>0</v>
      </c>
      <c r="V615" s="42" t="n">
        <f aca="false">IF(C615&lt;&gt;L615,1,0)</f>
        <v>0</v>
      </c>
      <c r="W615" s="42" t="n">
        <f aca="false">IF(SUM(Q615:V615)&gt;0,1,0)</f>
        <v>0</v>
      </c>
    </row>
    <row r="616" customFormat="false" ht="15" hidden="false" customHeight="false" outlineLevel="0" collapsed="false">
      <c r="A616" s="42" t="str">
        <f aca="false">Sales_Transactions!A616</f>
        <v>INV-18-003</v>
      </c>
      <c r="B616" s="42" t="str">
        <f aca="false">Sales_Transactions!B616</f>
        <v>2026-06</v>
      </c>
      <c r="C616" s="42" t="str">
        <f aca="false">Sales_Transactions!C616</f>
        <v>Actual</v>
      </c>
      <c r="D616" s="42" t="str">
        <f aca="false">Sales_Transactions!D616</f>
        <v>C018</v>
      </c>
      <c r="E616" s="42" t="str">
        <f aca="false">Sales_Transactions!E616</f>
        <v>P004</v>
      </c>
      <c r="F616" s="42" t="str">
        <f aca="false">IFERROR(INDEX(Customer_Master!$C$2:$C$49,MATCH(D616,Customer_Master!$A$2:$A$49,0)),"UNMATCHED")</f>
        <v>North</v>
      </c>
      <c r="G616" s="42" t="str">
        <f aca="false">IFERROR(INDEX(Customer_Master!$D$2:$D$49,MATCH(D616,Customer_Master!$A$2:$A$49,0)),"UNMATCHED")</f>
        <v>Retail</v>
      </c>
      <c r="H616" s="42" t="str">
        <f aca="false">IFERROR(INDEX(Product_Master!$C$2:$C$9,MATCH(E616,Product_Master!$A$2:$A$9,0)),"UNMATCHED")</f>
        <v>Personal Care</v>
      </c>
      <c r="I616" s="42" t="str">
        <f aca="false">IFERROR(INDEX(Product_Master!$B$2:$B$9,MATCH(E616,Product_Master!$A$2:$A$9,0)),"UNMATCHED")</f>
        <v>Soap 4-pack</v>
      </c>
      <c r="J616" s="42" t="n">
        <f aca="false">IFERROR(INDEX(Calendar!$B$2:$B$25,MATCH(B616,Calendar!$A$2:$A$25,0)),0)</f>
        <v>2026</v>
      </c>
      <c r="K616" s="42" t="n">
        <f aca="false">IFERROR(VALUE(RIGHT(B616,2)),0)</f>
        <v>6</v>
      </c>
      <c r="L616" s="42" t="str">
        <f aca="false">IFERROR(INDEX(Calendar!$E$2:$E$25,MATCH(B616,Calendar!$A$2:$A$25,0)),"UNMATCHED")</f>
        <v>Actual</v>
      </c>
      <c r="M616" s="42" t="n">
        <f aca="false">Sales_Transactions!F616</f>
        <v>158</v>
      </c>
      <c r="N616" s="52" t="n">
        <f aca="false">Sales_Transactions!I616</f>
        <v>25731.88</v>
      </c>
      <c r="O616" s="52" t="n">
        <f aca="false">Sales_Transactions!J616</f>
        <v>15869.52</v>
      </c>
      <c r="P616" s="52" t="n">
        <f aca="false">Sales_Transactions!K616</f>
        <v>9862.36</v>
      </c>
      <c r="Q616" s="42" t="n">
        <f aca="false">IF(ISNUMBER(MATCH(E616,Product_Master!$A$2:$A$9,0)),0,1)</f>
        <v>0</v>
      </c>
      <c r="R616" s="42" t="n">
        <f aca="false">IF(ISNUMBER(MATCH(D616,Customer_Master!$A$2:$A$49,0)),0,1)</f>
        <v>0</v>
      </c>
      <c r="S616" s="42" t="n">
        <f aca="false">IF(ISNUMBER(MATCH(B616,Calendar!$A$2:$A$25,0)),0,1)</f>
        <v>0</v>
      </c>
      <c r="T616" s="42" t="n">
        <f aca="false">IF(COUNTIF(Sales_Transactions!$A$2:$A$865,A616)&gt;1,1,0)</f>
        <v>0</v>
      </c>
      <c r="U616" s="42" t="n">
        <f aca="false">IF(OR(ABS(Sales_Transactions!F616*Sales_Transactions!G616-Sales_Transactions!I616)&gt;0.01,ABS(Sales_Transactions!F616*Sales_Transactions!H616-Sales_Transactions!J616)&gt;0.01,ABS(Sales_Transactions!I616-Sales_Transactions!J616-Sales_Transactions!K616)&gt;0.01),1,0)</f>
        <v>0</v>
      </c>
      <c r="V616" s="42" t="n">
        <f aca="false">IF(C616&lt;&gt;L616,1,0)</f>
        <v>0</v>
      </c>
      <c r="W616" s="42" t="n">
        <f aca="false">IF(SUM(Q616:V616)&gt;0,1,0)</f>
        <v>0</v>
      </c>
    </row>
    <row r="617" customFormat="false" ht="15" hidden="false" customHeight="false" outlineLevel="0" collapsed="false">
      <c r="A617" s="42" t="str">
        <f aca="false">Sales_Transactions!A617</f>
        <v>INV-18-004</v>
      </c>
      <c r="B617" s="42" t="str">
        <f aca="false">Sales_Transactions!B617</f>
        <v>2026-06</v>
      </c>
      <c r="C617" s="42" t="str">
        <f aca="false">Sales_Transactions!C617</f>
        <v>Actual</v>
      </c>
      <c r="D617" s="42" t="str">
        <f aca="false">Sales_Transactions!D617</f>
        <v>C025</v>
      </c>
      <c r="E617" s="42" t="str">
        <f aca="false">Sales_Transactions!E617</f>
        <v>P001</v>
      </c>
      <c r="F617" s="42" t="str">
        <f aca="false">IFERROR(INDEX(Customer_Master!$C$2:$C$49,MATCH(D617,Customer_Master!$A$2:$A$49,0)),"UNMATCHED")</f>
        <v>South</v>
      </c>
      <c r="G617" s="42" t="str">
        <f aca="false">IFERROR(INDEX(Customer_Master!$D$2:$D$49,MATCH(D617,Customer_Master!$A$2:$A$49,0)),"UNMATCHED")</f>
        <v>Distributor</v>
      </c>
      <c r="H617" s="42" t="str">
        <f aca="false">IFERROR(INDEX(Product_Master!$C$2:$C$9,MATCH(E617,Product_Master!$A$2:$A$9,0)),"UNMATCHED")</f>
        <v>Home Care</v>
      </c>
      <c r="I617" s="42" t="str">
        <f aca="false">IFERROR(INDEX(Product_Master!$B$2:$B$9,MATCH(E617,Product_Master!$A$2:$A$9,0)),"UNMATCHED")</f>
        <v>Detergent 1kg</v>
      </c>
      <c r="J617" s="42" t="n">
        <f aca="false">IFERROR(INDEX(Calendar!$B$2:$B$25,MATCH(B617,Calendar!$A$2:$A$25,0)),0)</f>
        <v>2026</v>
      </c>
      <c r="K617" s="42" t="n">
        <f aca="false">IFERROR(VALUE(RIGHT(B617,2)),0)</f>
        <v>6</v>
      </c>
      <c r="L617" s="42" t="str">
        <f aca="false">IFERROR(INDEX(Calendar!$E$2:$E$25,MATCH(B617,Calendar!$A$2:$A$25,0)),"UNMATCHED")</f>
        <v>Actual</v>
      </c>
      <c r="M617" s="42" t="n">
        <f aca="false">Sales_Transactions!F617</f>
        <v>460</v>
      </c>
      <c r="N617" s="52" t="n">
        <f aca="false">Sales_Transactions!I617</f>
        <v>98380.2</v>
      </c>
      <c r="O617" s="52" t="n">
        <f aca="false">Sales_Transactions!J617</f>
        <v>60807.4</v>
      </c>
      <c r="P617" s="52" t="n">
        <f aca="false">Sales_Transactions!K617</f>
        <v>37572.8</v>
      </c>
      <c r="Q617" s="42" t="n">
        <f aca="false">IF(ISNUMBER(MATCH(E617,Product_Master!$A$2:$A$9,0)),0,1)</f>
        <v>0</v>
      </c>
      <c r="R617" s="42" t="n">
        <f aca="false">IF(ISNUMBER(MATCH(D617,Customer_Master!$A$2:$A$49,0)),0,1)</f>
        <v>0</v>
      </c>
      <c r="S617" s="42" t="n">
        <f aca="false">IF(ISNUMBER(MATCH(B617,Calendar!$A$2:$A$25,0)),0,1)</f>
        <v>0</v>
      </c>
      <c r="T617" s="42" t="n">
        <f aca="false">IF(COUNTIF(Sales_Transactions!$A$2:$A$865,A617)&gt;1,1,0)</f>
        <v>0</v>
      </c>
      <c r="U617" s="42" t="n">
        <f aca="false">IF(OR(ABS(Sales_Transactions!F617*Sales_Transactions!G617-Sales_Transactions!I617)&gt;0.01,ABS(Sales_Transactions!F617*Sales_Transactions!H617-Sales_Transactions!J617)&gt;0.01,ABS(Sales_Transactions!I617-Sales_Transactions!J617-Sales_Transactions!K617)&gt;0.01),1,0)</f>
        <v>0</v>
      </c>
      <c r="V617" s="42" t="n">
        <f aca="false">IF(C617&lt;&gt;L617,1,0)</f>
        <v>0</v>
      </c>
      <c r="W617" s="42" t="n">
        <f aca="false">IF(SUM(Q617:V617)&gt;0,1,0)</f>
        <v>0</v>
      </c>
    </row>
    <row r="618" customFormat="false" ht="15" hidden="false" customHeight="false" outlineLevel="0" collapsed="false">
      <c r="A618" s="42" t="str">
        <f aca="false">Sales_Transactions!A618</f>
        <v>INV-18-005</v>
      </c>
      <c r="B618" s="42" t="str">
        <f aca="false">Sales_Transactions!B618</f>
        <v>2026-06</v>
      </c>
      <c r="C618" s="42" t="str">
        <f aca="false">Sales_Transactions!C618</f>
        <v>Actual</v>
      </c>
      <c r="D618" s="42" t="str">
        <f aca="false">Sales_Transactions!D618</f>
        <v>C032</v>
      </c>
      <c r="E618" s="42" t="str">
        <f aca="false">Sales_Transactions!E618</f>
        <v>P006</v>
      </c>
      <c r="F618" s="42" t="str">
        <f aca="false">IFERROR(INDEX(Customer_Master!$C$2:$C$49,MATCH(D618,Customer_Master!$A$2:$A$49,0)),"UNMATCHED")</f>
        <v>East</v>
      </c>
      <c r="G618" s="42" t="str">
        <f aca="false">IFERROR(INDEX(Customer_Master!$D$2:$D$49,MATCH(D618,Customer_Master!$A$2:$A$49,0)),"UNMATCHED")</f>
        <v>Modern Trade</v>
      </c>
      <c r="H618" s="42" t="str">
        <f aca="false">IFERROR(INDEX(Product_Master!$C$2:$C$9,MATCH(E618,Product_Master!$A$2:$A$9,0)),"UNMATCHED")</f>
        <v>Foods</v>
      </c>
      <c r="I618" s="42" t="str">
        <f aca="false">IFERROR(INDEX(Product_Master!$B$2:$B$9,MATCH(E618,Product_Master!$A$2:$A$9,0)),"UNMATCHED")</f>
        <v>Breakfast Cereal</v>
      </c>
      <c r="J618" s="42" t="n">
        <f aca="false">IFERROR(INDEX(Calendar!$B$2:$B$25,MATCH(B618,Calendar!$A$2:$A$25,0)),0)</f>
        <v>2026</v>
      </c>
      <c r="K618" s="42" t="n">
        <f aca="false">IFERROR(VALUE(RIGHT(B618,2)),0)</f>
        <v>6</v>
      </c>
      <c r="L618" s="42" t="str">
        <f aca="false">IFERROR(INDEX(Calendar!$E$2:$E$25,MATCH(B618,Calendar!$A$2:$A$25,0)),"UNMATCHED")</f>
        <v>Actual</v>
      </c>
      <c r="M618" s="42" t="n">
        <f aca="false">Sales_Transactions!F618</f>
        <v>289</v>
      </c>
      <c r="N618" s="52" t="n">
        <f aca="false">Sales_Transactions!I618</f>
        <v>66839.92</v>
      </c>
      <c r="O618" s="52" t="n">
        <f aca="false">Sales_Transactions!J618</f>
        <v>45286.3</v>
      </c>
      <c r="P618" s="52" t="n">
        <f aca="false">Sales_Transactions!K618</f>
        <v>21553.62</v>
      </c>
      <c r="Q618" s="42" t="n">
        <f aca="false">IF(ISNUMBER(MATCH(E618,Product_Master!$A$2:$A$9,0)),0,1)</f>
        <v>0</v>
      </c>
      <c r="R618" s="42" t="n">
        <f aca="false">IF(ISNUMBER(MATCH(D618,Customer_Master!$A$2:$A$49,0)),0,1)</f>
        <v>0</v>
      </c>
      <c r="S618" s="42" t="n">
        <f aca="false">IF(ISNUMBER(MATCH(B618,Calendar!$A$2:$A$25,0)),0,1)</f>
        <v>0</v>
      </c>
      <c r="T618" s="42" t="n">
        <f aca="false">IF(COUNTIF(Sales_Transactions!$A$2:$A$865,A618)&gt;1,1,0)</f>
        <v>0</v>
      </c>
      <c r="U618" s="42" t="n">
        <f aca="false">IF(OR(ABS(Sales_Transactions!F618*Sales_Transactions!G618-Sales_Transactions!I618)&gt;0.01,ABS(Sales_Transactions!F618*Sales_Transactions!H618-Sales_Transactions!J618)&gt;0.01,ABS(Sales_Transactions!I618-Sales_Transactions!J618-Sales_Transactions!K618)&gt;0.01),1,0)</f>
        <v>0</v>
      </c>
      <c r="V618" s="42" t="n">
        <f aca="false">IF(C618&lt;&gt;L618,1,0)</f>
        <v>0</v>
      </c>
      <c r="W618" s="42" t="n">
        <f aca="false">IF(SUM(Q618:V618)&gt;0,1,0)</f>
        <v>0</v>
      </c>
    </row>
    <row r="619" customFormat="false" ht="15" hidden="false" customHeight="false" outlineLevel="0" collapsed="false">
      <c r="A619" s="42" t="str">
        <f aca="false">Sales_Transactions!A619</f>
        <v>INV-18-006</v>
      </c>
      <c r="B619" s="42" t="str">
        <f aca="false">Sales_Transactions!B619</f>
        <v>2026-06</v>
      </c>
      <c r="C619" s="42" t="str">
        <f aca="false">Sales_Transactions!C619</f>
        <v>Actual</v>
      </c>
      <c r="D619" s="42" t="str">
        <f aca="false">Sales_Transactions!D619</f>
        <v>C039</v>
      </c>
      <c r="E619" s="42" t="str">
        <f aca="false">Sales_Transactions!E619</f>
        <v>P003</v>
      </c>
      <c r="F619" s="42" t="str">
        <f aca="false">IFERROR(INDEX(Customer_Master!$C$2:$C$49,MATCH(D619,Customer_Master!$A$2:$A$49,0)),"UNMATCHED")</f>
        <v>West</v>
      </c>
      <c r="G619" s="42" t="str">
        <f aca="false">IFERROR(INDEX(Customer_Master!$D$2:$D$49,MATCH(D619,Customer_Master!$A$2:$A$49,0)),"UNMATCHED")</f>
        <v>Retail</v>
      </c>
      <c r="H619" s="42" t="str">
        <f aca="false">IFERROR(INDEX(Product_Master!$C$2:$C$9,MATCH(E619,Product_Master!$A$2:$A$9,0)),"UNMATCHED")</f>
        <v>Personal Care</v>
      </c>
      <c r="I619" s="42" t="str">
        <f aca="false">IFERROR(INDEX(Product_Master!$B$2:$B$9,MATCH(E619,Product_Master!$A$2:$A$9,0)),"UNMATCHED")</f>
        <v>Shampoo 400ml</v>
      </c>
      <c r="J619" s="42" t="n">
        <f aca="false">IFERROR(INDEX(Calendar!$B$2:$B$25,MATCH(B619,Calendar!$A$2:$A$25,0)),0)</f>
        <v>2026</v>
      </c>
      <c r="K619" s="42" t="n">
        <f aca="false">IFERROR(VALUE(RIGHT(B619,2)),0)</f>
        <v>6</v>
      </c>
      <c r="L619" s="42" t="str">
        <f aca="false">IFERROR(INDEX(Calendar!$E$2:$E$25,MATCH(B619,Calendar!$A$2:$A$25,0)),"UNMATCHED")</f>
        <v>Actual</v>
      </c>
      <c r="M619" s="42" t="n">
        <f aca="false">Sales_Transactions!F619</f>
        <v>372</v>
      </c>
      <c r="N619" s="52" t="n">
        <f aca="false">Sales_Transactions!I619</f>
        <v>94142.04</v>
      </c>
      <c r="O619" s="52" t="n">
        <f aca="false">Sales_Transactions!J619</f>
        <v>62912.64</v>
      </c>
      <c r="P619" s="52" t="n">
        <f aca="false">Sales_Transactions!K619</f>
        <v>31229.4</v>
      </c>
      <c r="Q619" s="42" t="n">
        <f aca="false">IF(ISNUMBER(MATCH(E619,Product_Master!$A$2:$A$9,0)),0,1)</f>
        <v>0</v>
      </c>
      <c r="R619" s="42" t="n">
        <f aca="false">IF(ISNUMBER(MATCH(D619,Customer_Master!$A$2:$A$49,0)),0,1)</f>
        <v>0</v>
      </c>
      <c r="S619" s="42" t="n">
        <f aca="false">IF(ISNUMBER(MATCH(B619,Calendar!$A$2:$A$25,0)),0,1)</f>
        <v>0</v>
      </c>
      <c r="T619" s="42" t="n">
        <f aca="false">IF(COUNTIF(Sales_Transactions!$A$2:$A$865,A619)&gt;1,1,0)</f>
        <v>0</v>
      </c>
      <c r="U619" s="42" t="n">
        <f aca="false">IF(OR(ABS(Sales_Transactions!F619*Sales_Transactions!G619-Sales_Transactions!I619)&gt;0.01,ABS(Sales_Transactions!F619*Sales_Transactions!H619-Sales_Transactions!J619)&gt;0.01,ABS(Sales_Transactions!I619-Sales_Transactions!J619-Sales_Transactions!K619)&gt;0.01),1,0)</f>
        <v>0</v>
      </c>
      <c r="V619" s="42" t="n">
        <f aca="false">IF(C619&lt;&gt;L619,1,0)</f>
        <v>0</v>
      </c>
      <c r="W619" s="42" t="n">
        <f aca="false">IF(SUM(Q619:V619)&gt;0,1,0)</f>
        <v>0</v>
      </c>
    </row>
    <row r="620" customFormat="false" ht="15" hidden="false" customHeight="false" outlineLevel="0" collapsed="false">
      <c r="A620" s="42" t="str">
        <f aca="false">Sales_Transactions!A620</f>
        <v>INV-18-007</v>
      </c>
      <c r="B620" s="42" t="str">
        <f aca="false">Sales_Transactions!B620</f>
        <v>2026-06</v>
      </c>
      <c r="C620" s="42" t="str">
        <f aca="false">Sales_Transactions!C620</f>
        <v>Actual</v>
      </c>
      <c r="D620" s="42" t="str">
        <f aca="false">Sales_Transactions!D620</f>
        <v>C046</v>
      </c>
      <c r="E620" s="42" t="str">
        <f aca="false">Sales_Transactions!E620</f>
        <v>P008</v>
      </c>
      <c r="F620" s="42" t="str">
        <f aca="false">IFERROR(INDEX(Customer_Master!$C$2:$C$49,MATCH(D620,Customer_Master!$A$2:$A$49,0)),"UNMATCHED")</f>
        <v>North</v>
      </c>
      <c r="G620" s="42" t="str">
        <f aca="false">IFERROR(INDEX(Customer_Master!$D$2:$D$49,MATCH(D620,Customer_Master!$A$2:$A$49,0)),"UNMATCHED")</f>
        <v>Distributor</v>
      </c>
      <c r="H620" s="42" t="str">
        <f aca="false">IFERROR(INDEX(Product_Master!$C$2:$C$9,MATCH(E620,Product_Master!$A$2:$A$9,0)),"UNMATCHED")</f>
        <v>Personal Care</v>
      </c>
      <c r="I620" s="42" t="str">
        <f aca="false">IFERROR(INDEX(Product_Master!$B$2:$B$9,MATCH(E620,Product_Master!$A$2:$A$9,0)),"UNMATCHED")</f>
        <v>Body Lotion</v>
      </c>
      <c r="J620" s="42" t="n">
        <f aca="false">IFERROR(INDEX(Calendar!$B$2:$B$25,MATCH(B620,Calendar!$A$2:$A$25,0)),0)</f>
        <v>2026</v>
      </c>
      <c r="K620" s="42" t="n">
        <f aca="false">IFERROR(VALUE(RIGHT(B620,2)),0)</f>
        <v>6</v>
      </c>
      <c r="L620" s="42" t="str">
        <f aca="false">IFERROR(INDEX(Calendar!$E$2:$E$25,MATCH(B620,Calendar!$A$2:$A$25,0)),"UNMATCHED")</f>
        <v>Actual</v>
      </c>
      <c r="M620" s="42" t="n">
        <f aca="false">Sales_Transactions!F620</f>
        <v>147</v>
      </c>
      <c r="N620" s="52" t="n">
        <f aca="false">Sales_Transactions!I620</f>
        <v>44180.85</v>
      </c>
      <c r="O620" s="52" t="n">
        <f aca="false">Sales_Transactions!J620</f>
        <v>29389.71</v>
      </c>
      <c r="P620" s="52" t="n">
        <f aca="false">Sales_Transactions!K620</f>
        <v>14791.14</v>
      </c>
      <c r="Q620" s="42" t="n">
        <f aca="false">IF(ISNUMBER(MATCH(E620,Product_Master!$A$2:$A$9,0)),0,1)</f>
        <v>0</v>
      </c>
      <c r="R620" s="42" t="n">
        <f aca="false">IF(ISNUMBER(MATCH(D620,Customer_Master!$A$2:$A$49,0)),0,1)</f>
        <v>0</v>
      </c>
      <c r="S620" s="42" t="n">
        <f aca="false">IF(ISNUMBER(MATCH(B620,Calendar!$A$2:$A$25,0)),0,1)</f>
        <v>0</v>
      </c>
      <c r="T620" s="42" t="n">
        <f aca="false">IF(COUNTIF(Sales_Transactions!$A$2:$A$865,A620)&gt;1,1,0)</f>
        <v>0</v>
      </c>
      <c r="U620" s="42" t="n">
        <f aca="false">IF(OR(ABS(Sales_Transactions!F620*Sales_Transactions!G620-Sales_Transactions!I620)&gt;0.01,ABS(Sales_Transactions!F620*Sales_Transactions!H620-Sales_Transactions!J620)&gt;0.01,ABS(Sales_Transactions!I620-Sales_Transactions!J620-Sales_Transactions!K620)&gt;0.01),1,0)</f>
        <v>0</v>
      </c>
      <c r="V620" s="42" t="n">
        <f aca="false">IF(C620&lt;&gt;L620,1,0)</f>
        <v>0</v>
      </c>
      <c r="W620" s="42" t="n">
        <f aca="false">IF(SUM(Q620:V620)&gt;0,1,0)</f>
        <v>0</v>
      </c>
    </row>
    <row r="621" customFormat="false" ht="15" hidden="false" customHeight="false" outlineLevel="0" collapsed="false">
      <c r="A621" s="42" t="str">
        <f aca="false">Sales_Transactions!A621</f>
        <v>INV-18-008</v>
      </c>
      <c r="B621" s="42" t="str">
        <f aca="false">Sales_Transactions!B621</f>
        <v>2026-06</v>
      </c>
      <c r="C621" s="42" t="str">
        <f aca="false">Sales_Transactions!C621</f>
        <v>Actual</v>
      </c>
      <c r="D621" s="42" t="str">
        <f aca="false">Sales_Transactions!D621</f>
        <v>C005</v>
      </c>
      <c r="E621" s="42" t="str">
        <f aca="false">Sales_Transactions!E621</f>
        <v>P005</v>
      </c>
      <c r="F621" s="42" t="str">
        <f aca="false">IFERROR(INDEX(Customer_Master!$C$2:$C$49,MATCH(D621,Customer_Master!$A$2:$A$49,0)),"UNMATCHED")</f>
        <v>South</v>
      </c>
      <c r="G621" s="42" t="str">
        <f aca="false">IFERROR(INDEX(Customer_Master!$D$2:$D$49,MATCH(D621,Customer_Master!$A$2:$A$49,0)),"UNMATCHED")</f>
        <v>Modern Trade</v>
      </c>
      <c r="H621" s="42" t="str">
        <f aca="false">IFERROR(INDEX(Product_Master!$C$2:$C$9,MATCH(E621,Product_Master!$A$2:$A$9,0)),"UNMATCHED")</f>
        <v>Foods</v>
      </c>
      <c r="I621" s="42" t="str">
        <f aca="false">IFERROR(INDEX(Product_Master!$B$2:$B$9,MATCH(E621,Product_Master!$A$2:$A$9,0)),"UNMATCHED")</f>
        <v>Biscuits 500g</v>
      </c>
      <c r="J621" s="42" t="n">
        <f aca="false">IFERROR(INDEX(Calendar!$B$2:$B$25,MATCH(B621,Calendar!$A$2:$A$25,0)),0)</f>
        <v>2026</v>
      </c>
      <c r="K621" s="42" t="n">
        <f aca="false">IFERROR(VALUE(RIGHT(B621,2)),0)</f>
        <v>6</v>
      </c>
      <c r="L621" s="42" t="str">
        <f aca="false">IFERROR(INDEX(Calendar!$E$2:$E$25,MATCH(B621,Calendar!$A$2:$A$25,0)),"UNMATCHED")</f>
        <v>Actual</v>
      </c>
      <c r="M621" s="42" t="n">
        <f aca="false">Sales_Transactions!F621</f>
        <v>134</v>
      </c>
      <c r="N621" s="52" t="n">
        <f aca="false">Sales_Transactions!I621</f>
        <v>13215.08</v>
      </c>
      <c r="O621" s="52" t="n">
        <f aca="false">Sales_Transactions!J621</f>
        <v>9637.28</v>
      </c>
      <c r="P621" s="52" t="n">
        <f aca="false">Sales_Transactions!K621</f>
        <v>3577.8</v>
      </c>
      <c r="Q621" s="42" t="n">
        <f aca="false">IF(ISNUMBER(MATCH(E621,Product_Master!$A$2:$A$9,0)),0,1)</f>
        <v>0</v>
      </c>
      <c r="R621" s="42" t="n">
        <f aca="false">IF(ISNUMBER(MATCH(D621,Customer_Master!$A$2:$A$49,0)),0,1)</f>
        <v>0</v>
      </c>
      <c r="S621" s="42" t="n">
        <f aca="false">IF(ISNUMBER(MATCH(B621,Calendar!$A$2:$A$25,0)),0,1)</f>
        <v>0</v>
      </c>
      <c r="T621" s="42" t="n">
        <f aca="false">IF(COUNTIF(Sales_Transactions!$A$2:$A$865,A621)&gt;1,1,0)</f>
        <v>0</v>
      </c>
      <c r="U621" s="42" t="n">
        <f aca="false">IF(OR(ABS(Sales_Transactions!F621*Sales_Transactions!G621-Sales_Transactions!I621)&gt;0.01,ABS(Sales_Transactions!F621*Sales_Transactions!H621-Sales_Transactions!J621)&gt;0.01,ABS(Sales_Transactions!I621-Sales_Transactions!J621-Sales_Transactions!K621)&gt;0.01),1,0)</f>
        <v>0</v>
      </c>
      <c r="V621" s="42" t="n">
        <f aca="false">IF(C621&lt;&gt;L621,1,0)</f>
        <v>0</v>
      </c>
      <c r="W621" s="42" t="n">
        <f aca="false">IF(SUM(Q621:V621)&gt;0,1,0)</f>
        <v>0</v>
      </c>
    </row>
    <row r="622" customFormat="false" ht="15" hidden="false" customHeight="false" outlineLevel="0" collapsed="false">
      <c r="A622" s="42" t="str">
        <f aca="false">Sales_Transactions!A622</f>
        <v>INV-18-009</v>
      </c>
      <c r="B622" s="42" t="str">
        <f aca="false">Sales_Transactions!B622</f>
        <v>2026-06</v>
      </c>
      <c r="C622" s="42" t="str">
        <f aca="false">Sales_Transactions!C622</f>
        <v>Actual</v>
      </c>
      <c r="D622" s="42" t="str">
        <f aca="false">Sales_Transactions!D622</f>
        <v>C012</v>
      </c>
      <c r="E622" s="42" t="str">
        <f aca="false">Sales_Transactions!E622</f>
        <v>P002</v>
      </c>
      <c r="F622" s="42" t="str">
        <f aca="false">IFERROR(INDEX(Customer_Master!$C$2:$C$49,MATCH(D622,Customer_Master!$A$2:$A$49,0)),"UNMATCHED")</f>
        <v>East</v>
      </c>
      <c r="G622" s="42" t="str">
        <f aca="false">IFERROR(INDEX(Customer_Master!$D$2:$D$49,MATCH(D622,Customer_Master!$A$2:$A$49,0)),"UNMATCHED")</f>
        <v>Retail</v>
      </c>
      <c r="H622" s="42" t="str">
        <f aca="false">IFERROR(INDEX(Product_Master!$C$2:$C$9,MATCH(E622,Product_Master!$A$2:$A$9,0)),"UNMATCHED")</f>
        <v>Home Care</v>
      </c>
      <c r="I622" s="42" t="str">
        <f aca="false">IFERROR(INDEX(Product_Master!$B$2:$B$9,MATCH(E622,Product_Master!$A$2:$A$9,0)),"UNMATCHED")</f>
        <v>Dishwash Gel</v>
      </c>
      <c r="J622" s="42" t="n">
        <f aca="false">IFERROR(INDEX(Calendar!$B$2:$B$25,MATCH(B622,Calendar!$A$2:$A$25,0)),0)</f>
        <v>2026</v>
      </c>
      <c r="K622" s="42" t="n">
        <f aca="false">IFERROR(VALUE(RIGHT(B622,2)),0)</f>
        <v>6</v>
      </c>
      <c r="L622" s="42" t="str">
        <f aca="false">IFERROR(INDEX(Calendar!$E$2:$E$25,MATCH(B622,Calendar!$A$2:$A$25,0)),"UNMATCHED")</f>
        <v>Actual</v>
      </c>
      <c r="M622" s="42" t="n">
        <f aca="false">Sales_Transactions!F622</f>
        <v>400</v>
      </c>
      <c r="N622" s="52" t="n">
        <f aca="false">Sales_Transactions!I622</f>
        <v>54772</v>
      </c>
      <c r="O622" s="52" t="n">
        <f aca="false">Sales_Transactions!J622</f>
        <v>35276</v>
      </c>
      <c r="P622" s="52" t="n">
        <f aca="false">Sales_Transactions!K622</f>
        <v>19496</v>
      </c>
      <c r="Q622" s="42" t="n">
        <f aca="false">IF(ISNUMBER(MATCH(E622,Product_Master!$A$2:$A$9,0)),0,1)</f>
        <v>0</v>
      </c>
      <c r="R622" s="42" t="n">
        <f aca="false">IF(ISNUMBER(MATCH(D622,Customer_Master!$A$2:$A$49,0)),0,1)</f>
        <v>0</v>
      </c>
      <c r="S622" s="42" t="n">
        <f aca="false">IF(ISNUMBER(MATCH(B622,Calendar!$A$2:$A$25,0)),0,1)</f>
        <v>0</v>
      </c>
      <c r="T622" s="42" t="n">
        <f aca="false">IF(COUNTIF(Sales_Transactions!$A$2:$A$865,A622)&gt;1,1,0)</f>
        <v>0</v>
      </c>
      <c r="U622" s="42" t="n">
        <f aca="false">IF(OR(ABS(Sales_Transactions!F622*Sales_Transactions!G622-Sales_Transactions!I622)&gt;0.01,ABS(Sales_Transactions!F622*Sales_Transactions!H622-Sales_Transactions!J622)&gt;0.01,ABS(Sales_Transactions!I622-Sales_Transactions!J622-Sales_Transactions!K622)&gt;0.01),1,0)</f>
        <v>0</v>
      </c>
      <c r="V622" s="42" t="n">
        <f aca="false">IF(C622&lt;&gt;L622,1,0)</f>
        <v>0</v>
      </c>
      <c r="W622" s="42" t="n">
        <f aca="false">IF(SUM(Q622:V622)&gt;0,1,0)</f>
        <v>0</v>
      </c>
    </row>
    <row r="623" customFormat="false" ht="15" hidden="false" customHeight="false" outlineLevel="0" collapsed="false">
      <c r="A623" s="42" t="str">
        <f aca="false">Sales_Transactions!A623</f>
        <v>INV-18-010</v>
      </c>
      <c r="B623" s="42" t="str">
        <f aca="false">Sales_Transactions!B623</f>
        <v>2026-06</v>
      </c>
      <c r="C623" s="42" t="str">
        <f aca="false">Sales_Transactions!C623</f>
        <v>Actual</v>
      </c>
      <c r="D623" s="42" t="str">
        <f aca="false">Sales_Transactions!D623</f>
        <v>C019</v>
      </c>
      <c r="E623" s="42" t="str">
        <f aca="false">Sales_Transactions!E623</f>
        <v>P007</v>
      </c>
      <c r="F623" s="42" t="str">
        <f aca="false">IFERROR(INDEX(Customer_Master!$C$2:$C$49,MATCH(D623,Customer_Master!$A$2:$A$49,0)),"UNMATCHED")</f>
        <v>West</v>
      </c>
      <c r="G623" s="42" t="str">
        <f aca="false">IFERROR(INDEX(Customer_Master!$D$2:$D$49,MATCH(D623,Customer_Master!$A$2:$A$49,0)),"UNMATCHED")</f>
        <v>Distributor</v>
      </c>
      <c r="H623" s="42" t="str">
        <f aca="false">IFERROR(INDEX(Product_Master!$C$2:$C$9,MATCH(E623,Product_Master!$A$2:$A$9,0)),"UNMATCHED")</f>
        <v>Home Care</v>
      </c>
      <c r="I623" s="42" t="str">
        <f aca="false">IFERROR(INDEX(Product_Master!$B$2:$B$9,MATCH(E623,Product_Master!$A$2:$A$9,0)),"UNMATCHED")</f>
        <v>Floor Cleaner</v>
      </c>
      <c r="J623" s="42" t="n">
        <f aca="false">IFERROR(INDEX(Calendar!$B$2:$B$25,MATCH(B623,Calendar!$A$2:$A$25,0)),0)</f>
        <v>2026</v>
      </c>
      <c r="K623" s="42" t="n">
        <f aca="false">IFERROR(VALUE(RIGHT(B623,2)),0)</f>
        <v>6</v>
      </c>
      <c r="L623" s="42" t="str">
        <f aca="false">IFERROR(INDEX(Calendar!$E$2:$E$25,MATCH(B623,Calendar!$A$2:$A$25,0)),"UNMATCHED")</f>
        <v>Actual</v>
      </c>
      <c r="M623" s="42" t="n">
        <f aca="false">Sales_Transactions!F623</f>
        <v>166</v>
      </c>
      <c r="N623" s="52" t="n">
        <f aca="false">Sales_Transactions!I623</f>
        <v>31405.54</v>
      </c>
      <c r="O623" s="52" t="n">
        <f aca="false">Sales_Transactions!J623</f>
        <v>19931.62</v>
      </c>
      <c r="P623" s="52" t="n">
        <f aca="false">Sales_Transactions!K623</f>
        <v>11473.92</v>
      </c>
      <c r="Q623" s="42" t="n">
        <f aca="false">IF(ISNUMBER(MATCH(E623,Product_Master!$A$2:$A$9,0)),0,1)</f>
        <v>0</v>
      </c>
      <c r="R623" s="42" t="n">
        <f aca="false">IF(ISNUMBER(MATCH(D623,Customer_Master!$A$2:$A$49,0)),0,1)</f>
        <v>0</v>
      </c>
      <c r="S623" s="42" t="n">
        <f aca="false">IF(ISNUMBER(MATCH(B623,Calendar!$A$2:$A$25,0)),0,1)</f>
        <v>0</v>
      </c>
      <c r="T623" s="42" t="n">
        <f aca="false">IF(COUNTIF(Sales_Transactions!$A$2:$A$865,A623)&gt;1,1,0)</f>
        <v>0</v>
      </c>
      <c r="U623" s="42" t="n">
        <f aca="false">IF(OR(ABS(Sales_Transactions!F623*Sales_Transactions!G623-Sales_Transactions!I623)&gt;0.01,ABS(Sales_Transactions!F623*Sales_Transactions!H623-Sales_Transactions!J623)&gt;0.01,ABS(Sales_Transactions!I623-Sales_Transactions!J623-Sales_Transactions!K623)&gt;0.01),1,0)</f>
        <v>0</v>
      </c>
      <c r="V623" s="42" t="n">
        <f aca="false">IF(C623&lt;&gt;L623,1,0)</f>
        <v>0</v>
      </c>
      <c r="W623" s="42" t="n">
        <f aca="false">IF(SUM(Q623:V623)&gt;0,1,0)</f>
        <v>0</v>
      </c>
    </row>
    <row r="624" customFormat="false" ht="15" hidden="false" customHeight="false" outlineLevel="0" collapsed="false">
      <c r="A624" s="42" t="str">
        <f aca="false">Sales_Transactions!A624</f>
        <v>INV-18-011</v>
      </c>
      <c r="B624" s="42" t="str">
        <f aca="false">Sales_Transactions!B624</f>
        <v>2026-06</v>
      </c>
      <c r="C624" s="42" t="str">
        <f aca="false">Sales_Transactions!C624</f>
        <v>Actual</v>
      </c>
      <c r="D624" s="42" t="str">
        <f aca="false">Sales_Transactions!D624</f>
        <v>C026</v>
      </c>
      <c r="E624" s="42" t="str">
        <f aca="false">Sales_Transactions!E624</f>
        <v>P004</v>
      </c>
      <c r="F624" s="42" t="str">
        <f aca="false">IFERROR(INDEX(Customer_Master!$C$2:$C$49,MATCH(D624,Customer_Master!$A$2:$A$49,0)),"UNMATCHED")</f>
        <v>North</v>
      </c>
      <c r="G624" s="42" t="str">
        <f aca="false">IFERROR(INDEX(Customer_Master!$D$2:$D$49,MATCH(D624,Customer_Master!$A$2:$A$49,0)),"UNMATCHED")</f>
        <v>Modern Trade</v>
      </c>
      <c r="H624" s="42" t="str">
        <f aca="false">IFERROR(INDEX(Product_Master!$C$2:$C$9,MATCH(E624,Product_Master!$A$2:$A$9,0)),"UNMATCHED")</f>
        <v>Personal Care</v>
      </c>
      <c r="I624" s="42" t="str">
        <f aca="false">IFERROR(INDEX(Product_Master!$B$2:$B$9,MATCH(E624,Product_Master!$A$2:$A$9,0)),"UNMATCHED")</f>
        <v>Soap 4-pack</v>
      </c>
      <c r="J624" s="42" t="n">
        <f aca="false">IFERROR(INDEX(Calendar!$B$2:$B$25,MATCH(B624,Calendar!$A$2:$A$25,0)),0)</f>
        <v>2026</v>
      </c>
      <c r="K624" s="42" t="n">
        <f aca="false">IFERROR(VALUE(RIGHT(B624,2)),0)</f>
        <v>6</v>
      </c>
      <c r="L624" s="42" t="str">
        <f aca="false">IFERROR(INDEX(Calendar!$E$2:$E$25,MATCH(B624,Calendar!$A$2:$A$25,0)),"UNMATCHED")</f>
        <v>Actual</v>
      </c>
      <c r="M624" s="42" t="n">
        <f aca="false">Sales_Transactions!F624</f>
        <v>454</v>
      </c>
      <c r="N624" s="52" t="n">
        <f aca="false">Sales_Transactions!I624</f>
        <v>73938.44</v>
      </c>
      <c r="O624" s="52" t="n">
        <f aca="false">Sales_Transactions!J624</f>
        <v>45831.3</v>
      </c>
      <c r="P624" s="52" t="n">
        <f aca="false">Sales_Transactions!K624</f>
        <v>28107.14</v>
      </c>
      <c r="Q624" s="42" t="n">
        <f aca="false">IF(ISNUMBER(MATCH(E624,Product_Master!$A$2:$A$9,0)),0,1)</f>
        <v>0</v>
      </c>
      <c r="R624" s="42" t="n">
        <f aca="false">IF(ISNUMBER(MATCH(D624,Customer_Master!$A$2:$A$49,0)),0,1)</f>
        <v>0</v>
      </c>
      <c r="S624" s="42" t="n">
        <f aca="false">IF(ISNUMBER(MATCH(B624,Calendar!$A$2:$A$25,0)),0,1)</f>
        <v>0</v>
      </c>
      <c r="T624" s="42" t="n">
        <f aca="false">IF(COUNTIF(Sales_Transactions!$A$2:$A$865,A624)&gt;1,1,0)</f>
        <v>0</v>
      </c>
      <c r="U624" s="42" t="n">
        <f aca="false">IF(OR(ABS(Sales_Transactions!F624*Sales_Transactions!G624-Sales_Transactions!I624)&gt;0.01,ABS(Sales_Transactions!F624*Sales_Transactions!H624-Sales_Transactions!J624)&gt;0.01,ABS(Sales_Transactions!I624-Sales_Transactions!J624-Sales_Transactions!K624)&gt;0.01),1,0)</f>
        <v>0</v>
      </c>
      <c r="V624" s="42" t="n">
        <f aca="false">IF(C624&lt;&gt;L624,1,0)</f>
        <v>0</v>
      </c>
      <c r="W624" s="42" t="n">
        <f aca="false">IF(SUM(Q624:V624)&gt;0,1,0)</f>
        <v>0</v>
      </c>
    </row>
    <row r="625" customFormat="false" ht="15" hidden="false" customHeight="false" outlineLevel="0" collapsed="false">
      <c r="A625" s="42" t="str">
        <f aca="false">Sales_Transactions!A625</f>
        <v>INV-18-012</v>
      </c>
      <c r="B625" s="42" t="str">
        <f aca="false">Sales_Transactions!B625</f>
        <v>2026-06</v>
      </c>
      <c r="C625" s="42" t="str">
        <f aca="false">Sales_Transactions!C625</f>
        <v>Actual</v>
      </c>
      <c r="D625" s="42" t="str">
        <f aca="false">Sales_Transactions!D625</f>
        <v>C033</v>
      </c>
      <c r="E625" s="42" t="str">
        <f aca="false">Sales_Transactions!E625</f>
        <v>P001</v>
      </c>
      <c r="F625" s="42" t="str">
        <f aca="false">IFERROR(INDEX(Customer_Master!$C$2:$C$49,MATCH(D625,Customer_Master!$A$2:$A$49,0)),"UNMATCHED")</f>
        <v>South</v>
      </c>
      <c r="G625" s="42" t="str">
        <f aca="false">IFERROR(INDEX(Customer_Master!$D$2:$D$49,MATCH(D625,Customer_Master!$A$2:$A$49,0)),"UNMATCHED")</f>
        <v>Retail</v>
      </c>
      <c r="H625" s="42" t="str">
        <f aca="false">IFERROR(INDEX(Product_Master!$C$2:$C$9,MATCH(E625,Product_Master!$A$2:$A$9,0)),"UNMATCHED")</f>
        <v>Home Care</v>
      </c>
      <c r="I625" s="42" t="str">
        <f aca="false">IFERROR(INDEX(Product_Master!$B$2:$B$9,MATCH(E625,Product_Master!$A$2:$A$9,0)),"UNMATCHED")</f>
        <v>Detergent 1kg</v>
      </c>
      <c r="J625" s="42" t="n">
        <f aca="false">IFERROR(INDEX(Calendar!$B$2:$B$25,MATCH(B625,Calendar!$A$2:$A$25,0)),0)</f>
        <v>2026</v>
      </c>
      <c r="K625" s="42" t="n">
        <f aca="false">IFERROR(VALUE(RIGHT(B625,2)),0)</f>
        <v>6</v>
      </c>
      <c r="L625" s="42" t="str">
        <f aca="false">IFERROR(INDEX(Calendar!$E$2:$E$25,MATCH(B625,Calendar!$A$2:$A$25,0)),"UNMATCHED")</f>
        <v>Actual</v>
      </c>
      <c r="M625" s="42" t="n">
        <f aca="false">Sales_Transactions!F625</f>
        <v>340</v>
      </c>
      <c r="N625" s="52" t="n">
        <f aca="false">Sales_Transactions!I625</f>
        <v>72790.6</v>
      </c>
      <c r="O625" s="52" t="n">
        <f aca="false">Sales_Transactions!J625</f>
        <v>45597.4</v>
      </c>
      <c r="P625" s="52" t="n">
        <f aca="false">Sales_Transactions!K625</f>
        <v>27193.2</v>
      </c>
      <c r="Q625" s="42" t="n">
        <f aca="false">IF(ISNUMBER(MATCH(E625,Product_Master!$A$2:$A$9,0)),0,1)</f>
        <v>0</v>
      </c>
      <c r="R625" s="42" t="n">
        <f aca="false">IF(ISNUMBER(MATCH(D625,Customer_Master!$A$2:$A$49,0)),0,1)</f>
        <v>0</v>
      </c>
      <c r="S625" s="42" t="n">
        <f aca="false">IF(ISNUMBER(MATCH(B625,Calendar!$A$2:$A$25,0)),0,1)</f>
        <v>0</v>
      </c>
      <c r="T625" s="42" t="n">
        <f aca="false">IF(COUNTIF(Sales_Transactions!$A$2:$A$865,A625)&gt;1,1,0)</f>
        <v>0</v>
      </c>
      <c r="U625" s="42" t="n">
        <f aca="false">IF(OR(ABS(Sales_Transactions!F625*Sales_Transactions!G625-Sales_Transactions!I625)&gt;0.01,ABS(Sales_Transactions!F625*Sales_Transactions!H625-Sales_Transactions!J625)&gt;0.01,ABS(Sales_Transactions!I625-Sales_Transactions!J625-Sales_Transactions!K625)&gt;0.01),1,0)</f>
        <v>0</v>
      </c>
      <c r="V625" s="42" t="n">
        <f aca="false">IF(C625&lt;&gt;L625,1,0)</f>
        <v>0</v>
      </c>
      <c r="W625" s="42" t="n">
        <f aca="false">IF(SUM(Q625:V625)&gt;0,1,0)</f>
        <v>0</v>
      </c>
    </row>
    <row r="626" customFormat="false" ht="15" hidden="false" customHeight="false" outlineLevel="0" collapsed="false">
      <c r="A626" s="42" t="str">
        <f aca="false">Sales_Transactions!A626</f>
        <v>INV-18-013</v>
      </c>
      <c r="B626" s="42" t="str">
        <f aca="false">Sales_Transactions!B626</f>
        <v>2026-06</v>
      </c>
      <c r="C626" s="42" t="str">
        <f aca="false">Sales_Transactions!C626</f>
        <v>Actual</v>
      </c>
      <c r="D626" s="42" t="str">
        <f aca="false">Sales_Transactions!D626</f>
        <v>C040</v>
      </c>
      <c r="E626" s="42" t="str">
        <f aca="false">Sales_Transactions!E626</f>
        <v>P006</v>
      </c>
      <c r="F626" s="42" t="str">
        <f aca="false">IFERROR(INDEX(Customer_Master!$C$2:$C$49,MATCH(D626,Customer_Master!$A$2:$A$49,0)),"UNMATCHED")</f>
        <v>East</v>
      </c>
      <c r="G626" s="42" t="str">
        <f aca="false">IFERROR(INDEX(Customer_Master!$D$2:$D$49,MATCH(D626,Customer_Master!$A$2:$A$49,0)),"UNMATCHED")</f>
        <v>Distributor</v>
      </c>
      <c r="H626" s="42" t="str">
        <f aca="false">IFERROR(INDEX(Product_Master!$C$2:$C$9,MATCH(E626,Product_Master!$A$2:$A$9,0)),"UNMATCHED")</f>
        <v>Foods</v>
      </c>
      <c r="I626" s="42" t="str">
        <f aca="false">IFERROR(INDEX(Product_Master!$B$2:$B$9,MATCH(E626,Product_Master!$A$2:$A$9,0)),"UNMATCHED")</f>
        <v>Breakfast Cereal</v>
      </c>
      <c r="J626" s="42" t="n">
        <f aca="false">IFERROR(INDEX(Calendar!$B$2:$B$25,MATCH(B626,Calendar!$A$2:$A$25,0)),0)</f>
        <v>2026</v>
      </c>
      <c r="K626" s="42" t="n">
        <f aca="false">IFERROR(VALUE(RIGHT(B626,2)),0)</f>
        <v>6</v>
      </c>
      <c r="L626" s="42" t="str">
        <f aca="false">IFERROR(INDEX(Calendar!$E$2:$E$25,MATCH(B626,Calendar!$A$2:$A$25,0)),"UNMATCHED")</f>
        <v>Actual</v>
      </c>
      <c r="M626" s="42" t="n">
        <f aca="false">Sales_Transactions!F626</f>
        <v>242</v>
      </c>
      <c r="N626" s="52" t="n">
        <f aca="false">Sales_Transactions!I626</f>
        <v>58912.48</v>
      </c>
      <c r="O626" s="52" t="n">
        <f aca="false">Sales_Transactions!J626</f>
        <v>36650.9</v>
      </c>
      <c r="P626" s="52" t="n">
        <f aca="false">Sales_Transactions!K626</f>
        <v>22261.58</v>
      </c>
      <c r="Q626" s="42" t="n">
        <f aca="false">IF(ISNUMBER(MATCH(E626,Product_Master!$A$2:$A$9,0)),0,1)</f>
        <v>0</v>
      </c>
      <c r="R626" s="42" t="n">
        <f aca="false">IF(ISNUMBER(MATCH(D626,Customer_Master!$A$2:$A$49,0)),0,1)</f>
        <v>0</v>
      </c>
      <c r="S626" s="42" t="n">
        <f aca="false">IF(ISNUMBER(MATCH(B626,Calendar!$A$2:$A$25,0)),0,1)</f>
        <v>0</v>
      </c>
      <c r="T626" s="42" t="n">
        <f aca="false">IF(COUNTIF(Sales_Transactions!$A$2:$A$865,A626)&gt;1,1,0)</f>
        <v>0</v>
      </c>
      <c r="U626" s="42" t="n">
        <f aca="false">IF(OR(ABS(Sales_Transactions!F626*Sales_Transactions!G626-Sales_Transactions!I626)&gt;0.01,ABS(Sales_Transactions!F626*Sales_Transactions!H626-Sales_Transactions!J626)&gt;0.01,ABS(Sales_Transactions!I626-Sales_Transactions!J626-Sales_Transactions!K626)&gt;0.01),1,0)</f>
        <v>0</v>
      </c>
      <c r="V626" s="42" t="n">
        <f aca="false">IF(C626&lt;&gt;L626,1,0)</f>
        <v>0</v>
      </c>
      <c r="W626" s="42" t="n">
        <f aca="false">IF(SUM(Q626:V626)&gt;0,1,0)</f>
        <v>0</v>
      </c>
    </row>
    <row r="627" customFormat="false" ht="15" hidden="false" customHeight="false" outlineLevel="0" collapsed="false">
      <c r="A627" s="42" t="str">
        <f aca="false">Sales_Transactions!A627</f>
        <v>INV-18-014</v>
      </c>
      <c r="B627" s="42" t="str">
        <f aca="false">Sales_Transactions!B627</f>
        <v>2026-06</v>
      </c>
      <c r="C627" s="42" t="str">
        <f aca="false">Sales_Transactions!C627</f>
        <v>Actual</v>
      </c>
      <c r="D627" s="42" t="str">
        <f aca="false">Sales_Transactions!D627</f>
        <v>C047</v>
      </c>
      <c r="E627" s="42" t="str">
        <f aca="false">Sales_Transactions!E627</f>
        <v>P003</v>
      </c>
      <c r="F627" s="42" t="str">
        <f aca="false">IFERROR(INDEX(Customer_Master!$C$2:$C$49,MATCH(D627,Customer_Master!$A$2:$A$49,0)),"UNMATCHED")</f>
        <v>West</v>
      </c>
      <c r="G627" s="42" t="str">
        <f aca="false">IFERROR(INDEX(Customer_Master!$D$2:$D$49,MATCH(D627,Customer_Master!$A$2:$A$49,0)),"UNMATCHED")</f>
        <v>Modern Trade</v>
      </c>
      <c r="H627" s="42" t="str">
        <f aca="false">IFERROR(INDEX(Product_Master!$C$2:$C$9,MATCH(E627,Product_Master!$A$2:$A$9,0)),"UNMATCHED")</f>
        <v>Personal Care</v>
      </c>
      <c r="I627" s="42" t="str">
        <f aca="false">IFERROR(INDEX(Product_Master!$B$2:$B$9,MATCH(E627,Product_Master!$A$2:$A$9,0)),"UNMATCHED")</f>
        <v>Shampoo 400ml</v>
      </c>
      <c r="J627" s="42" t="n">
        <f aca="false">IFERROR(INDEX(Calendar!$B$2:$B$25,MATCH(B627,Calendar!$A$2:$A$25,0)),0)</f>
        <v>2026</v>
      </c>
      <c r="K627" s="42" t="n">
        <f aca="false">IFERROR(VALUE(RIGHT(B627,2)),0)</f>
        <v>6</v>
      </c>
      <c r="L627" s="42" t="str">
        <f aca="false">IFERROR(INDEX(Calendar!$E$2:$E$25,MATCH(B627,Calendar!$A$2:$A$25,0)),"UNMATCHED")</f>
        <v>Actual</v>
      </c>
      <c r="M627" s="42" t="n">
        <f aca="false">Sales_Transactions!F627</f>
        <v>286</v>
      </c>
      <c r="N627" s="52" t="n">
        <f aca="false">Sales_Transactions!I627</f>
        <v>76533.6</v>
      </c>
      <c r="O627" s="52" t="n">
        <f aca="false">Sales_Transactions!J627</f>
        <v>52624</v>
      </c>
      <c r="P627" s="52" t="n">
        <f aca="false">Sales_Transactions!K627</f>
        <v>23909.6</v>
      </c>
      <c r="Q627" s="42" t="n">
        <f aca="false">IF(ISNUMBER(MATCH(E627,Product_Master!$A$2:$A$9,0)),0,1)</f>
        <v>0</v>
      </c>
      <c r="R627" s="42" t="n">
        <f aca="false">IF(ISNUMBER(MATCH(D627,Customer_Master!$A$2:$A$49,0)),0,1)</f>
        <v>0</v>
      </c>
      <c r="S627" s="42" t="n">
        <f aca="false">IF(ISNUMBER(MATCH(B627,Calendar!$A$2:$A$25,0)),0,1)</f>
        <v>0</v>
      </c>
      <c r="T627" s="42" t="n">
        <f aca="false">IF(COUNTIF(Sales_Transactions!$A$2:$A$865,A627)&gt;1,1,0)</f>
        <v>0</v>
      </c>
      <c r="U627" s="42" t="n">
        <f aca="false">IF(OR(ABS(Sales_Transactions!F627*Sales_Transactions!G627-Sales_Transactions!I627)&gt;0.01,ABS(Sales_Transactions!F627*Sales_Transactions!H627-Sales_Transactions!J627)&gt;0.01,ABS(Sales_Transactions!I627-Sales_Transactions!J627-Sales_Transactions!K627)&gt;0.01),1,0)</f>
        <v>0</v>
      </c>
      <c r="V627" s="42" t="n">
        <f aca="false">IF(C627&lt;&gt;L627,1,0)</f>
        <v>0</v>
      </c>
      <c r="W627" s="42" t="n">
        <f aca="false">IF(SUM(Q627:V627)&gt;0,1,0)</f>
        <v>0</v>
      </c>
    </row>
    <row r="628" customFormat="false" ht="15" hidden="false" customHeight="false" outlineLevel="0" collapsed="false">
      <c r="A628" s="42" t="str">
        <f aca="false">Sales_Transactions!A628</f>
        <v>INV-18-015</v>
      </c>
      <c r="B628" s="42" t="str">
        <f aca="false">Sales_Transactions!B628</f>
        <v>2026-06</v>
      </c>
      <c r="C628" s="42" t="str">
        <f aca="false">Sales_Transactions!C628</f>
        <v>Actual</v>
      </c>
      <c r="D628" s="42" t="str">
        <f aca="false">Sales_Transactions!D628</f>
        <v>C006</v>
      </c>
      <c r="E628" s="42" t="str">
        <f aca="false">Sales_Transactions!E628</f>
        <v>P008</v>
      </c>
      <c r="F628" s="42" t="str">
        <f aca="false">IFERROR(INDEX(Customer_Master!$C$2:$C$49,MATCH(D628,Customer_Master!$A$2:$A$49,0)),"UNMATCHED")</f>
        <v>North</v>
      </c>
      <c r="G628" s="42" t="str">
        <f aca="false">IFERROR(INDEX(Customer_Master!$D$2:$D$49,MATCH(D628,Customer_Master!$A$2:$A$49,0)),"UNMATCHED")</f>
        <v>Retail</v>
      </c>
      <c r="H628" s="42" t="str">
        <f aca="false">IFERROR(INDEX(Product_Master!$C$2:$C$9,MATCH(E628,Product_Master!$A$2:$A$9,0)),"UNMATCHED")</f>
        <v>Personal Care</v>
      </c>
      <c r="I628" s="42" t="str">
        <f aca="false">IFERROR(INDEX(Product_Master!$B$2:$B$9,MATCH(E628,Product_Master!$A$2:$A$9,0)),"UNMATCHED")</f>
        <v>Body Lotion</v>
      </c>
      <c r="J628" s="42" t="n">
        <f aca="false">IFERROR(INDEX(Calendar!$B$2:$B$25,MATCH(B628,Calendar!$A$2:$A$25,0)),0)</f>
        <v>2026</v>
      </c>
      <c r="K628" s="42" t="n">
        <f aca="false">IFERROR(VALUE(RIGHT(B628,2)),0)</f>
        <v>6</v>
      </c>
      <c r="L628" s="42" t="str">
        <f aca="false">IFERROR(INDEX(Calendar!$E$2:$E$25,MATCH(B628,Calendar!$A$2:$A$25,0)),"UNMATCHED")</f>
        <v>Actual</v>
      </c>
      <c r="M628" s="42" t="n">
        <f aca="false">Sales_Transactions!F628</f>
        <v>195</v>
      </c>
      <c r="N628" s="52" t="n">
        <f aca="false">Sales_Transactions!I628</f>
        <v>61210.5</v>
      </c>
      <c r="O628" s="52" t="n">
        <f aca="false">Sales_Transactions!J628</f>
        <v>38044.5</v>
      </c>
      <c r="P628" s="52" t="n">
        <f aca="false">Sales_Transactions!K628</f>
        <v>23166</v>
      </c>
      <c r="Q628" s="42" t="n">
        <f aca="false">IF(ISNUMBER(MATCH(E628,Product_Master!$A$2:$A$9,0)),0,1)</f>
        <v>0</v>
      </c>
      <c r="R628" s="42" t="n">
        <f aca="false">IF(ISNUMBER(MATCH(D628,Customer_Master!$A$2:$A$49,0)),0,1)</f>
        <v>0</v>
      </c>
      <c r="S628" s="42" t="n">
        <f aca="false">IF(ISNUMBER(MATCH(B628,Calendar!$A$2:$A$25,0)),0,1)</f>
        <v>0</v>
      </c>
      <c r="T628" s="42" t="n">
        <f aca="false">IF(COUNTIF(Sales_Transactions!$A$2:$A$865,A628)&gt;1,1,0)</f>
        <v>0</v>
      </c>
      <c r="U628" s="42" t="n">
        <f aca="false">IF(OR(ABS(Sales_Transactions!F628*Sales_Transactions!G628-Sales_Transactions!I628)&gt;0.01,ABS(Sales_Transactions!F628*Sales_Transactions!H628-Sales_Transactions!J628)&gt;0.01,ABS(Sales_Transactions!I628-Sales_Transactions!J628-Sales_Transactions!K628)&gt;0.01),1,0)</f>
        <v>0</v>
      </c>
      <c r="V628" s="42" t="n">
        <f aca="false">IF(C628&lt;&gt;L628,1,0)</f>
        <v>0</v>
      </c>
      <c r="W628" s="42" t="n">
        <f aca="false">IF(SUM(Q628:V628)&gt;0,1,0)</f>
        <v>0</v>
      </c>
    </row>
    <row r="629" customFormat="false" ht="15" hidden="false" customHeight="false" outlineLevel="0" collapsed="false">
      <c r="A629" s="42" t="str">
        <f aca="false">Sales_Transactions!A629</f>
        <v>INV-18-016</v>
      </c>
      <c r="B629" s="42" t="str">
        <f aca="false">Sales_Transactions!B629</f>
        <v>2026-06</v>
      </c>
      <c r="C629" s="42" t="str">
        <f aca="false">Sales_Transactions!C629</f>
        <v>Actual</v>
      </c>
      <c r="D629" s="42" t="str">
        <f aca="false">Sales_Transactions!D629</f>
        <v>C013</v>
      </c>
      <c r="E629" s="42" t="str">
        <f aca="false">Sales_Transactions!E629</f>
        <v>P005</v>
      </c>
      <c r="F629" s="42" t="str">
        <f aca="false">IFERROR(INDEX(Customer_Master!$C$2:$C$49,MATCH(D629,Customer_Master!$A$2:$A$49,0)),"UNMATCHED")</f>
        <v>South</v>
      </c>
      <c r="G629" s="42" t="str">
        <f aca="false">IFERROR(INDEX(Customer_Master!$D$2:$D$49,MATCH(D629,Customer_Master!$A$2:$A$49,0)),"UNMATCHED")</f>
        <v>Distributor</v>
      </c>
      <c r="H629" s="42" t="str">
        <f aca="false">IFERROR(INDEX(Product_Master!$C$2:$C$9,MATCH(E629,Product_Master!$A$2:$A$9,0)),"UNMATCHED")</f>
        <v>Foods</v>
      </c>
      <c r="I629" s="42" t="str">
        <f aca="false">IFERROR(INDEX(Product_Master!$B$2:$B$9,MATCH(E629,Product_Master!$A$2:$A$9,0)),"UNMATCHED")</f>
        <v>Biscuits 500g</v>
      </c>
      <c r="J629" s="42" t="n">
        <f aca="false">IFERROR(INDEX(Calendar!$B$2:$B$25,MATCH(B629,Calendar!$A$2:$A$25,0)),0)</f>
        <v>2026</v>
      </c>
      <c r="K629" s="42" t="n">
        <f aca="false">IFERROR(VALUE(RIGHT(B629,2)),0)</f>
        <v>6</v>
      </c>
      <c r="L629" s="42" t="str">
        <f aca="false">IFERROR(INDEX(Calendar!$E$2:$E$25,MATCH(B629,Calendar!$A$2:$A$25,0)),"UNMATCHED")</f>
        <v>Actual</v>
      </c>
      <c r="M629" s="42" t="n">
        <f aca="false">Sales_Transactions!F629</f>
        <v>229</v>
      </c>
      <c r="N629" s="52" t="n">
        <f aca="false">Sales_Transactions!I629</f>
        <v>24040.42</v>
      </c>
      <c r="O629" s="52" t="n">
        <f aca="false">Sales_Transactions!J629</f>
        <v>16352.89</v>
      </c>
      <c r="P629" s="52" t="n">
        <f aca="false">Sales_Transactions!K629</f>
        <v>7687.53</v>
      </c>
      <c r="Q629" s="42" t="n">
        <f aca="false">IF(ISNUMBER(MATCH(E629,Product_Master!$A$2:$A$9,0)),0,1)</f>
        <v>0</v>
      </c>
      <c r="R629" s="42" t="n">
        <f aca="false">IF(ISNUMBER(MATCH(D629,Customer_Master!$A$2:$A$49,0)),0,1)</f>
        <v>0</v>
      </c>
      <c r="S629" s="42" t="n">
        <f aca="false">IF(ISNUMBER(MATCH(B629,Calendar!$A$2:$A$25,0)),0,1)</f>
        <v>0</v>
      </c>
      <c r="T629" s="42" t="n">
        <f aca="false">IF(COUNTIF(Sales_Transactions!$A$2:$A$865,A629)&gt;1,1,0)</f>
        <v>0</v>
      </c>
      <c r="U629" s="42" t="n">
        <f aca="false">IF(OR(ABS(Sales_Transactions!F629*Sales_Transactions!G629-Sales_Transactions!I629)&gt;0.01,ABS(Sales_Transactions!F629*Sales_Transactions!H629-Sales_Transactions!J629)&gt;0.01,ABS(Sales_Transactions!I629-Sales_Transactions!J629-Sales_Transactions!K629)&gt;0.01),1,0)</f>
        <v>0</v>
      </c>
      <c r="V629" s="42" t="n">
        <f aca="false">IF(C629&lt;&gt;L629,1,0)</f>
        <v>0</v>
      </c>
      <c r="W629" s="42" t="n">
        <f aca="false">IF(SUM(Q629:V629)&gt;0,1,0)</f>
        <v>0</v>
      </c>
    </row>
    <row r="630" customFormat="false" ht="15" hidden="false" customHeight="false" outlineLevel="0" collapsed="false">
      <c r="A630" s="42" t="str">
        <f aca="false">Sales_Transactions!A630</f>
        <v>INV-18-017</v>
      </c>
      <c r="B630" s="42" t="str">
        <f aca="false">Sales_Transactions!B630</f>
        <v>2026-06</v>
      </c>
      <c r="C630" s="42" t="str">
        <f aca="false">Sales_Transactions!C630</f>
        <v>Actual</v>
      </c>
      <c r="D630" s="42" t="str">
        <f aca="false">Sales_Transactions!D630</f>
        <v>C020</v>
      </c>
      <c r="E630" s="42" t="str">
        <f aca="false">Sales_Transactions!E630</f>
        <v>P002</v>
      </c>
      <c r="F630" s="42" t="str">
        <f aca="false">IFERROR(INDEX(Customer_Master!$C$2:$C$49,MATCH(D630,Customer_Master!$A$2:$A$49,0)),"UNMATCHED")</f>
        <v>East</v>
      </c>
      <c r="G630" s="42" t="str">
        <f aca="false">IFERROR(INDEX(Customer_Master!$D$2:$D$49,MATCH(D630,Customer_Master!$A$2:$A$49,0)),"UNMATCHED")</f>
        <v>Modern Trade</v>
      </c>
      <c r="H630" s="42" t="str">
        <f aca="false">IFERROR(INDEX(Product_Master!$C$2:$C$9,MATCH(E630,Product_Master!$A$2:$A$9,0)),"UNMATCHED")</f>
        <v>Home Care</v>
      </c>
      <c r="I630" s="42" t="str">
        <f aca="false">IFERROR(INDEX(Product_Master!$B$2:$B$9,MATCH(E630,Product_Master!$A$2:$A$9,0)),"UNMATCHED")</f>
        <v>Dishwash Gel</v>
      </c>
      <c r="J630" s="42" t="n">
        <f aca="false">IFERROR(INDEX(Calendar!$B$2:$B$25,MATCH(B630,Calendar!$A$2:$A$25,0)),0)</f>
        <v>2026</v>
      </c>
      <c r="K630" s="42" t="n">
        <f aca="false">IFERROR(VALUE(RIGHT(B630,2)),0)</f>
        <v>6</v>
      </c>
      <c r="L630" s="42" t="str">
        <f aca="false">IFERROR(INDEX(Calendar!$E$2:$E$25,MATCH(B630,Calendar!$A$2:$A$25,0)),"UNMATCHED")</f>
        <v>Actual</v>
      </c>
      <c r="M630" s="42" t="n">
        <f aca="false">Sales_Transactions!F630</f>
        <v>419</v>
      </c>
      <c r="N630" s="52" t="n">
        <f aca="false">Sales_Transactions!I630</f>
        <v>59384.87</v>
      </c>
      <c r="O630" s="52" t="n">
        <f aca="false">Sales_Transactions!J630</f>
        <v>34161.07</v>
      </c>
      <c r="P630" s="52" t="n">
        <f aca="false">Sales_Transactions!K630</f>
        <v>25223.8</v>
      </c>
      <c r="Q630" s="42" t="n">
        <f aca="false">IF(ISNUMBER(MATCH(E630,Product_Master!$A$2:$A$9,0)),0,1)</f>
        <v>0</v>
      </c>
      <c r="R630" s="42" t="n">
        <f aca="false">IF(ISNUMBER(MATCH(D630,Customer_Master!$A$2:$A$49,0)),0,1)</f>
        <v>0</v>
      </c>
      <c r="S630" s="42" t="n">
        <f aca="false">IF(ISNUMBER(MATCH(B630,Calendar!$A$2:$A$25,0)),0,1)</f>
        <v>0</v>
      </c>
      <c r="T630" s="42" t="n">
        <f aca="false">IF(COUNTIF(Sales_Transactions!$A$2:$A$865,A630)&gt;1,1,0)</f>
        <v>0</v>
      </c>
      <c r="U630" s="42" t="n">
        <f aca="false">IF(OR(ABS(Sales_Transactions!F630*Sales_Transactions!G630-Sales_Transactions!I630)&gt;0.01,ABS(Sales_Transactions!F630*Sales_Transactions!H630-Sales_Transactions!J630)&gt;0.01,ABS(Sales_Transactions!I630-Sales_Transactions!J630-Sales_Transactions!K630)&gt;0.01),1,0)</f>
        <v>0</v>
      </c>
      <c r="V630" s="42" t="n">
        <f aca="false">IF(C630&lt;&gt;L630,1,0)</f>
        <v>0</v>
      </c>
      <c r="W630" s="42" t="n">
        <f aca="false">IF(SUM(Q630:V630)&gt;0,1,0)</f>
        <v>0</v>
      </c>
    </row>
    <row r="631" customFormat="false" ht="15" hidden="false" customHeight="false" outlineLevel="0" collapsed="false">
      <c r="A631" s="42" t="str">
        <f aca="false">Sales_Transactions!A631</f>
        <v>INV-18-018</v>
      </c>
      <c r="B631" s="42" t="str">
        <f aca="false">Sales_Transactions!B631</f>
        <v>2026-06</v>
      </c>
      <c r="C631" s="42" t="str">
        <f aca="false">Sales_Transactions!C631</f>
        <v>Actual</v>
      </c>
      <c r="D631" s="42" t="str">
        <f aca="false">Sales_Transactions!D631</f>
        <v>C027</v>
      </c>
      <c r="E631" s="42" t="str">
        <f aca="false">Sales_Transactions!E631</f>
        <v>P007</v>
      </c>
      <c r="F631" s="42" t="str">
        <f aca="false">IFERROR(INDEX(Customer_Master!$C$2:$C$49,MATCH(D631,Customer_Master!$A$2:$A$49,0)),"UNMATCHED")</f>
        <v>West</v>
      </c>
      <c r="G631" s="42" t="str">
        <f aca="false">IFERROR(INDEX(Customer_Master!$D$2:$D$49,MATCH(D631,Customer_Master!$A$2:$A$49,0)),"UNMATCHED")</f>
        <v>Retail</v>
      </c>
      <c r="H631" s="42" t="str">
        <f aca="false">IFERROR(INDEX(Product_Master!$C$2:$C$9,MATCH(E631,Product_Master!$A$2:$A$9,0)),"UNMATCHED")</f>
        <v>Home Care</v>
      </c>
      <c r="I631" s="42" t="str">
        <f aca="false">IFERROR(INDEX(Product_Master!$B$2:$B$9,MATCH(E631,Product_Master!$A$2:$A$9,0)),"UNMATCHED")</f>
        <v>Floor Cleaner</v>
      </c>
      <c r="J631" s="42" t="n">
        <f aca="false">IFERROR(INDEX(Calendar!$B$2:$B$25,MATCH(B631,Calendar!$A$2:$A$25,0)),0)</f>
        <v>2026</v>
      </c>
      <c r="K631" s="42" t="n">
        <f aca="false">IFERROR(VALUE(RIGHT(B631,2)),0)</f>
        <v>6</v>
      </c>
      <c r="L631" s="42" t="str">
        <f aca="false">IFERROR(INDEX(Calendar!$E$2:$E$25,MATCH(B631,Calendar!$A$2:$A$25,0)),"UNMATCHED")</f>
        <v>Actual</v>
      </c>
      <c r="M631" s="42" t="n">
        <f aca="false">Sales_Transactions!F631</f>
        <v>89</v>
      </c>
      <c r="N631" s="52" t="n">
        <f aca="false">Sales_Transactions!I631</f>
        <v>16912.67</v>
      </c>
      <c r="O631" s="52" t="n">
        <f aca="false">Sales_Transactions!J631</f>
        <v>10084.59</v>
      </c>
      <c r="P631" s="52" t="n">
        <f aca="false">Sales_Transactions!K631</f>
        <v>6828.08</v>
      </c>
      <c r="Q631" s="42" t="n">
        <f aca="false">IF(ISNUMBER(MATCH(E631,Product_Master!$A$2:$A$9,0)),0,1)</f>
        <v>0</v>
      </c>
      <c r="R631" s="42" t="n">
        <f aca="false">IF(ISNUMBER(MATCH(D631,Customer_Master!$A$2:$A$49,0)),0,1)</f>
        <v>0</v>
      </c>
      <c r="S631" s="42" t="n">
        <f aca="false">IF(ISNUMBER(MATCH(B631,Calendar!$A$2:$A$25,0)),0,1)</f>
        <v>0</v>
      </c>
      <c r="T631" s="42" t="n">
        <f aca="false">IF(COUNTIF(Sales_Transactions!$A$2:$A$865,A631)&gt;1,1,0)</f>
        <v>0</v>
      </c>
      <c r="U631" s="42" t="n">
        <f aca="false">IF(OR(ABS(Sales_Transactions!F631*Sales_Transactions!G631-Sales_Transactions!I631)&gt;0.01,ABS(Sales_Transactions!F631*Sales_Transactions!H631-Sales_Transactions!J631)&gt;0.01,ABS(Sales_Transactions!I631-Sales_Transactions!J631-Sales_Transactions!K631)&gt;0.01),1,0)</f>
        <v>0</v>
      </c>
      <c r="V631" s="42" t="n">
        <f aca="false">IF(C631&lt;&gt;L631,1,0)</f>
        <v>0</v>
      </c>
      <c r="W631" s="42" t="n">
        <f aca="false">IF(SUM(Q631:V631)&gt;0,1,0)</f>
        <v>0</v>
      </c>
    </row>
    <row r="632" customFormat="false" ht="15" hidden="false" customHeight="false" outlineLevel="0" collapsed="false">
      <c r="A632" s="42" t="str">
        <f aca="false">Sales_Transactions!A632</f>
        <v>INV-18-019</v>
      </c>
      <c r="B632" s="42" t="str">
        <f aca="false">Sales_Transactions!B632</f>
        <v>2026-06</v>
      </c>
      <c r="C632" s="42" t="str">
        <f aca="false">Sales_Transactions!C632</f>
        <v>Actual</v>
      </c>
      <c r="D632" s="42" t="str">
        <f aca="false">Sales_Transactions!D632</f>
        <v>C034</v>
      </c>
      <c r="E632" s="42" t="str">
        <f aca="false">Sales_Transactions!E632</f>
        <v>P004</v>
      </c>
      <c r="F632" s="42" t="str">
        <f aca="false">IFERROR(INDEX(Customer_Master!$C$2:$C$49,MATCH(D632,Customer_Master!$A$2:$A$49,0)),"UNMATCHED")</f>
        <v>North</v>
      </c>
      <c r="G632" s="42" t="str">
        <f aca="false">IFERROR(INDEX(Customer_Master!$D$2:$D$49,MATCH(D632,Customer_Master!$A$2:$A$49,0)),"UNMATCHED")</f>
        <v>Distributor</v>
      </c>
      <c r="H632" s="42" t="str">
        <f aca="false">IFERROR(INDEX(Product_Master!$C$2:$C$9,MATCH(E632,Product_Master!$A$2:$A$9,0)),"UNMATCHED")</f>
        <v>Personal Care</v>
      </c>
      <c r="I632" s="42" t="str">
        <f aca="false">IFERROR(INDEX(Product_Master!$B$2:$B$9,MATCH(E632,Product_Master!$A$2:$A$9,0)),"UNMATCHED")</f>
        <v>Soap 4-pack</v>
      </c>
      <c r="J632" s="42" t="n">
        <f aca="false">IFERROR(INDEX(Calendar!$B$2:$B$25,MATCH(B632,Calendar!$A$2:$A$25,0)),0)</f>
        <v>2026</v>
      </c>
      <c r="K632" s="42" t="n">
        <f aca="false">IFERROR(VALUE(RIGHT(B632,2)),0)</f>
        <v>6</v>
      </c>
      <c r="L632" s="42" t="str">
        <f aca="false">IFERROR(INDEX(Calendar!$E$2:$E$25,MATCH(B632,Calendar!$A$2:$A$25,0)),"UNMATCHED")</f>
        <v>Actual</v>
      </c>
      <c r="M632" s="42" t="n">
        <f aca="false">Sales_Transactions!F632</f>
        <v>220</v>
      </c>
      <c r="N632" s="52" t="n">
        <f aca="false">Sales_Transactions!I632</f>
        <v>37906</v>
      </c>
      <c r="O632" s="52" t="n">
        <f aca="false">Sales_Transactions!J632</f>
        <v>22211.2</v>
      </c>
      <c r="P632" s="52" t="n">
        <f aca="false">Sales_Transactions!K632</f>
        <v>15694.8</v>
      </c>
      <c r="Q632" s="42" t="n">
        <f aca="false">IF(ISNUMBER(MATCH(E632,Product_Master!$A$2:$A$9,0)),0,1)</f>
        <v>0</v>
      </c>
      <c r="R632" s="42" t="n">
        <f aca="false">IF(ISNUMBER(MATCH(D632,Customer_Master!$A$2:$A$49,0)),0,1)</f>
        <v>0</v>
      </c>
      <c r="S632" s="42" t="n">
        <f aca="false">IF(ISNUMBER(MATCH(B632,Calendar!$A$2:$A$25,0)),0,1)</f>
        <v>0</v>
      </c>
      <c r="T632" s="42" t="n">
        <f aca="false">IF(COUNTIF(Sales_Transactions!$A$2:$A$865,A632)&gt;1,1,0)</f>
        <v>0</v>
      </c>
      <c r="U632" s="42" t="n">
        <f aca="false">IF(OR(ABS(Sales_Transactions!F632*Sales_Transactions!G632-Sales_Transactions!I632)&gt;0.01,ABS(Sales_Transactions!F632*Sales_Transactions!H632-Sales_Transactions!J632)&gt;0.01,ABS(Sales_Transactions!I632-Sales_Transactions!J632-Sales_Transactions!K632)&gt;0.01),1,0)</f>
        <v>0</v>
      </c>
      <c r="V632" s="42" t="n">
        <f aca="false">IF(C632&lt;&gt;L632,1,0)</f>
        <v>0</v>
      </c>
      <c r="W632" s="42" t="n">
        <f aca="false">IF(SUM(Q632:V632)&gt;0,1,0)</f>
        <v>0</v>
      </c>
    </row>
    <row r="633" customFormat="false" ht="15" hidden="false" customHeight="false" outlineLevel="0" collapsed="false">
      <c r="A633" s="42" t="str">
        <f aca="false">Sales_Transactions!A633</f>
        <v>INV-18-020</v>
      </c>
      <c r="B633" s="42" t="str">
        <f aca="false">Sales_Transactions!B633</f>
        <v>2026-06</v>
      </c>
      <c r="C633" s="42" t="str">
        <f aca="false">Sales_Transactions!C633</f>
        <v>Actual</v>
      </c>
      <c r="D633" s="42" t="str">
        <f aca="false">Sales_Transactions!D633</f>
        <v>C041</v>
      </c>
      <c r="E633" s="42" t="str">
        <f aca="false">Sales_Transactions!E633</f>
        <v>P001</v>
      </c>
      <c r="F633" s="42" t="str">
        <f aca="false">IFERROR(INDEX(Customer_Master!$C$2:$C$49,MATCH(D633,Customer_Master!$A$2:$A$49,0)),"UNMATCHED")</f>
        <v>South</v>
      </c>
      <c r="G633" s="42" t="str">
        <f aca="false">IFERROR(INDEX(Customer_Master!$D$2:$D$49,MATCH(D633,Customer_Master!$A$2:$A$49,0)),"UNMATCHED")</f>
        <v>Modern Trade</v>
      </c>
      <c r="H633" s="42" t="str">
        <f aca="false">IFERROR(INDEX(Product_Master!$C$2:$C$9,MATCH(E633,Product_Master!$A$2:$A$9,0)),"UNMATCHED")</f>
        <v>Home Care</v>
      </c>
      <c r="I633" s="42" t="str">
        <f aca="false">IFERROR(INDEX(Product_Master!$B$2:$B$9,MATCH(E633,Product_Master!$A$2:$A$9,0)),"UNMATCHED")</f>
        <v>Detergent 1kg</v>
      </c>
      <c r="J633" s="42" t="n">
        <f aca="false">IFERROR(INDEX(Calendar!$B$2:$B$25,MATCH(B633,Calendar!$A$2:$A$25,0)),0)</f>
        <v>2026</v>
      </c>
      <c r="K633" s="42" t="n">
        <f aca="false">IFERROR(VALUE(RIGHT(B633,2)),0)</f>
        <v>6</v>
      </c>
      <c r="L633" s="42" t="str">
        <f aca="false">IFERROR(INDEX(Calendar!$E$2:$E$25,MATCH(B633,Calendar!$A$2:$A$25,0)),"UNMATCHED")</f>
        <v>Actual</v>
      </c>
      <c r="M633" s="42" t="n">
        <f aca="false">Sales_Transactions!F633</f>
        <v>272</v>
      </c>
      <c r="N633" s="52" t="n">
        <f aca="false">Sales_Transactions!I633</f>
        <v>51174.08</v>
      </c>
      <c r="O633" s="52" t="n">
        <f aca="false">Sales_Transactions!J633</f>
        <v>34688.16</v>
      </c>
      <c r="P633" s="52" t="n">
        <f aca="false">Sales_Transactions!K633</f>
        <v>16485.92</v>
      </c>
      <c r="Q633" s="42" t="n">
        <f aca="false">IF(ISNUMBER(MATCH(E633,Product_Master!$A$2:$A$9,0)),0,1)</f>
        <v>0</v>
      </c>
      <c r="R633" s="42" t="n">
        <f aca="false">IF(ISNUMBER(MATCH(D633,Customer_Master!$A$2:$A$49,0)),0,1)</f>
        <v>0</v>
      </c>
      <c r="S633" s="42" t="n">
        <f aca="false">IF(ISNUMBER(MATCH(B633,Calendar!$A$2:$A$25,0)),0,1)</f>
        <v>0</v>
      </c>
      <c r="T633" s="42" t="n">
        <f aca="false">IF(COUNTIF(Sales_Transactions!$A$2:$A$865,A633)&gt;1,1,0)</f>
        <v>0</v>
      </c>
      <c r="U633" s="42" t="n">
        <f aca="false">IF(OR(ABS(Sales_Transactions!F633*Sales_Transactions!G633-Sales_Transactions!I633)&gt;0.01,ABS(Sales_Transactions!F633*Sales_Transactions!H633-Sales_Transactions!J633)&gt;0.01,ABS(Sales_Transactions!I633-Sales_Transactions!J633-Sales_Transactions!K633)&gt;0.01),1,0)</f>
        <v>0</v>
      </c>
      <c r="V633" s="42" t="n">
        <f aca="false">IF(C633&lt;&gt;L633,1,0)</f>
        <v>0</v>
      </c>
      <c r="W633" s="42" t="n">
        <f aca="false">IF(SUM(Q633:V633)&gt;0,1,0)</f>
        <v>0</v>
      </c>
    </row>
    <row r="634" customFormat="false" ht="15" hidden="false" customHeight="false" outlineLevel="0" collapsed="false">
      <c r="A634" s="42" t="str">
        <f aca="false">Sales_Transactions!A634</f>
        <v>INV-18-021</v>
      </c>
      <c r="B634" s="42" t="str">
        <f aca="false">Sales_Transactions!B634</f>
        <v>2026-06</v>
      </c>
      <c r="C634" s="42" t="str">
        <f aca="false">Sales_Transactions!C634</f>
        <v>Actual</v>
      </c>
      <c r="D634" s="42" t="str">
        <f aca="false">Sales_Transactions!D634</f>
        <v>C048</v>
      </c>
      <c r="E634" s="42" t="str">
        <f aca="false">Sales_Transactions!E634</f>
        <v>P006</v>
      </c>
      <c r="F634" s="42" t="str">
        <f aca="false">IFERROR(INDEX(Customer_Master!$C$2:$C$49,MATCH(D634,Customer_Master!$A$2:$A$49,0)),"UNMATCHED")</f>
        <v>East</v>
      </c>
      <c r="G634" s="42" t="str">
        <f aca="false">IFERROR(INDEX(Customer_Master!$D$2:$D$49,MATCH(D634,Customer_Master!$A$2:$A$49,0)),"UNMATCHED")</f>
        <v>Retail</v>
      </c>
      <c r="H634" s="42" t="str">
        <f aca="false">IFERROR(INDEX(Product_Master!$C$2:$C$9,MATCH(E634,Product_Master!$A$2:$A$9,0)),"UNMATCHED")</f>
        <v>Foods</v>
      </c>
      <c r="I634" s="42" t="str">
        <f aca="false">IFERROR(INDEX(Product_Master!$B$2:$B$9,MATCH(E634,Product_Master!$A$2:$A$9,0)),"UNMATCHED")</f>
        <v>Breakfast Cereal</v>
      </c>
      <c r="J634" s="42" t="n">
        <f aca="false">IFERROR(INDEX(Calendar!$B$2:$B$25,MATCH(B634,Calendar!$A$2:$A$25,0)),0)</f>
        <v>2026</v>
      </c>
      <c r="K634" s="42" t="n">
        <f aca="false">IFERROR(VALUE(RIGHT(B634,2)),0)</f>
        <v>6</v>
      </c>
      <c r="L634" s="42" t="str">
        <f aca="false">IFERROR(INDEX(Calendar!$E$2:$E$25,MATCH(B634,Calendar!$A$2:$A$25,0)),"UNMATCHED")</f>
        <v>Actual</v>
      </c>
      <c r="M634" s="42" t="n">
        <f aca="false">Sales_Transactions!F634</f>
        <v>372</v>
      </c>
      <c r="N634" s="52" t="n">
        <f aca="false">Sales_Transactions!I634</f>
        <v>86824.8</v>
      </c>
      <c r="O634" s="52" t="n">
        <f aca="false">Sales_Transactions!J634</f>
        <v>59564.64</v>
      </c>
      <c r="P634" s="52" t="n">
        <f aca="false">Sales_Transactions!K634</f>
        <v>27260.16</v>
      </c>
      <c r="Q634" s="42" t="n">
        <f aca="false">IF(ISNUMBER(MATCH(E634,Product_Master!$A$2:$A$9,0)),0,1)</f>
        <v>0</v>
      </c>
      <c r="R634" s="42" t="n">
        <f aca="false">IF(ISNUMBER(MATCH(D634,Customer_Master!$A$2:$A$49,0)),0,1)</f>
        <v>0</v>
      </c>
      <c r="S634" s="42" t="n">
        <f aca="false">IF(ISNUMBER(MATCH(B634,Calendar!$A$2:$A$25,0)),0,1)</f>
        <v>0</v>
      </c>
      <c r="T634" s="42" t="n">
        <f aca="false">IF(COUNTIF(Sales_Transactions!$A$2:$A$865,A634)&gt;1,1,0)</f>
        <v>0</v>
      </c>
      <c r="U634" s="42" t="n">
        <f aca="false">IF(OR(ABS(Sales_Transactions!F634*Sales_Transactions!G634-Sales_Transactions!I634)&gt;0.01,ABS(Sales_Transactions!F634*Sales_Transactions!H634-Sales_Transactions!J634)&gt;0.01,ABS(Sales_Transactions!I634-Sales_Transactions!J634-Sales_Transactions!K634)&gt;0.01),1,0)</f>
        <v>0</v>
      </c>
      <c r="V634" s="42" t="n">
        <f aca="false">IF(C634&lt;&gt;L634,1,0)</f>
        <v>0</v>
      </c>
      <c r="W634" s="42" t="n">
        <f aca="false">IF(SUM(Q634:V634)&gt;0,1,0)</f>
        <v>0</v>
      </c>
    </row>
    <row r="635" customFormat="false" ht="15" hidden="false" customHeight="false" outlineLevel="0" collapsed="false">
      <c r="A635" s="42" t="str">
        <f aca="false">Sales_Transactions!A635</f>
        <v>INV-18-022</v>
      </c>
      <c r="B635" s="42" t="str">
        <f aca="false">Sales_Transactions!B635</f>
        <v>2026-06</v>
      </c>
      <c r="C635" s="42" t="str">
        <f aca="false">Sales_Transactions!C635</f>
        <v>Actual</v>
      </c>
      <c r="D635" s="42" t="str">
        <f aca="false">Sales_Transactions!D635</f>
        <v>C007</v>
      </c>
      <c r="E635" s="42" t="str">
        <f aca="false">Sales_Transactions!E635</f>
        <v>P003</v>
      </c>
      <c r="F635" s="42" t="str">
        <f aca="false">IFERROR(INDEX(Customer_Master!$C$2:$C$49,MATCH(D635,Customer_Master!$A$2:$A$49,0)),"UNMATCHED")</f>
        <v>West</v>
      </c>
      <c r="G635" s="42" t="str">
        <f aca="false">IFERROR(INDEX(Customer_Master!$D$2:$D$49,MATCH(D635,Customer_Master!$A$2:$A$49,0)),"UNMATCHED")</f>
        <v>Distributor</v>
      </c>
      <c r="H635" s="42" t="str">
        <f aca="false">IFERROR(INDEX(Product_Master!$C$2:$C$9,MATCH(E635,Product_Master!$A$2:$A$9,0)),"UNMATCHED")</f>
        <v>Personal Care</v>
      </c>
      <c r="I635" s="42" t="str">
        <f aca="false">IFERROR(INDEX(Product_Master!$B$2:$B$9,MATCH(E635,Product_Master!$A$2:$A$9,0)),"UNMATCHED")</f>
        <v>Shampoo 400ml</v>
      </c>
      <c r="J635" s="42" t="n">
        <f aca="false">IFERROR(INDEX(Calendar!$B$2:$B$25,MATCH(B635,Calendar!$A$2:$A$25,0)),0)</f>
        <v>2026</v>
      </c>
      <c r="K635" s="42" t="n">
        <f aca="false">IFERROR(VALUE(RIGHT(B635,2)),0)</f>
        <v>6</v>
      </c>
      <c r="L635" s="42" t="str">
        <f aca="false">IFERROR(INDEX(Calendar!$E$2:$E$25,MATCH(B635,Calendar!$A$2:$A$25,0)),"UNMATCHED")</f>
        <v>Actual</v>
      </c>
      <c r="M635" s="42" t="n">
        <f aca="false">Sales_Transactions!F635</f>
        <v>122</v>
      </c>
      <c r="N635" s="52" t="n">
        <f aca="false">Sales_Transactions!I635</f>
        <v>32117.72</v>
      </c>
      <c r="O635" s="52" t="n">
        <f aca="false">Sales_Transactions!J635</f>
        <v>21154.8</v>
      </c>
      <c r="P635" s="52" t="n">
        <f aca="false">Sales_Transactions!K635</f>
        <v>10962.92</v>
      </c>
      <c r="Q635" s="42" t="n">
        <f aca="false">IF(ISNUMBER(MATCH(E635,Product_Master!$A$2:$A$9,0)),0,1)</f>
        <v>0</v>
      </c>
      <c r="R635" s="42" t="n">
        <f aca="false">IF(ISNUMBER(MATCH(D635,Customer_Master!$A$2:$A$49,0)),0,1)</f>
        <v>0</v>
      </c>
      <c r="S635" s="42" t="n">
        <f aca="false">IF(ISNUMBER(MATCH(B635,Calendar!$A$2:$A$25,0)),0,1)</f>
        <v>0</v>
      </c>
      <c r="T635" s="42" t="n">
        <f aca="false">IF(COUNTIF(Sales_Transactions!$A$2:$A$865,A635)&gt;1,1,0)</f>
        <v>0</v>
      </c>
      <c r="U635" s="42" t="n">
        <f aca="false">IF(OR(ABS(Sales_Transactions!F635*Sales_Transactions!G635-Sales_Transactions!I635)&gt;0.01,ABS(Sales_Transactions!F635*Sales_Transactions!H635-Sales_Transactions!J635)&gt;0.01,ABS(Sales_Transactions!I635-Sales_Transactions!J635-Sales_Transactions!K635)&gt;0.01),1,0)</f>
        <v>0</v>
      </c>
      <c r="V635" s="42" t="n">
        <f aca="false">IF(C635&lt;&gt;L635,1,0)</f>
        <v>0</v>
      </c>
      <c r="W635" s="42" t="n">
        <f aca="false">IF(SUM(Q635:V635)&gt;0,1,0)</f>
        <v>0</v>
      </c>
    </row>
    <row r="636" customFormat="false" ht="15" hidden="false" customHeight="false" outlineLevel="0" collapsed="false">
      <c r="A636" s="42" t="str">
        <f aca="false">Sales_Transactions!A636</f>
        <v>INV-18-023</v>
      </c>
      <c r="B636" s="42" t="str">
        <f aca="false">Sales_Transactions!B636</f>
        <v>2026-06</v>
      </c>
      <c r="C636" s="42" t="str">
        <f aca="false">Sales_Transactions!C636</f>
        <v>Actual</v>
      </c>
      <c r="D636" s="42" t="str">
        <f aca="false">Sales_Transactions!D636</f>
        <v>C014</v>
      </c>
      <c r="E636" s="42" t="str">
        <f aca="false">Sales_Transactions!E636</f>
        <v>P008</v>
      </c>
      <c r="F636" s="42" t="str">
        <f aca="false">IFERROR(INDEX(Customer_Master!$C$2:$C$49,MATCH(D636,Customer_Master!$A$2:$A$49,0)),"UNMATCHED")</f>
        <v>North</v>
      </c>
      <c r="G636" s="42" t="str">
        <f aca="false">IFERROR(INDEX(Customer_Master!$D$2:$D$49,MATCH(D636,Customer_Master!$A$2:$A$49,0)),"UNMATCHED")</f>
        <v>Modern Trade</v>
      </c>
      <c r="H636" s="42" t="str">
        <f aca="false">IFERROR(INDEX(Product_Master!$C$2:$C$9,MATCH(E636,Product_Master!$A$2:$A$9,0)),"UNMATCHED")</f>
        <v>Personal Care</v>
      </c>
      <c r="I636" s="42" t="str">
        <f aca="false">IFERROR(INDEX(Product_Master!$B$2:$B$9,MATCH(E636,Product_Master!$A$2:$A$9,0)),"UNMATCHED")</f>
        <v>Body Lotion</v>
      </c>
      <c r="J636" s="42" t="n">
        <f aca="false">IFERROR(INDEX(Calendar!$B$2:$B$25,MATCH(B636,Calendar!$A$2:$A$25,0)),0)</f>
        <v>2026</v>
      </c>
      <c r="K636" s="42" t="n">
        <f aca="false">IFERROR(VALUE(RIGHT(B636,2)),0)</f>
        <v>6</v>
      </c>
      <c r="L636" s="42" t="str">
        <f aca="false">IFERROR(INDEX(Calendar!$E$2:$E$25,MATCH(B636,Calendar!$A$2:$A$25,0)),"UNMATCHED")</f>
        <v>Actual</v>
      </c>
      <c r="M636" s="42" t="n">
        <f aca="false">Sales_Transactions!F636</f>
        <v>366</v>
      </c>
      <c r="N636" s="52" t="n">
        <f aca="false">Sales_Transactions!I636</f>
        <v>110191.62</v>
      </c>
      <c r="O636" s="52" t="n">
        <f aca="false">Sales_Transactions!J636</f>
        <v>79751.4</v>
      </c>
      <c r="P636" s="52" t="n">
        <f aca="false">Sales_Transactions!K636</f>
        <v>30440.22</v>
      </c>
      <c r="Q636" s="42" t="n">
        <f aca="false">IF(ISNUMBER(MATCH(E636,Product_Master!$A$2:$A$9,0)),0,1)</f>
        <v>0</v>
      </c>
      <c r="R636" s="42" t="n">
        <f aca="false">IF(ISNUMBER(MATCH(D636,Customer_Master!$A$2:$A$49,0)),0,1)</f>
        <v>0</v>
      </c>
      <c r="S636" s="42" t="n">
        <f aca="false">IF(ISNUMBER(MATCH(B636,Calendar!$A$2:$A$25,0)),0,1)</f>
        <v>0</v>
      </c>
      <c r="T636" s="42" t="n">
        <f aca="false">IF(COUNTIF(Sales_Transactions!$A$2:$A$865,A636)&gt;1,1,0)</f>
        <v>0</v>
      </c>
      <c r="U636" s="42" t="n">
        <f aca="false">IF(OR(ABS(Sales_Transactions!F636*Sales_Transactions!G636-Sales_Transactions!I636)&gt;0.01,ABS(Sales_Transactions!F636*Sales_Transactions!H636-Sales_Transactions!J636)&gt;0.01,ABS(Sales_Transactions!I636-Sales_Transactions!J636-Sales_Transactions!K636)&gt;0.01),1,0)</f>
        <v>0</v>
      </c>
      <c r="V636" s="42" t="n">
        <f aca="false">IF(C636&lt;&gt;L636,1,0)</f>
        <v>0</v>
      </c>
      <c r="W636" s="42" t="n">
        <f aca="false">IF(SUM(Q636:V636)&gt;0,1,0)</f>
        <v>0</v>
      </c>
    </row>
    <row r="637" customFormat="false" ht="15" hidden="false" customHeight="false" outlineLevel="0" collapsed="false">
      <c r="A637" s="42" t="str">
        <f aca="false">Sales_Transactions!A637</f>
        <v>INV-18-024</v>
      </c>
      <c r="B637" s="42" t="str">
        <f aca="false">Sales_Transactions!B637</f>
        <v>2026-06</v>
      </c>
      <c r="C637" s="42" t="str">
        <f aca="false">Sales_Transactions!C637</f>
        <v>Actual</v>
      </c>
      <c r="D637" s="42" t="str">
        <f aca="false">Sales_Transactions!D637</f>
        <v>C021</v>
      </c>
      <c r="E637" s="42" t="str">
        <f aca="false">Sales_Transactions!E637</f>
        <v>P005</v>
      </c>
      <c r="F637" s="42" t="str">
        <f aca="false">IFERROR(INDEX(Customer_Master!$C$2:$C$49,MATCH(D637,Customer_Master!$A$2:$A$49,0)),"UNMATCHED")</f>
        <v>South</v>
      </c>
      <c r="G637" s="42" t="str">
        <f aca="false">IFERROR(INDEX(Customer_Master!$D$2:$D$49,MATCH(D637,Customer_Master!$A$2:$A$49,0)),"UNMATCHED")</f>
        <v>Retail</v>
      </c>
      <c r="H637" s="42" t="str">
        <f aca="false">IFERROR(INDEX(Product_Master!$C$2:$C$9,MATCH(E637,Product_Master!$A$2:$A$9,0)),"UNMATCHED")</f>
        <v>Foods</v>
      </c>
      <c r="I637" s="42" t="str">
        <f aca="false">IFERROR(INDEX(Product_Master!$B$2:$B$9,MATCH(E637,Product_Master!$A$2:$A$9,0)),"UNMATCHED")</f>
        <v>Biscuits 500g</v>
      </c>
      <c r="J637" s="42" t="n">
        <f aca="false">IFERROR(INDEX(Calendar!$B$2:$B$25,MATCH(B637,Calendar!$A$2:$A$25,0)),0)</f>
        <v>2026</v>
      </c>
      <c r="K637" s="42" t="n">
        <f aca="false">IFERROR(VALUE(RIGHT(B637,2)),0)</f>
        <v>6</v>
      </c>
      <c r="L637" s="42" t="str">
        <f aca="false">IFERROR(INDEX(Calendar!$E$2:$E$25,MATCH(B637,Calendar!$A$2:$A$25,0)),"UNMATCHED")</f>
        <v>Actual</v>
      </c>
      <c r="M637" s="42" t="n">
        <f aca="false">Sales_Transactions!F637</f>
        <v>433</v>
      </c>
      <c r="N637" s="52" t="n">
        <f aca="false">Sales_Transactions!I637</f>
        <v>46175.12</v>
      </c>
      <c r="O637" s="52" t="n">
        <f aca="false">Sales_Transactions!J637</f>
        <v>28296.55</v>
      </c>
      <c r="P637" s="52" t="n">
        <f aca="false">Sales_Transactions!K637</f>
        <v>17878.57</v>
      </c>
      <c r="Q637" s="42" t="n">
        <f aca="false">IF(ISNUMBER(MATCH(E637,Product_Master!$A$2:$A$9,0)),0,1)</f>
        <v>0</v>
      </c>
      <c r="R637" s="42" t="n">
        <f aca="false">IF(ISNUMBER(MATCH(D637,Customer_Master!$A$2:$A$49,0)),0,1)</f>
        <v>0</v>
      </c>
      <c r="S637" s="42" t="n">
        <f aca="false">IF(ISNUMBER(MATCH(B637,Calendar!$A$2:$A$25,0)),0,1)</f>
        <v>0</v>
      </c>
      <c r="T637" s="42" t="n">
        <f aca="false">IF(COUNTIF(Sales_Transactions!$A$2:$A$865,A637)&gt;1,1,0)</f>
        <v>0</v>
      </c>
      <c r="U637" s="42" t="n">
        <f aca="false">IF(OR(ABS(Sales_Transactions!F637*Sales_Transactions!G637-Sales_Transactions!I637)&gt;0.01,ABS(Sales_Transactions!F637*Sales_Transactions!H637-Sales_Transactions!J637)&gt;0.01,ABS(Sales_Transactions!I637-Sales_Transactions!J637-Sales_Transactions!K637)&gt;0.01),1,0)</f>
        <v>0</v>
      </c>
      <c r="V637" s="42" t="n">
        <f aca="false">IF(C637&lt;&gt;L637,1,0)</f>
        <v>0</v>
      </c>
      <c r="W637" s="42" t="n">
        <f aca="false">IF(SUM(Q637:V637)&gt;0,1,0)</f>
        <v>0</v>
      </c>
    </row>
    <row r="638" customFormat="false" ht="15" hidden="false" customHeight="false" outlineLevel="0" collapsed="false">
      <c r="A638" s="42" t="str">
        <f aca="false">Sales_Transactions!A638</f>
        <v>INV-18-025</v>
      </c>
      <c r="B638" s="42" t="str">
        <f aca="false">Sales_Transactions!B638</f>
        <v>2026-06</v>
      </c>
      <c r="C638" s="42" t="str">
        <f aca="false">Sales_Transactions!C638</f>
        <v>Actual</v>
      </c>
      <c r="D638" s="42" t="str">
        <f aca="false">Sales_Transactions!D638</f>
        <v>C028</v>
      </c>
      <c r="E638" s="42" t="str">
        <f aca="false">Sales_Transactions!E638</f>
        <v>P002</v>
      </c>
      <c r="F638" s="42" t="str">
        <f aca="false">IFERROR(INDEX(Customer_Master!$C$2:$C$49,MATCH(D638,Customer_Master!$A$2:$A$49,0)),"UNMATCHED")</f>
        <v>East</v>
      </c>
      <c r="G638" s="42" t="str">
        <f aca="false">IFERROR(INDEX(Customer_Master!$D$2:$D$49,MATCH(D638,Customer_Master!$A$2:$A$49,0)),"UNMATCHED")</f>
        <v>Distributor</v>
      </c>
      <c r="H638" s="42" t="str">
        <f aca="false">IFERROR(INDEX(Product_Master!$C$2:$C$9,MATCH(E638,Product_Master!$A$2:$A$9,0)),"UNMATCHED")</f>
        <v>Home Care</v>
      </c>
      <c r="I638" s="42" t="str">
        <f aca="false">IFERROR(INDEX(Product_Master!$B$2:$B$9,MATCH(E638,Product_Master!$A$2:$A$9,0)),"UNMATCHED")</f>
        <v>Dishwash Gel</v>
      </c>
      <c r="J638" s="42" t="n">
        <f aca="false">IFERROR(INDEX(Calendar!$B$2:$B$25,MATCH(B638,Calendar!$A$2:$A$25,0)),0)</f>
        <v>2026</v>
      </c>
      <c r="K638" s="42" t="n">
        <f aca="false">IFERROR(VALUE(RIGHT(B638,2)),0)</f>
        <v>6</v>
      </c>
      <c r="L638" s="42" t="str">
        <f aca="false">IFERROR(INDEX(Calendar!$E$2:$E$25,MATCH(B638,Calendar!$A$2:$A$25,0)),"UNMATCHED")</f>
        <v>Actual</v>
      </c>
      <c r="M638" s="42" t="n">
        <f aca="false">Sales_Transactions!F638</f>
        <v>134</v>
      </c>
      <c r="N638" s="52" t="n">
        <f aca="false">Sales_Transactions!I638</f>
        <v>18288.32</v>
      </c>
      <c r="O638" s="52" t="n">
        <f aca="false">Sales_Transactions!J638</f>
        <v>11596.36</v>
      </c>
      <c r="P638" s="52" t="n">
        <f aca="false">Sales_Transactions!K638</f>
        <v>6691.96</v>
      </c>
      <c r="Q638" s="42" t="n">
        <f aca="false">IF(ISNUMBER(MATCH(E638,Product_Master!$A$2:$A$9,0)),0,1)</f>
        <v>0</v>
      </c>
      <c r="R638" s="42" t="n">
        <f aca="false">IF(ISNUMBER(MATCH(D638,Customer_Master!$A$2:$A$49,0)),0,1)</f>
        <v>0</v>
      </c>
      <c r="S638" s="42" t="n">
        <f aca="false">IF(ISNUMBER(MATCH(B638,Calendar!$A$2:$A$25,0)),0,1)</f>
        <v>0</v>
      </c>
      <c r="T638" s="42" t="n">
        <f aca="false">IF(COUNTIF(Sales_Transactions!$A$2:$A$865,A638)&gt;1,1,0)</f>
        <v>0</v>
      </c>
      <c r="U638" s="42" t="n">
        <f aca="false">IF(OR(ABS(Sales_Transactions!F638*Sales_Transactions!G638-Sales_Transactions!I638)&gt;0.01,ABS(Sales_Transactions!F638*Sales_Transactions!H638-Sales_Transactions!J638)&gt;0.01,ABS(Sales_Transactions!I638-Sales_Transactions!J638-Sales_Transactions!K638)&gt;0.01),1,0)</f>
        <v>0</v>
      </c>
      <c r="V638" s="42" t="n">
        <f aca="false">IF(C638&lt;&gt;L638,1,0)</f>
        <v>0</v>
      </c>
      <c r="W638" s="42" t="n">
        <f aca="false">IF(SUM(Q638:V638)&gt;0,1,0)</f>
        <v>0</v>
      </c>
    </row>
    <row r="639" customFormat="false" ht="15" hidden="false" customHeight="false" outlineLevel="0" collapsed="false">
      <c r="A639" s="42" t="str">
        <f aca="false">Sales_Transactions!A639</f>
        <v>INV-18-026</v>
      </c>
      <c r="B639" s="42" t="str">
        <f aca="false">Sales_Transactions!B639</f>
        <v>2026-06</v>
      </c>
      <c r="C639" s="42" t="str">
        <f aca="false">Sales_Transactions!C639</f>
        <v>Actual</v>
      </c>
      <c r="D639" s="42" t="str">
        <f aca="false">Sales_Transactions!D639</f>
        <v>C035</v>
      </c>
      <c r="E639" s="42" t="str">
        <f aca="false">Sales_Transactions!E639</f>
        <v>P007</v>
      </c>
      <c r="F639" s="42" t="str">
        <f aca="false">IFERROR(INDEX(Customer_Master!$C$2:$C$49,MATCH(D639,Customer_Master!$A$2:$A$49,0)),"UNMATCHED")</f>
        <v>West</v>
      </c>
      <c r="G639" s="42" t="str">
        <f aca="false">IFERROR(INDEX(Customer_Master!$D$2:$D$49,MATCH(D639,Customer_Master!$A$2:$A$49,0)),"UNMATCHED")</f>
        <v>Modern Trade</v>
      </c>
      <c r="H639" s="42" t="str">
        <f aca="false">IFERROR(INDEX(Product_Master!$C$2:$C$9,MATCH(E639,Product_Master!$A$2:$A$9,0)),"UNMATCHED")</f>
        <v>Home Care</v>
      </c>
      <c r="I639" s="42" t="str">
        <f aca="false">IFERROR(INDEX(Product_Master!$B$2:$B$9,MATCH(E639,Product_Master!$A$2:$A$9,0)),"UNMATCHED")</f>
        <v>Floor Cleaner</v>
      </c>
      <c r="J639" s="42" t="n">
        <f aca="false">IFERROR(INDEX(Calendar!$B$2:$B$25,MATCH(B639,Calendar!$A$2:$A$25,0)),0)</f>
        <v>2026</v>
      </c>
      <c r="K639" s="42" t="n">
        <f aca="false">IFERROR(VALUE(RIGHT(B639,2)),0)</f>
        <v>6</v>
      </c>
      <c r="L639" s="42" t="str">
        <f aca="false">IFERROR(INDEX(Calendar!$E$2:$E$25,MATCH(B639,Calendar!$A$2:$A$25,0)),"UNMATCHED")</f>
        <v>Actual</v>
      </c>
      <c r="M639" s="42" t="n">
        <f aca="false">Sales_Transactions!F639</f>
        <v>258</v>
      </c>
      <c r="N639" s="52" t="n">
        <f aca="false">Sales_Transactions!I639</f>
        <v>47183.04</v>
      </c>
      <c r="O639" s="52" t="n">
        <f aca="false">Sales_Transactions!J639</f>
        <v>29006.94</v>
      </c>
      <c r="P639" s="52" t="n">
        <f aca="false">Sales_Transactions!K639</f>
        <v>18176.1</v>
      </c>
      <c r="Q639" s="42" t="n">
        <f aca="false">IF(ISNUMBER(MATCH(E639,Product_Master!$A$2:$A$9,0)),0,1)</f>
        <v>0</v>
      </c>
      <c r="R639" s="42" t="n">
        <f aca="false">IF(ISNUMBER(MATCH(D639,Customer_Master!$A$2:$A$49,0)),0,1)</f>
        <v>0</v>
      </c>
      <c r="S639" s="42" t="n">
        <f aca="false">IF(ISNUMBER(MATCH(B639,Calendar!$A$2:$A$25,0)),0,1)</f>
        <v>0</v>
      </c>
      <c r="T639" s="42" t="n">
        <f aca="false">IF(COUNTIF(Sales_Transactions!$A$2:$A$865,A639)&gt;1,1,0)</f>
        <v>0</v>
      </c>
      <c r="U639" s="42" t="n">
        <f aca="false">IF(OR(ABS(Sales_Transactions!F639*Sales_Transactions!G639-Sales_Transactions!I639)&gt;0.01,ABS(Sales_Transactions!F639*Sales_Transactions!H639-Sales_Transactions!J639)&gt;0.01,ABS(Sales_Transactions!I639-Sales_Transactions!J639-Sales_Transactions!K639)&gt;0.01),1,0)</f>
        <v>0</v>
      </c>
      <c r="V639" s="42" t="n">
        <f aca="false">IF(C639&lt;&gt;L639,1,0)</f>
        <v>0</v>
      </c>
      <c r="W639" s="42" t="n">
        <f aca="false">IF(SUM(Q639:V639)&gt;0,1,0)</f>
        <v>0</v>
      </c>
    </row>
    <row r="640" customFormat="false" ht="15" hidden="false" customHeight="false" outlineLevel="0" collapsed="false">
      <c r="A640" s="42" t="str">
        <f aca="false">Sales_Transactions!A640</f>
        <v>INV-18-027</v>
      </c>
      <c r="B640" s="42" t="str">
        <f aca="false">Sales_Transactions!B640</f>
        <v>2026-06</v>
      </c>
      <c r="C640" s="42" t="str">
        <f aca="false">Sales_Transactions!C640</f>
        <v>Actual</v>
      </c>
      <c r="D640" s="42" t="str">
        <f aca="false">Sales_Transactions!D640</f>
        <v>C042</v>
      </c>
      <c r="E640" s="42" t="str">
        <f aca="false">Sales_Transactions!E640</f>
        <v>P004</v>
      </c>
      <c r="F640" s="42" t="str">
        <f aca="false">IFERROR(INDEX(Customer_Master!$C$2:$C$49,MATCH(D640,Customer_Master!$A$2:$A$49,0)),"UNMATCHED")</f>
        <v>North</v>
      </c>
      <c r="G640" s="42" t="str">
        <f aca="false">IFERROR(INDEX(Customer_Master!$D$2:$D$49,MATCH(D640,Customer_Master!$A$2:$A$49,0)),"UNMATCHED")</f>
        <v>Retail</v>
      </c>
      <c r="H640" s="42" t="str">
        <f aca="false">IFERROR(INDEX(Product_Master!$C$2:$C$9,MATCH(E640,Product_Master!$A$2:$A$9,0)),"UNMATCHED")</f>
        <v>Personal Care</v>
      </c>
      <c r="I640" s="42" t="str">
        <f aca="false">IFERROR(INDEX(Product_Master!$B$2:$B$9,MATCH(E640,Product_Master!$A$2:$A$9,0)),"UNMATCHED")</f>
        <v>Soap 4-pack</v>
      </c>
      <c r="J640" s="42" t="n">
        <f aca="false">IFERROR(INDEX(Calendar!$B$2:$B$25,MATCH(B640,Calendar!$A$2:$A$25,0)),0)</f>
        <v>2026</v>
      </c>
      <c r="K640" s="42" t="n">
        <f aca="false">IFERROR(VALUE(RIGHT(B640,2)),0)</f>
        <v>6</v>
      </c>
      <c r="L640" s="42" t="str">
        <f aca="false">IFERROR(INDEX(Calendar!$E$2:$E$25,MATCH(B640,Calendar!$A$2:$A$25,0)),"UNMATCHED")</f>
        <v>Actual</v>
      </c>
      <c r="M640" s="42" t="n">
        <f aca="false">Sales_Transactions!F640</f>
        <v>158</v>
      </c>
      <c r="N640" s="52" t="n">
        <f aca="false">Sales_Transactions!I640</f>
        <v>25324.24</v>
      </c>
      <c r="O640" s="52" t="n">
        <f aca="false">Sales_Transactions!J640</f>
        <v>15488.74</v>
      </c>
      <c r="P640" s="52" t="n">
        <f aca="false">Sales_Transactions!K640</f>
        <v>9835.5</v>
      </c>
      <c r="Q640" s="42" t="n">
        <f aca="false">IF(ISNUMBER(MATCH(E640,Product_Master!$A$2:$A$9,0)),0,1)</f>
        <v>0</v>
      </c>
      <c r="R640" s="42" t="n">
        <f aca="false">IF(ISNUMBER(MATCH(D640,Customer_Master!$A$2:$A$49,0)),0,1)</f>
        <v>0</v>
      </c>
      <c r="S640" s="42" t="n">
        <f aca="false">IF(ISNUMBER(MATCH(B640,Calendar!$A$2:$A$25,0)),0,1)</f>
        <v>0</v>
      </c>
      <c r="T640" s="42" t="n">
        <f aca="false">IF(COUNTIF(Sales_Transactions!$A$2:$A$865,A640)&gt;1,1,0)</f>
        <v>0</v>
      </c>
      <c r="U640" s="42" t="n">
        <f aca="false">IF(OR(ABS(Sales_Transactions!F640*Sales_Transactions!G640-Sales_Transactions!I640)&gt;0.01,ABS(Sales_Transactions!F640*Sales_Transactions!H640-Sales_Transactions!J640)&gt;0.01,ABS(Sales_Transactions!I640-Sales_Transactions!J640-Sales_Transactions!K640)&gt;0.01),1,0)</f>
        <v>0</v>
      </c>
      <c r="V640" s="42" t="n">
        <f aca="false">IF(C640&lt;&gt;L640,1,0)</f>
        <v>0</v>
      </c>
      <c r="W640" s="42" t="n">
        <f aca="false">IF(SUM(Q640:V640)&gt;0,1,0)</f>
        <v>0</v>
      </c>
    </row>
    <row r="641" customFormat="false" ht="15" hidden="false" customHeight="false" outlineLevel="0" collapsed="false">
      <c r="A641" s="42" t="str">
        <f aca="false">Sales_Transactions!A641</f>
        <v>INV-18-028</v>
      </c>
      <c r="B641" s="42" t="str">
        <f aca="false">Sales_Transactions!B641</f>
        <v>2026-06</v>
      </c>
      <c r="C641" s="42" t="str">
        <f aca="false">Sales_Transactions!C641</f>
        <v>Actual</v>
      </c>
      <c r="D641" s="42" t="str">
        <f aca="false">Sales_Transactions!D641</f>
        <v>C001</v>
      </c>
      <c r="E641" s="42" t="str">
        <f aca="false">Sales_Transactions!E641</f>
        <v>P001</v>
      </c>
      <c r="F641" s="42" t="str">
        <f aca="false">IFERROR(INDEX(Customer_Master!$C$2:$C$49,MATCH(D641,Customer_Master!$A$2:$A$49,0)),"UNMATCHED")</f>
        <v>South</v>
      </c>
      <c r="G641" s="42" t="str">
        <f aca="false">IFERROR(INDEX(Customer_Master!$D$2:$D$49,MATCH(D641,Customer_Master!$A$2:$A$49,0)),"UNMATCHED")</f>
        <v>Distributor</v>
      </c>
      <c r="H641" s="42" t="str">
        <f aca="false">IFERROR(INDEX(Product_Master!$C$2:$C$9,MATCH(E641,Product_Master!$A$2:$A$9,0)),"UNMATCHED")</f>
        <v>Home Care</v>
      </c>
      <c r="I641" s="42" t="str">
        <f aca="false">IFERROR(INDEX(Product_Master!$B$2:$B$9,MATCH(E641,Product_Master!$A$2:$A$9,0)),"UNMATCHED")</f>
        <v>Detergent 1kg</v>
      </c>
      <c r="J641" s="42" t="n">
        <f aca="false">IFERROR(INDEX(Calendar!$B$2:$B$25,MATCH(B641,Calendar!$A$2:$A$25,0)),0)</f>
        <v>2026</v>
      </c>
      <c r="K641" s="42" t="n">
        <f aca="false">IFERROR(VALUE(RIGHT(B641,2)),0)</f>
        <v>6</v>
      </c>
      <c r="L641" s="42" t="str">
        <f aca="false">IFERROR(INDEX(Calendar!$E$2:$E$25,MATCH(B641,Calendar!$A$2:$A$25,0)),"UNMATCHED")</f>
        <v>Actual</v>
      </c>
      <c r="M641" s="42" t="n">
        <f aca="false">Sales_Transactions!F641</f>
        <v>341</v>
      </c>
      <c r="N641" s="52" t="n">
        <f aca="false">Sales_Transactions!I641</f>
        <v>64108</v>
      </c>
      <c r="O641" s="52" t="n">
        <f aca="false">Sales_Transactions!J641</f>
        <v>43422.94</v>
      </c>
      <c r="P641" s="52" t="n">
        <f aca="false">Sales_Transactions!K641</f>
        <v>20685.06</v>
      </c>
      <c r="Q641" s="42" t="n">
        <f aca="false">IF(ISNUMBER(MATCH(E641,Product_Master!$A$2:$A$9,0)),0,1)</f>
        <v>0</v>
      </c>
      <c r="R641" s="42" t="n">
        <f aca="false">IF(ISNUMBER(MATCH(D641,Customer_Master!$A$2:$A$49,0)),0,1)</f>
        <v>0</v>
      </c>
      <c r="S641" s="42" t="n">
        <f aca="false">IF(ISNUMBER(MATCH(B641,Calendar!$A$2:$A$25,0)),0,1)</f>
        <v>0</v>
      </c>
      <c r="T641" s="42" t="n">
        <f aca="false">IF(COUNTIF(Sales_Transactions!$A$2:$A$865,A641)&gt;1,1,0)</f>
        <v>0</v>
      </c>
      <c r="U641" s="42" t="n">
        <f aca="false">IF(OR(ABS(Sales_Transactions!F641*Sales_Transactions!G641-Sales_Transactions!I641)&gt;0.01,ABS(Sales_Transactions!F641*Sales_Transactions!H641-Sales_Transactions!J641)&gt;0.01,ABS(Sales_Transactions!I641-Sales_Transactions!J641-Sales_Transactions!K641)&gt;0.01),1,0)</f>
        <v>0</v>
      </c>
      <c r="V641" s="42" t="n">
        <f aca="false">IF(C641&lt;&gt;L641,1,0)</f>
        <v>0</v>
      </c>
      <c r="W641" s="42" t="n">
        <f aca="false">IF(SUM(Q641:V641)&gt;0,1,0)</f>
        <v>0</v>
      </c>
    </row>
    <row r="642" customFormat="false" ht="15" hidden="false" customHeight="false" outlineLevel="0" collapsed="false">
      <c r="A642" s="42" t="str">
        <f aca="false">Sales_Transactions!A642</f>
        <v>INV-18-029</v>
      </c>
      <c r="B642" s="42" t="str">
        <f aca="false">Sales_Transactions!B642</f>
        <v>2026-06</v>
      </c>
      <c r="C642" s="42" t="str">
        <f aca="false">Sales_Transactions!C642</f>
        <v>Actual</v>
      </c>
      <c r="D642" s="42" t="str">
        <f aca="false">Sales_Transactions!D642</f>
        <v>C008</v>
      </c>
      <c r="E642" s="42" t="str">
        <f aca="false">Sales_Transactions!E642</f>
        <v>P006</v>
      </c>
      <c r="F642" s="42" t="str">
        <f aca="false">IFERROR(INDEX(Customer_Master!$C$2:$C$49,MATCH(D642,Customer_Master!$A$2:$A$49,0)),"UNMATCHED")</f>
        <v>East</v>
      </c>
      <c r="G642" s="42" t="str">
        <f aca="false">IFERROR(INDEX(Customer_Master!$D$2:$D$49,MATCH(D642,Customer_Master!$A$2:$A$49,0)),"UNMATCHED")</f>
        <v>Modern Trade</v>
      </c>
      <c r="H642" s="42" t="str">
        <f aca="false">IFERROR(INDEX(Product_Master!$C$2:$C$9,MATCH(E642,Product_Master!$A$2:$A$9,0)),"UNMATCHED")</f>
        <v>Foods</v>
      </c>
      <c r="I642" s="42" t="str">
        <f aca="false">IFERROR(INDEX(Product_Master!$B$2:$B$9,MATCH(E642,Product_Master!$A$2:$A$9,0)),"UNMATCHED")</f>
        <v>Breakfast Cereal</v>
      </c>
      <c r="J642" s="42" t="n">
        <f aca="false">IFERROR(INDEX(Calendar!$B$2:$B$25,MATCH(B642,Calendar!$A$2:$A$25,0)),0)</f>
        <v>2026</v>
      </c>
      <c r="K642" s="42" t="n">
        <f aca="false">IFERROR(VALUE(RIGHT(B642,2)),0)</f>
        <v>6</v>
      </c>
      <c r="L642" s="42" t="str">
        <f aca="false">IFERROR(INDEX(Calendar!$E$2:$E$25,MATCH(B642,Calendar!$A$2:$A$25,0)),"UNMATCHED")</f>
        <v>Actual</v>
      </c>
      <c r="M642" s="42" t="n">
        <f aca="false">Sales_Transactions!F642</f>
        <v>450</v>
      </c>
      <c r="N642" s="52" t="n">
        <f aca="false">Sales_Transactions!I642</f>
        <v>107095.5</v>
      </c>
      <c r="O642" s="52" t="n">
        <f aca="false">Sales_Transactions!J642</f>
        <v>71383.5</v>
      </c>
      <c r="P642" s="52" t="n">
        <f aca="false">Sales_Transactions!K642</f>
        <v>35712</v>
      </c>
      <c r="Q642" s="42" t="n">
        <f aca="false">IF(ISNUMBER(MATCH(E642,Product_Master!$A$2:$A$9,0)),0,1)</f>
        <v>0</v>
      </c>
      <c r="R642" s="42" t="n">
        <f aca="false">IF(ISNUMBER(MATCH(D642,Customer_Master!$A$2:$A$49,0)),0,1)</f>
        <v>0</v>
      </c>
      <c r="S642" s="42" t="n">
        <f aca="false">IF(ISNUMBER(MATCH(B642,Calendar!$A$2:$A$25,0)),0,1)</f>
        <v>0</v>
      </c>
      <c r="T642" s="42" t="n">
        <f aca="false">IF(COUNTIF(Sales_Transactions!$A$2:$A$865,A642)&gt;1,1,0)</f>
        <v>0</v>
      </c>
      <c r="U642" s="42" t="n">
        <f aca="false">IF(OR(ABS(Sales_Transactions!F642*Sales_Transactions!G642-Sales_Transactions!I642)&gt;0.01,ABS(Sales_Transactions!F642*Sales_Transactions!H642-Sales_Transactions!J642)&gt;0.01,ABS(Sales_Transactions!I642-Sales_Transactions!J642-Sales_Transactions!K642)&gt;0.01),1,0)</f>
        <v>0</v>
      </c>
      <c r="V642" s="42" t="n">
        <f aca="false">IF(C642&lt;&gt;L642,1,0)</f>
        <v>0</v>
      </c>
      <c r="W642" s="42" t="n">
        <f aca="false">IF(SUM(Q642:V642)&gt;0,1,0)</f>
        <v>0</v>
      </c>
    </row>
    <row r="643" customFormat="false" ht="15" hidden="false" customHeight="false" outlineLevel="0" collapsed="false">
      <c r="A643" s="42" t="str">
        <f aca="false">Sales_Transactions!A643</f>
        <v>INV-18-030</v>
      </c>
      <c r="B643" s="42" t="str">
        <f aca="false">Sales_Transactions!B643</f>
        <v>2026-06</v>
      </c>
      <c r="C643" s="42" t="str">
        <f aca="false">Sales_Transactions!C643</f>
        <v>Actual</v>
      </c>
      <c r="D643" s="42" t="str">
        <f aca="false">Sales_Transactions!D643</f>
        <v>C015</v>
      </c>
      <c r="E643" s="42" t="str">
        <f aca="false">Sales_Transactions!E643</f>
        <v>P003</v>
      </c>
      <c r="F643" s="42" t="str">
        <f aca="false">IFERROR(INDEX(Customer_Master!$C$2:$C$49,MATCH(D643,Customer_Master!$A$2:$A$49,0)),"UNMATCHED")</f>
        <v>West</v>
      </c>
      <c r="G643" s="42" t="str">
        <f aca="false">IFERROR(INDEX(Customer_Master!$D$2:$D$49,MATCH(D643,Customer_Master!$A$2:$A$49,0)),"UNMATCHED")</f>
        <v>Retail</v>
      </c>
      <c r="H643" s="42" t="str">
        <f aca="false">IFERROR(INDEX(Product_Master!$C$2:$C$9,MATCH(E643,Product_Master!$A$2:$A$9,0)),"UNMATCHED")</f>
        <v>Personal Care</v>
      </c>
      <c r="I643" s="42" t="str">
        <f aca="false">IFERROR(INDEX(Product_Master!$B$2:$B$9,MATCH(E643,Product_Master!$A$2:$A$9,0)),"UNMATCHED")</f>
        <v>Shampoo 400ml</v>
      </c>
      <c r="J643" s="42" t="n">
        <f aca="false">IFERROR(INDEX(Calendar!$B$2:$B$25,MATCH(B643,Calendar!$A$2:$A$25,0)),0)</f>
        <v>2026</v>
      </c>
      <c r="K643" s="42" t="n">
        <f aca="false">IFERROR(VALUE(RIGHT(B643,2)),0)</f>
        <v>6</v>
      </c>
      <c r="L643" s="42" t="str">
        <f aca="false">IFERROR(INDEX(Calendar!$E$2:$E$25,MATCH(B643,Calendar!$A$2:$A$25,0)),"UNMATCHED")</f>
        <v>Actual</v>
      </c>
      <c r="M643" s="42" t="n">
        <f aca="false">Sales_Transactions!F643</f>
        <v>318</v>
      </c>
      <c r="N643" s="52" t="n">
        <f aca="false">Sales_Transactions!I643</f>
        <v>80969.16</v>
      </c>
      <c r="O643" s="52" t="n">
        <f aca="false">Sales_Transactions!J643</f>
        <v>58031.82</v>
      </c>
      <c r="P643" s="52" t="n">
        <f aca="false">Sales_Transactions!K643</f>
        <v>22937.34</v>
      </c>
      <c r="Q643" s="42" t="n">
        <f aca="false">IF(ISNUMBER(MATCH(E643,Product_Master!$A$2:$A$9,0)),0,1)</f>
        <v>0</v>
      </c>
      <c r="R643" s="42" t="n">
        <f aca="false">IF(ISNUMBER(MATCH(D643,Customer_Master!$A$2:$A$49,0)),0,1)</f>
        <v>0</v>
      </c>
      <c r="S643" s="42" t="n">
        <f aca="false">IF(ISNUMBER(MATCH(B643,Calendar!$A$2:$A$25,0)),0,1)</f>
        <v>0</v>
      </c>
      <c r="T643" s="42" t="n">
        <f aca="false">IF(COUNTIF(Sales_Transactions!$A$2:$A$865,A643)&gt;1,1,0)</f>
        <v>0</v>
      </c>
      <c r="U643" s="42" t="n">
        <f aca="false">IF(OR(ABS(Sales_Transactions!F643*Sales_Transactions!G643-Sales_Transactions!I643)&gt;0.01,ABS(Sales_Transactions!F643*Sales_Transactions!H643-Sales_Transactions!J643)&gt;0.01,ABS(Sales_Transactions!I643-Sales_Transactions!J643-Sales_Transactions!K643)&gt;0.01),1,0)</f>
        <v>0</v>
      </c>
      <c r="V643" s="42" t="n">
        <f aca="false">IF(C643&lt;&gt;L643,1,0)</f>
        <v>0</v>
      </c>
      <c r="W643" s="42" t="n">
        <f aca="false">IF(SUM(Q643:V643)&gt;0,1,0)</f>
        <v>0</v>
      </c>
    </row>
    <row r="644" customFormat="false" ht="15" hidden="false" customHeight="false" outlineLevel="0" collapsed="false">
      <c r="A644" s="42" t="str">
        <f aca="false">Sales_Transactions!A644</f>
        <v>INV-18-031</v>
      </c>
      <c r="B644" s="42" t="str">
        <f aca="false">Sales_Transactions!B644</f>
        <v>2026-06</v>
      </c>
      <c r="C644" s="42" t="str">
        <f aca="false">Sales_Transactions!C644</f>
        <v>Actual</v>
      </c>
      <c r="D644" s="42" t="str">
        <f aca="false">Sales_Transactions!D644</f>
        <v>C022</v>
      </c>
      <c r="E644" s="42" t="str">
        <f aca="false">Sales_Transactions!E644</f>
        <v>P008</v>
      </c>
      <c r="F644" s="42" t="str">
        <f aca="false">IFERROR(INDEX(Customer_Master!$C$2:$C$49,MATCH(D644,Customer_Master!$A$2:$A$49,0)),"UNMATCHED")</f>
        <v>North</v>
      </c>
      <c r="G644" s="42" t="str">
        <f aca="false">IFERROR(INDEX(Customer_Master!$D$2:$D$49,MATCH(D644,Customer_Master!$A$2:$A$49,0)),"UNMATCHED")</f>
        <v>Distributor</v>
      </c>
      <c r="H644" s="42" t="str">
        <f aca="false">IFERROR(INDEX(Product_Master!$C$2:$C$9,MATCH(E644,Product_Master!$A$2:$A$9,0)),"UNMATCHED")</f>
        <v>Personal Care</v>
      </c>
      <c r="I644" s="42" t="str">
        <f aca="false">IFERROR(INDEX(Product_Master!$B$2:$B$9,MATCH(E644,Product_Master!$A$2:$A$9,0)),"UNMATCHED")</f>
        <v>Body Lotion</v>
      </c>
      <c r="J644" s="42" t="n">
        <f aca="false">IFERROR(INDEX(Calendar!$B$2:$B$25,MATCH(B644,Calendar!$A$2:$A$25,0)),0)</f>
        <v>2026</v>
      </c>
      <c r="K644" s="42" t="n">
        <f aca="false">IFERROR(VALUE(RIGHT(B644,2)),0)</f>
        <v>6</v>
      </c>
      <c r="L644" s="42" t="str">
        <f aca="false">IFERROR(INDEX(Calendar!$E$2:$E$25,MATCH(B644,Calendar!$A$2:$A$25,0)),"UNMATCHED")</f>
        <v>Actual</v>
      </c>
      <c r="M644" s="42" t="n">
        <f aca="false">Sales_Transactions!F644</f>
        <v>156</v>
      </c>
      <c r="N644" s="52" t="n">
        <f aca="false">Sales_Transactions!I644</f>
        <v>47285.16</v>
      </c>
      <c r="O644" s="52" t="n">
        <f aca="false">Sales_Transactions!J644</f>
        <v>32569.68</v>
      </c>
      <c r="P644" s="52" t="n">
        <f aca="false">Sales_Transactions!K644</f>
        <v>14715.48</v>
      </c>
      <c r="Q644" s="42" t="n">
        <f aca="false">IF(ISNUMBER(MATCH(E644,Product_Master!$A$2:$A$9,0)),0,1)</f>
        <v>0</v>
      </c>
      <c r="R644" s="42" t="n">
        <f aca="false">IF(ISNUMBER(MATCH(D644,Customer_Master!$A$2:$A$49,0)),0,1)</f>
        <v>0</v>
      </c>
      <c r="S644" s="42" t="n">
        <f aca="false">IF(ISNUMBER(MATCH(B644,Calendar!$A$2:$A$25,0)),0,1)</f>
        <v>0</v>
      </c>
      <c r="T644" s="42" t="n">
        <f aca="false">IF(COUNTIF(Sales_Transactions!$A$2:$A$865,A644)&gt;1,1,0)</f>
        <v>0</v>
      </c>
      <c r="U644" s="42" t="n">
        <f aca="false">IF(OR(ABS(Sales_Transactions!F644*Sales_Transactions!G644-Sales_Transactions!I644)&gt;0.01,ABS(Sales_Transactions!F644*Sales_Transactions!H644-Sales_Transactions!J644)&gt;0.01,ABS(Sales_Transactions!I644-Sales_Transactions!J644-Sales_Transactions!K644)&gt;0.01),1,0)</f>
        <v>0</v>
      </c>
      <c r="V644" s="42" t="n">
        <f aca="false">IF(C644&lt;&gt;L644,1,0)</f>
        <v>0</v>
      </c>
      <c r="W644" s="42" t="n">
        <f aca="false">IF(SUM(Q644:V644)&gt;0,1,0)</f>
        <v>0</v>
      </c>
    </row>
    <row r="645" customFormat="false" ht="15" hidden="false" customHeight="false" outlineLevel="0" collapsed="false">
      <c r="A645" s="42" t="str">
        <f aca="false">Sales_Transactions!A645</f>
        <v>INV-18-032</v>
      </c>
      <c r="B645" s="42" t="str">
        <f aca="false">Sales_Transactions!B645</f>
        <v>2026-06</v>
      </c>
      <c r="C645" s="42" t="str">
        <f aca="false">Sales_Transactions!C645</f>
        <v>Actual</v>
      </c>
      <c r="D645" s="42" t="str">
        <f aca="false">Sales_Transactions!D645</f>
        <v>C029</v>
      </c>
      <c r="E645" s="42" t="str">
        <f aca="false">Sales_Transactions!E645</f>
        <v>P005</v>
      </c>
      <c r="F645" s="42" t="str">
        <f aca="false">IFERROR(INDEX(Customer_Master!$C$2:$C$49,MATCH(D645,Customer_Master!$A$2:$A$49,0)),"UNMATCHED")</f>
        <v>South</v>
      </c>
      <c r="G645" s="42" t="str">
        <f aca="false">IFERROR(INDEX(Customer_Master!$D$2:$D$49,MATCH(D645,Customer_Master!$A$2:$A$49,0)),"UNMATCHED")</f>
        <v>Modern Trade</v>
      </c>
      <c r="H645" s="42" t="str">
        <f aca="false">IFERROR(INDEX(Product_Master!$C$2:$C$9,MATCH(E645,Product_Master!$A$2:$A$9,0)),"UNMATCHED")</f>
        <v>Foods</v>
      </c>
      <c r="I645" s="42" t="str">
        <f aca="false">IFERROR(INDEX(Product_Master!$B$2:$B$9,MATCH(E645,Product_Master!$A$2:$A$9,0)),"UNMATCHED")</f>
        <v>Biscuits 500g</v>
      </c>
      <c r="J645" s="42" t="n">
        <f aca="false">IFERROR(INDEX(Calendar!$B$2:$B$25,MATCH(B645,Calendar!$A$2:$A$25,0)),0)</f>
        <v>2026</v>
      </c>
      <c r="K645" s="42" t="n">
        <f aca="false">IFERROR(VALUE(RIGHT(B645,2)),0)</f>
        <v>6</v>
      </c>
      <c r="L645" s="42" t="str">
        <f aca="false">IFERROR(INDEX(Calendar!$E$2:$E$25,MATCH(B645,Calendar!$A$2:$A$25,0)),"UNMATCHED")</f>
        <v>Actual</v>
      </c>
      <c r="M645" s="42" t="n">
        <f aca="false">Sales_Transactions!F645</f>
        <v>168</v>
      </c>
      <c r="N645" s="52" t="n">
        <f aca="false">Sales_Transactions!I645</f>
        <v>17391.36</v>
      </c>
      <c r="O645" s="52" t="n">
        <f aca="false">Sales_Transactions!J645</f>
        <v>11639.04</v>
      </c>
      <c r="P645" s="52" t="n">
        <f aca="false">Sales_Transactions!K645</f>
        <v>5752.32</v>
      </c>
      <c r="Q645" s="42" t="n">
        <f aca="false">IF(ISNUMBER(MATCH(E645,Product_Master!$A$2:$A$9,0)),0,1)</f>
        <v>0</v>
      </c>
      <c r="R645" s="42" t="n">
        <f aca="false">IF(ISNUMBER(MATCH(D645,Customer_Master!$A$2:$A$49,0)),0,1)</f>
        <v>0</v>
      </c>
      <c r="S645" s="42" t="n">
        <f aca="false">IF(ISNUMBER(MATCH(B645,Calendar!$A$2:$A$25,0)),0,1)</f>
        <v>0</v>
      </c>
      <c r="T645" s="42" t="n">
        <f aca="false">IF(COUNTIF(Sales_Transactions!$A$2:$A$865,A645)&gt;1,1,0)</f>
        <v>0</v>
      </c>
      <c r="U645" s="42" t="n">
        <f aca="false">IF(OR(ABS(Sales_Transactions!F645*Sales_Transactions!G645-Sales_Transactions!I645)&gt;0.01,ABS(Sales_Transactions!F645*Sales_Transactions!H645-Sales_Transactions!J645)&gt;0.01,ABS(Sales_Transactions!I645-Sales_Transactions!J645-Sales_Transactions!K645)&gt;0.01),1,0)</f>
        <v>0</v>
      </c>
      <c r="V645" s="42" t="n">
        <f aca="false">IF(C645&lt;&gt;L645,1,0)</f>
        <v>0</v>
      </c>
      <c r="W645" s="42" t="n">
        <f aca="false">IF(SUM(Q645:V645)&gt;0,1,0)</f>
        <v>0</v>
      </c>
    </row>
    <row r="646" customFormat="false" ht="15" hidden="false" customHeight="false" outlineLevel="0" collapsed="false">
      <c r="A646" s="42" t="str">
        <f aca="false">Sales_Transactions!A646</f>
        <v>INV-18-033</v>
      </c>
      <c r="B646" s="42" t="str">
        <f aca="false">Sales_Transactions!B646</f>
        <v>2026-06</v>
      </c>
      <c r="C646" s="42" t="str">
        <f aca="false">Sales_Transactions!C646</f>
        <v>Actual</v>
      </c>
      <c r="D646" s="42" t="str">
        <f aca="false">Sales_Transactions!D646</f>
        <v>C036</v>
      </c>
      <c r="E646" s="42" t="str">
        <f aca="false">Sales_Transactions!E646</f>
        <v>P002</v>
      </c>
      <c r="F646" s="42" t="str">
        <f aca="false">IFERROR(INDEX(Customer_Master!$C$2:$C$49,MATCH(D646,Customer_Master!$A$2:$A$49,0)),"UNMATCHED")</f>
        <v>East</v>
      </c>
      <c r="G646" s="42" t="str">
        <f aca="false">IFERROR(INDEX(Customer_Master!$D$2:$D$49,MATCH(D646,Customer_Master!$A$2:$A$49,0)),"UNMATCHED")</f>
        <v>Retail</v>
      </c>
      <c r="H646" s="42" t="str">
        <f aca="false">IFERROR(INDEX(Product_Master!$C$2:$C$9,MATCH(E646,Product_Master!$A$2:$A$9,0)),"UNMATCHED")</f>
        <v>Home Care</v>
      </c>
      <c r="I646" s="42" t="str">
        <f aca="false">IFERROR(INDEX(Product_Master!$B$2:$B$9,MATCH(E646,Product_Master!$A$2:$A$9,0)),"UNMATCHED")</f>
        <v>Dishwash Gel</v>
      </c>
      <c r="J646" s="42" t="n">
        <f aca="false">IFERROR(INDEX(Calendar!$B$2:$B$25,MATCH(B646,Calendar!$A$2:$A$25,0)),0)</f>
        <v>2026</v>
      </c>
      <c r="K646" s="42" t="n">
        <f aca="false">IFERROR(VALUE(RIGHT(B646,2)),0)</f>
        <v>6</v>
      </c>
      <c r="L646" s="42" t="str">
        <f aca="false">IFERROR(INDEX(Calendar!$E$2:$E$25,MATCH(B646,Calendar!$A$2:$A$25,0)),"UNMATCHED")</f>
        <v>Actual</v>
      </c>
      <c r="M646" s="42" t="n">
        <f aca="false">Sales_Transactions!F646</f>
        <v>238</v>
      </c>
      <c r="N646" s="52" t="n">
        <f aca="false">Sales_Transactions!I646</f>
        <v>33377.12</v>
      </c>
      <c r="O646" s="52" t="n">
        <f aca="false">Sales_Transactions!J646</f>
        <v>19922.98</v>
      </c>
      <c r="P646" s="52" t="n">
        <f aca="false">Sales_Transactions!K646</f>
        <v>13454.14</v>
      </c>
      <c r="Q646" s="42" t="n">
        <f aca="false">IF(ISNUMBER(MATCH(E646,Product_Master!$A$2:$A$9,0)),0,1)</f>
        <v>0</v>
      </c>
      <c r="R646" s="42" t="n">
        <f aca="false">IF(ISNUMBER(MATCH(D646,Customer_Master!$A$2:$A$49,0)),0,1)</f>
        <v>0</v>
      </c>
      <c r="S646" s="42" t="n">
        <f aca="false">IF(ISNUMBER(MATCH(B646,Calendar!$A$2:$A$25,0)),0,1)</f>
        <v>0</v>
      </c>
      <c r="T646" s="42" t="n">
        <f aca="false">IF(COUNTIF(Sales_Transactions!$A$2:$A$865,A646)&gt;1,1,0)</f>
        <v>0</v>
      </c>
      <c r="U646" s="42" t="n">
        <f aca="false">IF(OR(ABS(Sales_Transactions!F646*Sales_Transactions!G646-Sales_Transactions!I646)&gt;0.01,ABS(Sales_Transactions!F646*Sales_Transactions!H646-Sales_Transactions!J646)&gt;0.01,ABS(Sales_Transactions!I646-Sales_Transactions!J646-Sales_Transactions!K646)&gt;0.01),1,0)</f>
        <v>0</v>
      </c>
      <c r="V646" s="42" t="n">
        <f aca="false">IF(C646&lt;&gt;L646,1,0)</f>
        <v>0</v>
      </c>
      <c r="W646" s="42" t="n">
        <f aca="false">IF(SUM(Q646:V646)&gt;0,1,0)</f>
        <v>0</v>
      </c>
    </row>
    <row r="647" customFormat="false" ht="15" hidden="false" customHeight="false" outlineLevel="0" collapsed="false">
      <c r="A647" s="42" t="str">
        <f aca="false">Sales_Transactions!A647</f>
        <v>INV-18-034</v>
      </c>
      <c r="B647" s="42" t="str">
        <f aca="false">Sales_Transactions!B647</f>
        <v>2026-06</v>
      </c>
      <c r="C647" s="42" t="str">
        <f aca="false">Sales_Transactions!C647</f>
        <v>Actual</v>
      </c>
      <c r="D647" s="42" t="str">
        <f aca="false">Sales_Transactions!D647</f>
        <v>C043</v>
      </c>
      <c r="E647" s="42" t="str">
        <f aca="false">Sales_Transactions!E647</f>
        <v>P007</v>
      </c>
      <c r="F647" s="42" t="str">
        <f aca="false">IFERROR(INDEX(Customer_Master!$C$2:$C$49,MATCH(D647,Customer_Master!$A$2:$A$49,0)),"UNMATCHED")</f>
        <v>West</v>
      </c>
      <c r="G647" s="42" t="str">
        <f aca="false">IFERROR(INDEX(Customer_Master!$D$2:$D$49,MATCH(D647,Customer_Master!$A$2:$A$49,0)),"UNMATCHED")</f>
        <v>Distributor</v>
      </c>
      <c r="H647" s="42" t="str">
        <f aca="false">IFERROR(INDEX(Product_Master!$C$2:$C$9,MATCH(E647,Product_Master!$A$2:$A$9,0)),"UNMATCHED")</f>
        <v>Home Care</v>
      </c>
      <c r="I647" s="42" t="str">
        <f aca="false">IFERROR(INDEX(Product_Master!$B$2:$B$9,MATCH(E647,Product_Master!$A$2:$A$9,0)),"UNMATCHED")</f>
        <v>Floor Cleaner</v>
      </c>
      <c r="J647" s="42" t="n">
        <f aca="false">IFERROR(INDEX(Calendar!$B$2:$B$25,MATCH(B647,Calendar!$A$2:$A$25,0)),0)</f>
        <v>2026</v>
      </c>
      <c r="K647" s="42" t="n">
        <f aca="false">IFERROR(VALUE(RIGHT(B647,2)),0)</f>
        <v>6</v>
      </c>
      <c r="L647" s="42" t="str">
        <f aca="false">IFERROR(INDEX(Calendar!$E$2:$E$25,MATCH(B647,Calendar!$A$2:$A$25,0)),"UNMATCHED")</f>
        <v>Actual</v>
      </c>
      <c r="M647" s="42" t="n">
        <f aca="false">Sales_Transactions!F647</f>
        <v>345</v>
      </c>
      <c r="N647" s="52" t="n">
        <f aca="false">Sales_Transactions!I647</f>
        <v>62876.25</v>
      </c>
      <c r="O647" s="52" t="n">
        <f aca="false">Sales_Transactions!J647</f>
        <v>40382.25</v>
      </c>
      <c r="P647" s="52" t="n">
        <f aca="false">Sales_Transactions!K647</f>
        <v>22494</v>
      </c>
      <c r="Q647" s="42" t="n">
        <f aca="false">IF(ISNUMBER(MATCH(E647,Product_Master!$A$2:$A$9,0)),0,1)</f>
        <v>0</v>
      </c>
      <c r="R647" s="42" t="n">
        <f aca="false">IF(ISNUMBER(MATCH(D647,Customer_Master!$A$2:$A$49,0)),0,1)</f>
        <v>0</v>
      </c>
      <c r="S647" s="42" t="n">
        <f aca="false">IF(ISNUMBER(MATCH(B647,Calendar!$A$2:$A$25,0)),0,1)</f>
        <v>0</v>
      </c>
      <c r="T647" s="42" t="n">
        <f aca="false">IF(COUNTIF(Sales_Transactions!$A$2:$A$865,A647)&gt;1,1,0)</f>
        <v>0</v>
      </c>
      <c r="U647" s="42" t="n">
        <f aca="false">IF(OR(ABS(Sales_Transactions!F647*Sales_Transactions!G647-Sales_Transactions!I647)&gt;0.01,ABS(Sales_Transactions!F647*Sales_Transactions!H647-Sales_Transactions!J647)&gt;0.01,ABS(Sales_Transactions!I647-Sales_Transactions!J647-Sales_Transactions!K647)&gt;0.01),1,0)</f>
        <v>0</v>
      </c>
      <c r="V647" s="42" t="n">
        <f aca="false">IF(C647&lt;&gt;L647,1,0)</f>
        <v>0</v>
      </c>
      <c r="W647" s="42" t="n">
        <f aca="false">IF(SUM(Q647:V647)&gt;0,1,0)</f>
        <v>0</v>
      </c>
    </row>
    <row r="648" customFormat="false" ht="15" hidden="false" customHeight="false" outlineLevel="0" collapsed="false">
      <c r="A648" s="42" t="str">
        <f aca="false">Sales_Transactions!A648</f>
        <v>INV-18-035</v>
      </c>
      <c r="B648" s="42" t="str">
        <f aca="false">Sales_Transactions!B648</f>
        <v>2026-06</v>
      </c>
      <c r="C648" s="42" t="str">
        <f aca="false">Sales_Transactions!C648</f>
        <v>Actual</v>
      </c>
      <c r="D648" s="42" t="str">
        <f aca="false">Sales_Transactions!D648</f>
        <v>C002</v>
      </c>
      <c r="E648" s="42" t="str">
        <f aca="false">Sales_Transactions!E648</f>
        <v>P004</v>
      </c>
      <c r="F648" s="42" t="str">
        <f aca="false">IFERROR(INDEX(Customer_Master!$C$2:$C$49,MATCH(D648,Customer_Master!$A$2:$A$49,0)),"UNMATCHED")</f>
        <v>North</v>
      </c>
      <c r="G648" s="42" t="str">
        <f aca="false">IFERROR(INDEX(Customer_Master!$D$2:$D$49,MATCH(D648,Customer_Master!$A$2:$A$49,0)),"UNMATCHED")</f>
        <v>Modern Trade</v>
      </c>
      <c r="H648" s="42" t="str">
        <f aca="false">IFERROR(INDEX(Product_Master!$C$2:$C$9,MATCH(E648,Product_Master!$A$2:$A$9,0)),"UNMATCHED")</f>
        <v>Personal Care</v>
      </c>
      <c r="I648" s="42" t="str">
        <f aca="false">IFERROR(INDEX(Product_Master!$B$2:$B$9,MATCH(E648,Product_Master!$A$2:$A$9,0)),"UNMATCHED")</f>
        <v>Soap 4-pack</v>
      </c>
      <c r="J648" s="42" t="n">
        <f aca="false">IFERROR(INDEX(Calendar!$B$2:$B$25,MATCH(B648,Calendar!$A$2:$A$25,0)),0)</f>
        <v>2026</v>
      </c>
      <c r="K648" s="42" t="n">
        <f aca="false">IFERROR(VALUE(RIGHT(B648,2)),0)</f>
        <v>6</v>
      </c>
      <c r="L648" s="42" t="str">
        <f aca="false">IFERROR(INDEX(Calendar!$E$2:$E$25,MATCH(B648,Calendar!$A$2:$A$25,0)),"UNMATCHED")</f>
        <v>Actual</v>
      </c>
      <c r="M648" s="42" t="n">
        <f aca="false">Sales_Transactions!F648</f>
        <v>238</v>
      </c>
      <c r="N648" s="52" t="n">
        <f aca="false">Sales_Transactions!I648</f>
        <v>39638.9</v>
      </c>
      <c r="O648" s="52" t="n">
        <f aca="false">Sales_Transactions!J648</f>
        <v>21979.3</v>
      </c>
      <c r="P648" s="52" t="n">
        <f aca="false">Sales_Transactions!K648</f>
        <v>17659.6</v>
      </c>
      <c r="Q648" s="42" t="n">
        <f aca="false">IF(ISNUMBER(MATCH(E648,Product_Master!$A$2:$A$9,0)),0,1)</f>
        <v>0</v>
      </c>
      <c r="R648" s="42" t="n">
        <f aca="false">IF(ISNUMBER(MATCH(D648,Customer_Master!$A$2:$A$49,0)),0,1)</f>
        <v>0</v>
      </c>
      <c r="S648" s="42" t="n">
        <f aca="false">IF(ISNUMBER(MATCH(B648,Calendar!$A$2:$A$25,0)),0,1)</f>
        <v>0</v>
      </c>
      <c r="T648" s="42" t="n">
        <f aca="false">IF(COUNTIF(Sales_Transactions!$A$2:$A$865,A648)&gt;1,1,0)</f>
        <v>0</v>
      </c>
      <c r="U648" s="42" t="n">
        <f aca="false">IF(OR(ABS(Sales_Transactions!F648*Sales_Transactions!G648-Sales_Transactions!I648)&gt;0.01,ABS(Sales_Transactions!F648*Sales_Transactions!H648-Sales_Transactions!J648)&gt;0.01,ABS(Sales_Transactions!I648-Sales_Transactions!J648-Sales_Transactions!K648)&gt;0.01),1,0)</f>
        <v>0</v>
      </c>
      <c r="V648" s="42" t="n">
        <f aca="false">IF(C648&lt;&gt;L648,1,0)</f>
        <v>0</v>
      </c>
      <c r="W648" s="42" t="n">
        <f aca="false">IF(SUM(Q648:V648)&gt;0,1,0)</f>
        <v>0</v>
      </c>
    </row>
    <row r="649" customFormat="false" ht="15" hidden="false" customHeight="false" outlineLevel="0" collapsed="false">
      <c r="A649" s="42" t="str">
        <f aca="false">Sales_Transactions!A649</f>
        <v>INV-18-036</v>
      </c>
      <c r="B649" s="42" t="str">
        <f aca="false">Sales_Transactions!B649</f>
        <v>2026-06</v>
      </c>
      <c r="C649" s="42" t="str">
        <f aca="false">Sales_Transactions!C649</f>
        <v>Actual</v>
      </c>
      <c r="D649" s="42" t="str">
        <f aca="false">Sales_Transactions!D649</f>
        <v>C009</v>
      </c>
      <c r="E649" s="42" t="str">
        <f aca="false">Sales_Transactions!E649</f>
        <v>P001</v>
      </c>
      <c r="F649" s="42" t="str">
        <f aca="false">IFERROR(INDEX(Customer_Master!$C$2:$C$49,MATCH(D649,Customer_Master!$A$2:$A$49,0)),"UNMATCHED")</f>
        <v>South</v>
      </c>
      <c r="G649" s="42" t="str">
        <f aca="false">IFERROR(INDEX(Customer_Master!$D$2:$D$49,MATCH(D649,Customer_Master!$A$2:$A$49,0)),"UNMATCHED")</f>
        <v>Retail</v>
      </c>
      <c r="H649" s="42" t="str">
        <f aca="false">IFERROR(INDEX(Product_Master!$C$2:$C$9,MATCH(E649,Product_Master!$A$2:$A$9,0)),"UNMATCHED")</f>
        <v>Home Care</v>
      </c>
      <c r="I649" s="42" t="str">
        <f aca="false">IFERROR(INDEX(Product_Master!$B$2:$B$9,MATCH(E649,Product_Master!$A$2:$A$9,0)),"UNMATCHED")</f>
        <v>Detergent 1kg</v>
      </c>
      <c r="J649" s="42" t="n">
        <f aca="false">IFERROR(INDEX(Calendar!$B$2:$B$25,MATCH(B649,Calendar!$A$2:$A$25,0)),0)</f>
        <v>2026</v>
      </c>
      <c r="K649" s="42" t="n">
        <f aca="false">IFERROR(VALUE(RIGHT(B649,2)),0)</f>
        <v>6</v>
      </c>
      <c r="L649" s="42" t="str">
        <f aca="false">IFERROR(INDEX(Calendar!$E$2:$E$25,MATCH(B649,Calendar!$A$2:$A$25,0)),"UNMATCHED")</f>
        <v>Actual</v>
      </c>
      <c r="M649" s="42" t="n">
        <f aca="false">Sales_Transactions!F649</f>
        <v>254</v>
      </c>
      <c r="N649" s="52" t="n">
        <f aca="false">Sales_Transactions!I649</f>
        <v>52143.66</v>
      </c>
      <c r="O649" s="52" t="n">
        <f aca="false">Sales_Transactions!J649</f>
        <v>36128.96</v>
      </c>
      <c r="P649" s="52" t="n">
        <f aca="false">Sales_Transactions!K649</f>
        <v>16014.7</v>
      </c>
      <c r="Q649" s="42" t="n">
        <f aca="false">IF(ISNUMBER(MATCH(E649,Product_Master!$A$2:$A$9,0)),0,1)</f>
        <v>0</v>
      </c>
      <c r="R649" s="42" t="n">
        <f aca="false">IF(ISNUMBER(MATCH(D649,Customer_Master!$A$2:$A$49,0)),0,1)</f>
        <v>0</v>
      </c>
      <c r="S649" s="42" t="n">
        <f aca="false">IF(ISNUMBER(MATCH(B649,Calendar!$A$2:$A$25,0)),0,1)</f>
        <v>0</v>
      </c>
      <c r="T649" s="42" t="n">
        <f aca="false">IF(COUNTIF(Sales_Transactions!$A$2:$A$865,A649)&gt;1,1,0)</f>
        <v>0</v>
      </c>
      <c r="U649" s="42" t="n">
        <f aca="false">IF(OR(ABS(Sales_Transactions!F649*Sales_Transactions!G649-Sales_Transactions!I649)&gt;0.01,ABS(Sales_Transactions!F649*Sales_Transactions!H649-Sales_Transactions!J649)&gt;0.01,ABS(Sales_Transactions!I649-Sales_Transactions!J649-Sales_Transactions!K649)&gt;0.01),1,0)</f>
        <v>0</v>
      </c>
      <c r="V649" s="42" t="n">
        <f aca="false">IF(C649&lt;&gt;L649,1,0)</f>
        <v>0</v>
      </c>
      <c r="W649" s="42" t="n">
        <f aca="false">IF(SUM(Q649:V649)&gt;0,1,0)</f>
        <v>0</v>
      </c>
    </row>
    <row r="650" customFormat="false" ht="15" hidden="false" customHeight="false" outlineLevel="0" collapsed="false">
      <c r="A650" s="42" t="str">
        <f aca="false">Sales_Transactions!A650</f>
        <v>INV-19-001</v>
      </c>
      <c r="B650" s="42" t="str">
        <f aca="false">Sales_Transactions!B650</f>
        <v>2026-07</v>
      </c>
      <c r="C650" s="42" t="str">
        <f aca="false">Sales_Transactions!C650</f>
        <v>Actual</v>
      </c>
      <c r="D650" s="42" t="str">
        <f aca="false">Sales_Transactions!D650</f>
        <v>C007</v>
      </c>
      <c r="E650" s="42" t="str">
        <f aca="false">Sales_Transactions!E650</f>
        <v>P003</v>
      </c>
      <c r="F650" s="42" t="str">
        <f aca="false">IFERROR(INDEX(Customer_Master!$C$2:$C$49,MATCH(D650,Customer_Master!$A$2:$A$49,0)),"UNMATCHED")</f>
        <v>West</v>
      </c>
      <c r="G650" s="42" t="str">
        <f aca="false">IFERROR(INDEX(Customer_Master!$D$2:$D$49,MATCH(D650,Customer_Master!$A$2:$A$49,0)),"UNMATCHED")</f>
        <v>Distributor</v>
      </c>
      <c r="H650" s="42" t="str">
        <f aca="false">IFERROR(INDEX(Product_Master!$C$2:$C$9,MATCH(E650,Product_Master!$A$2:$A$9,0)),"UNMATCHED")</f>
        <v>Personal Care</v>
      </c>
      <c r="I650" s="42" t="str">
        <f aca="false">IFERROR(INDEX(Product_Master!$B$2:$B$9,MATCH(E650,Product_Master!$A$2:$A$9,0)),"UNMATCHED")</f>
        <v>Shampoo 400ml</v>
      </c>
      <c r="J650" s="42" t="n">
        <f aca="false">IFERROR(INDEX(Calendar!$B$2:$B$25,MATCH(B650,Calendar!$A$2:$A$25,0)),0)</f>
        <v>2026</v>
      </c>
      <c r="K650" s="42" t="n">
        <f aca="false">IFERROR(VALUE(RIGHT(B650,2)),0)</f>
        <v>7</v>
      </c>
      <c r="L650" s="42" t="str">
        <f aca="false">IFERROR(INDEX(Calendar!$E$2:$E$25,MATCH(B650,Calendar!$A$2:$A$25,0)),"UNMATCHED")</f>
        <v>Actual</v>
      </c>
      <c r="M650" s="42" t="n">
        <f aca="false">Sales_Transactions!F650</f>
        <v>383</v>
      </c>
      <c r="N650" s="52" t="n">
        <f aca="false">Sales_Transactions!I650</f>
        <v>99733.2</v>
      </c>
      <c r="O650" s="52" t="n">
        <f aca="false">Sales_Transactions!J650</f>
        <v>69935.8</v>
      </c>
      <c r="P650" s="52" t="n">
        <f aca="false">Sales_Transactions!K650</f>
        <v>29797.4</v>
      </c>
      <c r="Q650" s="42" t="n">
        <f aca="false">IF(ISNUMBER(MATCH(E650,Product_Master!$A$2:$A$9,0)),0,1)</f>
        <v>0</v>
      </c>
      <c r="R650" s="42" t="n">
        <f aca="false">IF(ISNUMBER(MATCH(D650,Customer_Master!$A$2:$A$49,0)),0,1)</f>
        <v>0</v>
      </c>
      <c r="S650" s="42" t="n">
        <f aca="false">IF(ISNUMBER(MATCH(B650,Calendar!$A$2:$A$25,0)),0,1)</f>
        <v>0</v>
      </c>
      <c r="T650" s="42" t="n">
        <f aca="false">IF(COUNTIF(Sales_Transactions!$A$2:$A$865,A650)&gt;1,1,0)</f>
        <v>0</v>
      </c>
      <c r="U650" s="42" t="n">
        <f aca="false">IF(OR(ABS(Sales_Transactions!F650*Sales_Transactions!G650-Sales_Transactions!I650)&gt;0.01,ABS(Sales_Transactions!F650*Sales_Transactions!H650-Sales_Transactions!J650)&gt;0.01,ABS(Sales_Transactions!I650-Sales_Transactions!J650-Sales_Transactions!K650)&gt;0.01),1,0)</f>
        <v>0</v>
      </c>
      <c r="V650" s="42" t="n">
        <f aca="false">IF(C650&lt;&gt;L650,1,0)</f>
        <v>0</v>
      </c>
      <c r="W650" s="42" t="n">
        <f aca="false">IF(SUM(Q650:V650)&gt;0,1,0)</f>
        <v>0</v>
      </c>
    </row>
    <row r="651" customFormat="false" ht="15" hidden="false" customHeight="false" outlineLevel="0" collapsed="false">
      <c r="A651" s="42" t="str">
        <f aca="false">Sales_Transactions!A651</f>
        <v>INV-19-002</v>
      </c>
      <c r="B651" s="42" t="str">
        <f aca="false">Sales_Transactions!B651</f>
        <v>2026-07</v>
      </c>
      <c r="C651" s="42" t="str">
        <f aca="false">Sales_Transactions!C651</f>
        <v>Actual</v>
      </c>
      <c r="D651" s="42" t="str">
        <f aca="false">Sales_Transactions!D651</f>
        <v>C014</v>
      </c>
      <c r="E651" s="42" t="str">
        <f aca="false">Sales_Transactions!E651</f>
        <v>P008</v>
      </c>
      <c r="F651" s="42" t="str">
        <f aca="false">IFERROR(INDEX(Customer_Master!$C$2:$C$49,MATCH(D651,Customer_Master!$A$2:$A$49,0)),"UNMATCHED")</f>
        <v>North</v>
      </c>
      <c r="G651" s="42" t="str">
        <f aca="false">IFERROR(INDEX(Customer_Master!$D$2:$D$49,MATCH(D651,Customer_Master!$A$2:$A$49,0)),"UNMATCHED")</f>
        <v>Modern Trade</v>
      </c>
      <c r="H651" s="42" t="str">
        <f aca="false">IFERROR(INDEX(Product_Master!$C$2:$C$9,MATCH(E651,Product_Master!$A$2:$A$9,0)),"UNMATCHED")</f>
        <v>Personal Care</v>
      </c>
      <c r="I651" s="42" t="str">
        <f aca="false">IFERROR(INDEX(Product_Master!$B$2:$B$9,MATCH(E651,Product_Master!$A$2:$A$9,0)),"UNMATCHED")</f>
        <v>Body Lotion</v>
      </c>
      <c r="J651" s="42" t="n">
        <f aca="false">IFERROR(INDEX(Calendar!$B$2:$B$25,MATCH(B651,Calendar!$A$2:$A$25,0)),0)</f>
        <v>2026</v>
      </c>
      <c r="K651" s="42" t="n">
        <f aca="false">IFERROR(VALUE(RIGHT(B651,2)),0)</f>
        <v>7</v>
      </c>
      <c r="L651" s="42" t="str">
        <f aca="false">IFERROR(INDEX(Calendar!$E$2:$E$25,MATCH(B651,Calendar!$A$2:$A$25,0)),"UNMATCHED")</f>
        <v>Actual</v>
      </c>
      <c r="M651" s="42" t="n">
        <f aca="false">Sales_Transactions!F651</f>
        <v>437</v>
      </c>
      <c r="N651" s="52" t="n">
        <f aca="false">Sales_Transactions!I651</f>
        <v>138022.08</v>
      </c>
      <c r="O651" s="52" t="n">
        <f aca="false">Sales_Transactions!J651</f>
        <v>91066.43</v>
      </c>
      <c r="P651" s="52" t="n">
        <f aca="false">Sales_Transactions!K651</f>
        <v>46955.65</v>
      </c>
      <c r="Q651" s="42" t="n">
        <f aca="false">IF(ISNUMBER(MATCH(E651,Product_Master!$A$2:$A$9,0)),0,1)</f>
        <v>0</v>
      </c>
      <c r="R651" s="42" t="n">
        <f aca="false">IF(ISNUMBER(MATCH(D651,Customer_Master!$A$2:$A$49,0)),0,1)</f>
        <v>0</v>
      </c>
      <c r="S651" s="42" t="n">
        <f aca="false">IF(ISNUMBER(MATCH(B651,Calendar!$A$2:$A$25,0)),0,1)</f>
        <v>0</v>
      </c>
      <c r="T651" s="42" t="n">
        <f aca="false">IF(COUNTIF(Sales_Transactions!$A$2:$A$865,A651)&gt;1,1,0)</f>
        <v>0</v>
      </c>
      <c r="U651" s="42" t="n">
        <f aca="false">IF(OR(ABS(Sales_Transactions!F651*Sales_Transactions!G651-Sales_Transactions!I651)&gt;0.01,ABS(Sales_Transactions!F651*Sales_Transactions!H651-Sales_Transactions!J651)&gt;0.01,ABS(Sales_Transactions!I651-Sales_Transactions!J651-Sales_Transactions!K651)&gt;0.01),1,0)</f>
        <v>0</v>
      </c>
      <c r="V651" s="42" t="n">
        <f aca="false">IF(C651&lt;&gt;L651,1,0)</f>
        <v>0</v>
      </c>
      <c r="W651" s="42" t="n">
        <f aca="false">IF(SUM(Q651:V651)&gt;0,1,0)</f>
        <v>0</v>
      </c>
    </row>
    <row r="652" customFormat="false" ht="15" hidden="false" customHeight="false" outlineLevel="0" collapsed="false">
      <c r="A652" s="42" t="str">
        <f aca="false">Sales_Transactions!A652</f>
        <v>INV-19-003</v>
      </c>
      <c r="B652" s="42" t="str">
        <f aca="false">Sales_Transactions!B652</f>
        <v>2026-07</v>
      </c>
      <c r="C652" s="42" t="str">
        <f aca="false">Sales_Transactions!C652</f>
        <v>Actual</v>
      </c>
      <c r="D652" s="42" t="str">
        <f aca="false">Sales_Transactions!D652</f>
        <v>C021</v>
      </c>
      <c r="E652" s="42" t="str">
        <f aca="false">Sales_Transactions!E652</f>
        <v>P005</v>
      </c>
      <c r="F652" s="42" t="str">
        <f aca="false">IFERROR(INDEX(Customer_Master!$C$2:$C$49,MATCH(D652,Customer_Master!$A$2:$A$49,0)),"UNMATCHED")</f>
        <v>South</v>
      </c>
      <c r="G652" s="42" t="str">
        <f aca="false">IFERROR(INDEX(Customer_Master!$D$2:$D$49,MATCH(D652,Customer_Master!$A$2:$A$49,0)),"UNMATCHED")</f>
        <v>Retail</v>
      </c>
      <c r="H652" s="42" t="str">
        <f aca="false">IFERROR(INDEX(Product_Master!$C$2:$C$9,MATCH(E652,Product_Master!$A$2:$A$9,0)),"UNMATCHED")</f>
        <v>Foods</v>
      </c>
      <c r="I652" s="42" t="str">
        <f aca="false">IFERROR(INDEX(Product_Master!$B$2:$B$9,MATCH(E652,Product_Master!$A$2:$A$9,0)),"UNMATCHED")</f>
        <v>Biscuits 500g</v>
      </c>
      <c r="J652" s="42" t="n">
        <f aca="false">IFERROR(INDEX(Calendar!$B$2:$B$25,MATCH(B652,Calendar!$A$2:$A$25,0)),0)</f>
        <v>2026</v>
      </c>
      <c r="K652" s="42" t="n">
        <f aca="false">IFERROR(VALUE(RIGHT(B652,2)),0)</f>
        <v>7</v>
      </c>
      <c r="L652" s="42" t="str">
        <f aca="false">IFERROR(INDEX(Calendar!$E$2:$E$25,MATCH(B652,Calendar!$A$2:$A$25,0)),"UNMATCHED")</f>
        <v>Actual</v>
      </c>
      <c r="M652" s="42" t="n">
        <f aca="false">Sales_Transactions!F652</f>
        <v>220</v>
      </c>
      <c r="N652" s="52" t="n">
        <f aca="false">Sales_Transactions!I652</f>
        <v>24580.6</v>
      </c>
      <c r="O652" s="52" t="n">
        <f aca="false">Sales_Transactions!J652</f>
        <v>15534.2</v>
      </c>
      <c r="P652" s="52" t="n">
        <f aca="false">Sales_Transactions!K652</f>
        <v>9046.4</v>
      </c>
      <c r="Q652" s="42" t="n">
        <f aca="false">IF(ISNUMBER(MATCH(E652,Product_Master!$A$2:$A$9,0)),0,1)</f>
        <v>0</v>
      </c>
      <c r="R652" s="42" t="n">
        <f aca="false">IF(ISNUMBER(MATCH(D652,Customer_Master!$A$2:$A$49,0)),0,1)</f>
        <v>0</v>
      </c>
      <c r="S652" s="42" t="n">
        <f aca="false">IF(ISNUMBER(MATCH(B652,Calendar!$A$2:$A$25,0)),0,1)</f>
        <v>0</v>
      </c>
      <c r="T652" s="42" t="n">
        <f aca="false">IF(COUNTIF(Sales_Transactions!$A$2:$A$865,A652)&gt;1,1,0)</f>
        <v>0</v>
      </c>
      <c r="U652" s="42" t="n">
        <f aca="false">IF(OR(ABS(Sales_Transactions!F652*Sales_Transactions!G652-Sales_Transactions!I652)&gt;0.01,ABS(Sales_Transactions!F652*Sales_Transactions!H652-Sales_Transactions!J652)&gt;0.01,ABS(Sales_Transactions!I652-Sales_Transactions!J652-Sales_Transactions!K652)&gt;0.01),1,0)</f>
        <v>0</v>
      </c>
      <c r="V652" s="42" t="n">
        <f aca="false">IF(C652&lt;&gt;L652,1,0)</f>
        <v>0</v>
      </c>
      <c r="W652" s="42" t="n">
        <f aca="false">IF(SUM(Q652:V652)&gt;0,1,0)</f>
        <v>0</v>
      </c>
    </row>
    <row r="653" customFormat="false" ht="15" hidden="false" customHeight="false" outlineLevel="0" collapsed="false">
      <c r="A653" s="42" t="str">
        <f aca="false">Sales_Transactions!A653</f>
        <v>INV-19-004</v>
      </c>
      <c r="B653" s="42" t="str">
        <f aca="false">Sales_Transactions!B653</f>
        <v>2026-07</v>
      </c>
      <c r="C653" s="42" t="str">
        <f aca="false">Sales_Transactions!C653</f>
        <v>Actual</v>
      </c>
      <c r="D653" s="42" t="str">
        <f aca="false">Sales_Transactions!D653</f>
        <v>C028</v>
      </c>
      <c r="E653" s="42" t="str">
        <f aca="false">Sales_Transactions!E653</f>
        <v>P002</v>
      </c>
      <c r="F653" s="42" t="str">
        <f aca="false">IFERROR(INDEX(Customer_Master!$C$2:$C$49,MATCH(D653,Customer_Master!$A$2:$A$49,0)),"UNMATCHED")</f>
        <v>East</v>
      </c>
      <c r="G653" s="42" t="str">
        <f aca="false">IFERROR(INDEX(Customer_Master!$D$2:$D$49,MATCH(D653,Customer_Master!$A$2:$A$49,0)),"UNMATCHED")</f>
        <v>Distributor</v>
      </c>
      <c r="H653" s="42" t="str">
        <f aca="false">IFERROR(INDEX(Product_Master!$C$2:$C$9,MATCH(E653,Product_Master!$A$2:$A$9,0)),"UNMATCHED")</f>
        <v>Home Care</v>
      </c>
      <c r="I653" s="42" t="str">
        <f aca="false">IFERROR(INDEX(Product_Master!$B$2:$B$9,MATCH(E653,Product_Master!$A$2:$A$9,0)),"UNMATCHED")</f>
        <v>Dishwash Gel</v>
      </c>
      <c r="J653" s="42" t="n">
        <f aca="false">IFERROR(INDEX(Calendar!$B$2:$B$25,MATCH(B653,Calendar!$A$2:$A$25,0)),0)</f>
        <v>2026</v>
      </c>
      <c r="K653" s="42" t="n">
        <f aca="false">IFERROR(VALUE(RIGHT(B653,2)),0)</f>
        <v>7</v>
      </c>
      <c r="L653" s="42" t="str">
        <f aca="false">IFERROR(INDEX(Calendar!$E$2:$E$25,MATCH(B653,Calendar!$A$2:$A$25,0)),"UNMATCHED")</f>
        <v>Actual</v>
      </c>
      <c r="M653" s="42" t="n">
        <f aca="false">Sales_Transactions!F653</f>
        <v>381</v>
      </c>
      <c r="N653" s="52" t="n">
        <f aca="false">Sales_Transactions!I653</f>
        <v>53317.14</v>
      </c>
      <c r="O653" s="52" t="n">
        <f aca="false">Sales_Transactions!J653</f>
        <v>32697.42</v>
      </c>
      <c r="P653" s="52" t="n">
        <f aca="false">Sales_Transactions!K653</f>
        <v>20619.72</v>
      </c>
      <c r="Q653" s="42" t="n">
        <f aca="false">IF(ISNUMBER(MATCH(E653,Product_Master!$A$2:$A$9,0)),0,1)</f>
        <v>0</v>
      </c>
      <c r="R653" s="42" t="n">
        <f aca="false">IF(ISNUMBER(MATCH(D653,Customer_Master!$A$2:$A$49,0)),0,1)</f>
        <v>0</v>
      </c>
      <c r="S653" s="42" t="n">
        <f aca="false">IF(ISNUMBER(MATCH(B653,Calendar!$A$2:$A$25,0)),0,1)</f>
        <v>0</v>
      </c>
      <c r="T653" s="42" t="n">
        <f aca="false">IF(COUNTIF(Sales_Transactions!$A$2:$A$865,A653)&gt;1,1,0)</f>
        <v>0</v>
      </c>
      <c r="U653" s="42" t="n">
        <f aca="false">IF(OR(ABS(Sales_Transactions!F653*Sales_Transactions!G653-Sales_Transactions!I653)&gt;0.01,ABS(Sales_Transactions!F653*Sales_Transactions!H653-Sales_Transactions!J653)&gt;0.01,ABS(Sales_Transactions!I653-Sales_Transactions!J653-Sales_Transactions!K653)&gt;0.01),1,0)</f>
        <v>0</v>
      </c>
      <c r="V653" s="42" t="n">
        <f aca="false">IF(C653&lt;&gt;L653,1,0)</f>
        <v>0</v>
      </c>
      <c r="W653" s="42" t="n">
        <f aca="false">IF(SUM(Q653:V653)&gt;0,1,0)</f>
        <v>0</v>
      </c>
    </row>
    <row r="654" customFormat="false" ht="15" hidden="false" customHeight="false" outlineLevel="0" collapsed="false">
      <c r="A654" s="42" t="str">
        <f aca="false">Sales_Transactions!A654</f>
        <v>INV-19-005</v>
      </c>
      <c r="B654" s="42" t="str">
        <f aca="false">Sales_Transactions!B654</f>
        <v>2026-07</v>
      </c>
      <c r="C654" s="42" t="str">
        <f aca="false">Sales_Transactions!C654</f>
        <v>Actual</v>
      </c>
      <c r="D654" s="42" t="str">
        <f aca="false">Sales_Transactions!D654</f>
        <v>C035</v>
      </c>
      <c r="E654" s="42" t="str">
        <f aca="false">Sales_Transactions!E654</f>
        <v>P007</v>
      </c>
      <c r="F654" s="42" t="str">
        <f aca="false">IFERROR(INDEX(Customer_Master!$C$2:$C$49,MATCH(D654,Customer_Master!$A$2:$A$49,0)),"UNMATCHED")</f>
        <v>West</v>
      </c>
      <c r="G654" s="42" t="str">
        <f aca="false">IFERROR(INDEX(Customer_Master!$D$2:$D$49,MATCH(D654,Customer_Master!$A$2:$A$49,0)),"UNMATCHED")</f>
        <v>Modern Trade</v>
      </c>
      <c r="H654" s="42" t="str">
        <f aca="false">IFERROR(INDEX(Product_Master!$C$2:$C$9,MATCH(E654,Product_Master!$A$2:$A$9,0)),"UNMATCHED")</f>
        <v>Home Care</v>
      </c>
      <c r="I654" s="42" t="str">
        <f aca="false">IFERROR(INDEX(Product_Master!$B$2:$B$9,MATCH(E654,Product_Master!$A$2:$A$9,0)),"UNMATCHED")</f>
        <v>Floor Cleaner</v>
      </c>
      <c r="J654" s="42" t="n">
        <f aca="false">IFERROR(INDEX(Calendar!$B$2:$B$25,MATCH(B654,Calendar!$A$2:$A$25,0)),0)</f>
        <v>2026</v>
      </c>
      <c r="K654" s="42" t="n">
        <f aca="false">IFERROR(VALUE(RIGHT(B654,2)),0)</f>
        <v>7</v>
      </c>
      <c r="L654" s="42" t="str">
        <f aca="false">IFERROR(INDEX(Calendar!$E$2:$E$25,MATCH(B654,Calendar!$A$2:$A$25,0)),"UNMATCHED")</f>
        <v>Actual</v>
      </c>
      <c r="M654" s="42" t="n">
        <f aca="false">Sales_Transactions!F654</f>
        <v>383</v>
      </c>
      <c r="N654" s="52" t="n">
        <f aca="false">Sales_Transactions!I654</f>
        <v>69311.51</v>
      </c>
      <c r="O654" s="52" t="n">
        <f aca="false">Sales_Transactions!J654</f>
        <v>43880.31</v>
      </c>
      <c r="P654" s="52" t="n">
        <f aca="false">Sales_Transactions!K654</f>
        <v>25431.2</v>
      </c>
      <c r="Q654" s="42" t="n">
        <f aca="false">IF(ISNUMBER(MATCH(E654,Product_Master!$A$2:$A$9,0)),0,1)</f>
        <v>0</v>
      </c>
      <c r="R654" s="42" t="n">
        <f aca="false">IF(ISNUMBER(MATCH(D654,Customer_Master!$A$2:$A$49,0)),0,1)</f>
        <v>0</v>
      </c>
      <c r="S654" s="42" t="n">
        <f aca="false">IF(ISNUMBER(MATCH(B654,Calendar!$A$2:$A$25,0)),0,1)</f>
        <v>0</v>
      </c>
      <c r="T654" s="42" t="n">
        <f aca="false">IF(COUNTIF(Sales_Transactions!$A$2:$A$865,A654)&gt;1,1,0)</f>
        <v>0</v>
      </c>
      <c r="U654" s="42" t="n">
        <f aca="false">IF(OR(ABS(Sales_Transactions!F654*Sales_Transactions!G654-Sales_Transactions!I654)&gt;0.01,ABS(Sales_Transactions!F654*Sales_Transactions!H654-Sales_Transactions!J654)&gt;0.01,ABS(Sales_Transactions!I654-Sales_Transactions!J654-Sales_Transactions!K654)&gt;0.01),1,0)</f>
        <v>0</v>
      </c>
      <c r="V654" s="42" t="n">
        <f aca="false">IF(C654&lt;&gt;L654,1,0)</f>
        <v>0</v>
      </c>
      <c r="W654" s="42" t="n">
        <f aca="false">IF(SUM(Q654:V654)&gt;0,1,0)</f>
        <v>0</v>
      </c>
    </row>
    <row r="655" customFormat="false" ht="15" hidden="false" customHeight="false" outlineLevel="0" collapsed="false">
      <c r="A655" s="42" t="str">
        <f aca="false">Sales_Transactions!A655</f>
        <v>INV-19-006</v>
      </c>
      <c r="B655" s="42" t="str">
        <f aca="false">Sales_Transactions!B655</f>
        <v>2026-07</v>
      </c>
      <c r="C655" s="42" t="str">
        <f aca="false">Sales_Transactions!C655</f>
        <v>Actual</v>
      </c>
      <c r="D655" s="42" t="str">
        <f aca="false">Sales_Transactions!D655</f>
        <v>C042</v>
      </c>
      <c r="E655" s="42" t="str">
        <f aca="false">Sales_Transactions!E655</f>
        <v>P004</v>
      </c>
      <c r="F655" s="42" t="str">
        <f aca="false">IFERROR(INDEX(Customer_Master!$C$2:$C$49,MATCH(D655,Customer_Master!$A$2:$A$49,0)),"UNMATCHED")</f>
        <v>North</v>
      </c>
      <c r="G655" s="42" t="str">
        <f aca="false">IFERROR(INDEX(Customer_Master!$D$2:$D$49,MATCH(D655,Customer_Master!$A$2:$A$49,0)),"UNMATCHED")</f>
        <v>Retail</v>
      </c>
      <c r="H655" s="42" t="str">
        <f aca="false">IFERROR(INDEX(Product_Master!$C$2:$C$9,MATCH(E655,Product_Master!$A$2:$A$9,0)),"UNMATCHED")</f>
        <v>Personal Care</v>
      </c>
      <c r="I655" s="42" t="str">
        <f aca="false">IFERROR(INDEX(Product_Master!$B$2:$B$9,MATCH(E655,Product_Master!$A$2:$A$9,0)),"UNMATCHED")</f>
        <v>Soap 4-pack</v>
      </c>
      <c r="J655" s="42" t="n">
        <f aca="false">IFERROR(INDEX(Calendar!$B$2:$B$25,MATCH(B655,Calendar!$A$2:$A$25,0)),0)</f>
        <v>2026</v>
      </c>
      <c r="K655" s="42" t="n">
        <f aca="false">IFERROR(VALUE(RIGHT(B655,2)),0)</f>
        <v>7</v>
      </c>
      <c r="L655" s="42" t="str">
        <f aca="false">IFERROR(INDEX(Calendar!$E$2:$E$25,MATCH(B655,Calendar!$A$2:$A$25,0)),"UNMATCHED")</f>
        <v>Actual</v>
      </c>
      <c r="M655" s="42" t="n">
        <f aca="false">Sales_Transactions!F655</f>
        <v>454</v>
      </c>
      <c r="N655" s="52" t="n">
        <f aca="false">Sales_Transactions!I655</f>
        <v>77111.9</v>
      </c>
      <c r="O655" s="52" t="n">
        <f aca="false">Sales_Transactions!J655</f>
        <v>46239.9</v>
      </c>
      <c r="P655" s="52" t="n">
        <f aca="false">Sales_Transactions!K655</f>
        <v>30872</v>
      </c>
      <c r="Q655" s="42" t="n">
        <f aca="false">IF(ISNUMBER(MATCH(E655,Product_Master!$A$2:$A$9,0)),0,1)</f>
        <v>0</v>
      </c>
      <c r="R655" s="42" t="n">
        <f aca="false">IF(ISNUMBER(MATCH(D655,Customer_Master!$A$2:$A$49,0)),0,1)</f>
        <v>0</v>
      </c>
      <c r="S655" s="42" t="n">
        <f aca="false">IF(ISNUMBER(MATCH(B655,Calendar!$A$2:$A$25,0)),0,1)</f>
        <v>0</v>
      </c>
      <c r="T655" s="42" t="n">
        <f aca="false">IF(COUNTIF(Sales_Transactions!$A$2:$A$865,A655)&gt;1,1,0)</f>
        <v>0</v>
      </c>
      <c r="U655" s="42" t="n">
        <f aca="false">IF(OR(ABS(Sales_Transactions!F655*Sales_Transactions!G655-Sales_Transactions!I655)&gt;0.01,ABS(Sales_Transactions!F655*Sales_Transactions!H655-Sales_Transactions!J655)&gt;0.01,ABS(Sales_Transactions!I655-Sales_Transactions!J655-Sales_Transactions!K655)&gt;0.01),1,0)</f>
        <v>0</v>
      </c>
      <c r="V655" s="42" t="n">
        <f aca="false">IF(C655&lt;&gt;L655,1,0)</f>
        <v>0</v>
      </c>
      <c r="W655" s="42" t="n">
        <f aca="false">IF(SUM(Q655:V655)&gt;0,1,0)</f>
        <v>0</v>
      </c>
    </row>
    <row r="656" customFormat="false" ht="15" hidden="false" customHeight="false" outlineLevel="0" collapsed="false">
      <c r="A656" s="42" t="str">
        <f aca="false">Sales_Transactions!A656</f>
        <v>INV-19-007</v>
      </c>
      <c r="B656" s="42" t="str">
        <f aca="false">Sales_Transactions!B656</f>
        <v>2026-07</v>
      </c>
      <c r="C656" s="42" t="str">
        <f aca="false">Sales_Transactions!C656</f>
        <v>Actual</v>
      </c>
      <c r="D656" s="42" t="str">
        <f aca="false">Sales_Transactions!D656</f>
        <v>C001</v>
      </c>
      <c r="E656" s="42" t="str">
        <f aca="false">Sales_Transactions!E656</f>
        <v>P001</v>
      </c>
      <c r="F656" s="42" t="str">
        <f aca="false">IFERROR(INDEX(Customer_Master!$C$2:$C$49,MATCH(D656,Customer_Master!$A$2:$A$49,0)),"UNMATCHED")</f>
        <v>South</v>
      </c>
      <c r="G656" s="42" t="str">
        <f aca="false">IFERROR(INDEX(Customer_Master!$D$2:$D$49,MATCH(D656,Customer_Master!$A$2:$A$49,0)),"UNMATCHED")</f>
        <v>Distributor</v>
      </c>
      <c r="H656" s="42" t="str">
        <f aca="false">IFERROR(INDEX(Product_Master!$C$2:$C$9,MATCH(E656,Product_Master!$A$2:$A$9,0)),"UNMATCHED")</f>
        <v>Home Care</v>
      </c>
      <c r="I656" s="42" t="str">
        <f aca="false">IFERROR(INDEX(Product_Master!$B$2:$B$9,MATCH(E656,Product_Master!$A$2:$A$9,0)),"UNMATCHED")</f>
        <v>Detergent 1kg</v>
      </c>
      <c r="J656" s="42" t="n">
        <f aca="false">IFERROR(INDEX(Calendar!$B$2:$B$25,MATCH(B656,Calendar!$A$2:$A$25,0)),0)</f>
        <v>2026</v>
      </c>
      <c r="K656" s="42" t="n">
        <f aca="false">IFERROR(VALUE(RIGHT(B656,2)),0)</f>
        <v>7</v>
      </c>
      <c r="L656" s="42" t="str">
        <f aca="false">IFERROR(INDEX(Calendar!$E$2:$E$25,MATCH(B656,Calendar!$A$2:$A$25,0)),"UNMATCHED")</f>
        <v>Actual</v>
      </c>
      <c r="M656" s="42" t="n">
        <f aca="false">Sales_Transactions!F656</f>
        <v>160</v>
      </c>
      <c r="N656" s="52" t="n">
        <f aca="false">Sales_Transactions!I656</f>
        <v>33492.8</v>
      </c>
      <c r="O656" s="52" t="n">
        <f aca="false">Sales_Transactions!J656</f>
        <v>20889.6</v>
      </c>
      <c r="P656" s="52" t="n">
        <f aca="false">Sales_Transactions!K656</f>
        <v>12603.2</v>
      </c>
      <c r="Q656" s="42" t="n">
        <f aca="false">IF(ISNUMBER(MATCH(E656,Product_Master!$A$2:$A$9,0)),0,1)</f>
        <v>0</v>
      </c>
      <c r="R656" s="42" t="n">
        <f aca="false">IF(ISNUMBER(MATCH(D656,Customer_Master!$A$2:$A$49,0)),0,1)</f>
        <v>0</v>
      </c>
      <c r="S656" s="42" t="n">
        <f aca="false">IF(ISNUMBER(MATCH(B656,Calendar!$A$2:$A$25,0)),0,1)</f>
        <v>0</v>
      </c>
      <c r="T656" s="42" t="n">
        <f aca="false">IF(COUNTIF(Sales_Transactions!$A$2:$A$865,A656)&gt;1,1,0)</f>
        <v>0</v>
      </c>
      <c r="U656" s="42" t="n">
        <f aca="false">IF(OR(ABS(Sales_Transactions!F656*Sales_Transactions!G656-Sales_Transactions!I656)&gt;0.01,ABS(Sales_Transactions!F656*Sales_Transactions!H656-Sales_Transactions!J656)&gt;0.01,ABS(Sales_Transactions!I656-Sales_Transactions!J656-Sales_Transactions!K656)&gt;0.01),1,0)</f>
        <v>0</v>
      </c>
      <c r="V656" s="42" t="n">
        <f aca="false">IF(C656&lt;&gt;L656,1,0)</f>
        <v>0</v>
      </c>
      <c r="W656" s="42" t="n">
        <f aca="false">IF(SUM(Q656:V656)&gt;0,1,0)</f>
        <v>0</v>
      </c>
    </row>
    <row r="657" customFormat="false" ht="15" hidden="false" customHeight="false" outlineLevel="0" collapsed="false">
      <c r="A657" s="42" t="str">
        <f aca="false">Sales_Transactions!A657</f>
        <v>INV-19-008</v>
      </c>
      <c r="B657" s="42" t="str">
        <f aca="false">Sales_Transactions!B657</f>
        <v>2026-07</v>
      </c>
      <c r="C657" s="42" t="str">
        <f aca="false">Sales_Transactions!C657</f>
        <v>Actual</v>
      </c>
      <c r="D657" s="42" t="str">
        <f aca="false">Sales_Transactions!D657</f>
        <v>C008</v>
      </c>
      <c r="E657" s="42" t="str">
        <f aca="false">Sales_Transactions!E657</f>
        <v>P006</v>
      </c>
      <c r="F657" s="42" t="str">
        <f aca="false">IFERROR(INDEX(Customer_Master!$C$2:$C$49,MATCH(D657,Customer_Master!$A$2:$A$49,0)),"UNMATCHED")</f>
        <v>East</v>
      </c>
      <c r="G657" s="42" t="str">
        <f aca="false">IFERROR(INDEX(Customer_Master!$D$2:$D$49,MATCH(D657,Customer_Master!$A$2:$A$49,0)),"UNMATCHED")</f>
        <v>Modern Trade</v>
      </c>
      <c r="H657" s="42" t="str">
        <f aca="false">IFERROR(INDEX(Product_Master!$C$2:$C$9,MATCH(E657,Product_Master!$A$2:$A$9,0)),"UNMATCHED")</f>
        <v>Foods</v>
      </c>
      <c r="I657" s="42" t="str">
        <f aca="false">IFERROR(INDEX(Product_Master!$B$2:$B$9,MATCH(E657,Product_Master!$A$2:$A$9,0)),"UNMATCHED")</f>
        <v>Breakfast Cereal</v>
      </c>
      <c r="J657" s="42" t="n">
        <f aca="false">IFERROR(INDEX(Calendar!$B$2:$B$25,MATCH(B657,Calendar!$A$2:$A$25,0)),0)</f>
        <v>2026</v>
      </c>
      <c r="K657" s="42" t="n">
        <f aca="false">IFERROR(VALUE(RIGHT(B657,2)),0)</f>
        <v>7</v>
      </c>
      <c r="L657" s="42" t="str">
        <f aca="false">IFERROR(INDEX(Calendar!$E$2:$E$25,MATCH(B657,Calendar!$A$2:$A$25,0)),"UNMATCHED")</f>
        <v>Actual</v>
      </c>
      <c r="M657" s="42" t="n">
        <f aca="false">Sales_Transactions!F657</f>
        <v>378</v>
      </c>
      <c r="N657" s="52" t="n">
        <f aca="false">Sales_Transactions!I657</f>
        <v>97667.64</v>
      </c>
      <c r="O657" s="52" t="n">
        <f aca="false">Sales_Transactions!J657</f>
        <v>57387.96</v>
      </c>
      <c r="P657" s="52" t="n">
        <f aca="false">Sales_Transactions!K657</f>
        <v>40279.68</v>
      </c>
      <c r="Q657" s="42" t="n">
        <f aca="false">IF(ISNUMBER(MATCH(E657,Product_Master!$A$2:$A$9,0)),0,1)</f>
        <v>0</v>
      </c>
      <c r="R657" s="42" t="n">
        <f aca="false">IF(ISNUMBER(MATCH(D657,Customer_Master!$A$2:$A$49,0)),0,1)</f>
        <v>0</v>
      </c>
      <c r="S657" s="42" t="n">
        <f aca="false">IF(ISNUMBER(MATCH(B657,Calendar!$A$2:$A$25,0)),0,1)</f>
        <v>0</v>
      </c>
      <c r="T657" s="42" t="n">
        <f aca="false">IF(COUNTIF(Sales_Transactions!$A$2:$A$865,A657)&gt;1,1,0)</f>
        <v>0</v>
      </c>
      <c r="U657" s="42" t="n">
        <f aca="false">IF(OR(ABS(Sales_Transactions!F657*Sales_Transactions!G657-Sales_Transactions!I657)&gt;0.01,ABS(Sales_Transactions!F657*Sales_Transactions!H657-Sales_Transactions!J657)&gt;0.01,ABS(Sales_Transactions!I657-Sales_Transactions!J657-Sales_Transactions!K657)&gt;0.01),1,0)</f>
        <v>0</v>
      </c>
      <c r="V657" s="42" t="n">
        <f aca="false">IF(C657&lt;&gt;L657,1,0)</f>
        <v>0</v>
      </c>
      <c r="W657" s="42" t="n">
        <f aca="false">IF(SUM(Q657:V657)&gt;0,1,0)</f>
        <v>0</v>
      </c>
    </row>
    <row r="658" customFormat="false" ht="15" hidden="false" customHeight="false" outlineLevel="0" collapsed="false">
      <c r="A658" s="42" t="str">
        <f aca="false">Sales_Transactions!A658</f>
        <v>INV-19-009</v>
      </c>
      <c r="B658" s="42" t="str">
        <f aca="false">Sales_Transactions!B658</f>
        <v>2026-07</v>
      </c>
      <c r="C658" s="42" t="str">
        <f aca="false">Sales_Transactions!C658</f>
        <v>Actual</v>
      </c>
      <c r="D658" s="42" t="str">
        <f aca="false">Sales_Transactions!D658</f>
        <v>C015</v>
      </c>
      <c r="E658" s="42" t="str">
        <f aca="false">Sales_Transactions!E658</f>
        <v>P003</v>
      </c>
      <c r="F658" s="42" t="str">
        <f aca="false">IFERROR(INDEX(Customer_Master!$C$2:$C$49,MATCH(D658,Customer_Master!$A$2:$A$49,0)),"UNMATCHED")</f>
        <v>West</v>
      </c>
      <c r="G658" s="42" t="str">
        <f aca="false">IFERROR(INDEX(Customer_Master!$D$2:$D$49,MATCH(D658,Customer_Master!$A$2:$A$49,0)),"UNMATCHED")</f>
        <v>Retail</v>
      </c>
      <c r="H658" s="42" t="str">
        <f aca="false">IFERROR(INDEX(Product_Master!$C$2:$C$9,MATCH(E658,Product_Master!$A$2:$A$9,0)),"UNMATCHED")</f>
        <v>Personal Care</v>
      </c>
      <c r="I658" s="42" t="str">
        <f aca="false">IFERROR(INDEX(Product_Master!$B$2:$B$9,MATCH(E658,Product_Master!$A$2:$A$9,0)),"UNMATCHED")</f>
        <v>Shampoo 400ml</v>
      </c>
      <c r="J658" s="42" t="n">
        <f aca="false">IFERROR(INDEX(Calendar!$B$2:$B$25,MATCH(B658,Calendar!$A$2:$A$25,0)),0)</f>
        <v>2026</v>
      </c>
      <c r="K658" s="42" t="n">
        <f aca="false">IFERROR(VALUE(RIGHT(B658,2)),0)</f>
        <v>7</v>
      </c>
      <c r="L658" s="42" t="str">
        <f aca="false">IFERROR(INDEX(Calendar!$E$2:$E$25,MATCH(B658,Calendar!$A$2:$A$25,0)),"UNMATCHED")</f>
        <v>Actual</v>
      </c>
      <c r="M658" s="42" t="n">
        <f aca="false">Sales_Transactions!F658</f>
        <v>94</v>
      </c>
      <c r="N658" s="52" t="n">
        <f aca="false">Sales_Transactions!I658</f>
        <v>24933.5</v>
      </c>
      <c r="O658" s="52" t="n">
        <f aca="false">Sales_Transactions!J658</f>
        <v>16238.5</v>
      </c>
      <c r="P658" s="52" t="n">
        <f aca="false">Sales_Transactions!K658</f>
        <v>8695</v>
      </c>
      <c r="Q658" s="42" t="n">
        <f aca="false">IF(ISNUMBER(MATCH(E658,Product_Master!$A$2:$A$9,0)),0,1)</f>
        <v>0</v>
      </c>
      <c r="R658" s="42" t="n">
        <f aca="false">IF(ISNUMBER(MATCH(D658,Customer_Master!$A$2:$A$49,0)),0,1)</f>
        <v>0</v>
      </c>
      <c r="S658" s="42" t="n">
        <f aca="false">IF(ISNUMBER(MATCH(B658,Calendar!$A$2:$A$25,0)),0,1)</f>
        <v>0</v>
      </c>
      <c r="T658" s="42" t="n">
        <f aca="false">IF(COUNTIF(Sales_Transactions!$A$2:$A$865,A658)&gt;1,1,0)</f>
        <v>0</v>
      </c>
      <c r="U658" s="42" t="n">
        <f aca="false">IF(OR(ABS(Sales_Transactions!F658*Sales_Transactions!G658-Sales_Transactions!I658)&gt;0.01,ABS(Sales_Transactions!F658*Sales_Transactions!H658-Sales_Transactions!J658)&gt;0.01,ABS(Sales_Transactions!I658-Sales_Transactions!J658-Sales_Transactions!K658)&gt;0.01),1,0)</f>
        <v>0</v>
      </c>
      <c r="V658" s="42" t="n">
        <f aca="false">IF(C658&lt;&gt;L658,1,0)</f>
        <v>0</v>
      </c>
      <c r="W658" s="42" t="n">
        <f aca="false">IF(SUM(Q658:V658)&gt;0,1,0)</f>
        <v>0</v>
      </c>
    </row>
    <row r="659" customFormat="false" ht="15" hidden="false" customHeight="false" outlineLevel="0" collapsed="false">
      <c r="A659" s="42" t="str">
        <f aca="false">Sales_Transactions!A659</f>
        <v>INV-19-010</v>
      </c>
      <c r="B659" s="42" t="str">
        <f aca="false">Sales_Transactions!B659</f>
        <v>2026-07</v>
      </c>
      <c r="C659" s="42" t="str">
        <f aca="false">Sales_Transactions!C659</f>
        <v>Actual</v>
      </c>
      <c r="D659" s="42" t="str">
        <f aca="false">Sales_Transactions!D659</f>
        <v>C022</v>
      </c>
      <c r="E659" s="42" t="str">
        <f aca="false">Sales_Transactions!E659</f>
        <v>P008</v>
      </c>
      <c r="F659" s="42" t="str">
        <f aca="false">IFERROR(INDEX(Customer_Master!$C$2:$C$49,MATCH(D659,Customer_Master!$A$2:$A$49,0)),"UNMATCHED")</f>
        <v>North</v>
      </c>
      <c r="G659" s="42" t="str">
        <f aca="false">IFERROR(INDEX(Customer_Master!$D$2:$D$49,MATCH(D659,Customer_Master!$A$2:$A$49,0)),"UNMATCHED")</f>
        <v>Distributor</v>
      </c>
      <c r="H659" s="42" t="str">
        <f aca="false">IFERROR(INDEX(Product_Master!$C$2:$C$9,MATCH(E659,Product_Master!$A$2:$A$9,0)),"UNMATCHED")</f>
        <v>Personal Care</v>
      </c>
      <c r="I659" s="42" t="str">
        <f aca="false">IFERROR(INDEX(Product_Master!$B$2:$B$9,MATCH(E659,Product_Master!$A$2:$A$9,0)),"UNMATCHED")</f>
        <v>Body Lotion</v>
      </c>
      <c r="J659" s="42" t="n">
        <f aca="false">IFERROR(INDEX(Calendar!$B$2:$B$25,MATCH(B659,Calendar!$A$2:$A$25,0)),0)</f>
        <v>2026</v>
      </c>
      <c r="K659" s="42" t="n">
        <f aca="false">IFERROR(VALUE(RIGHT(B659,2)),0)</f>
        <v>7</v>
      </c>
      <c r="L659" s="42" t="str">
        <f aca="false">IFERROR(INDEX(Calendar!$E$2:$E$25,MATCH(B659,Calendar!$A$2:$A$25,0)),"UNMATCHED")</f>
        <v>Actual</v>
      </c>
      <c r="M659" s="42" t="n">
        <f aca="false">Sales_Transactions!F659</f>
        <v>296</v>
      </c>
      <c r="N659" s="52" t="n">
        <f aca="false">Sales_Transactions!I659</f>
        <v>94252.32</v>
      </c>
      <c r="O659" s="52" t="n">
        <f aca="false">Sales_Transactions!J659</f>
        <v>60345.52</v>
      </c>
      <c r="P659" s="52" t="n">
        <f aca="false">Sales_Transactions!K659</f>
        <v>33906.8</v>
      </c>
      <c r="Q659" s="42" t="n">
        <f aca="false">IF(ISNUMBER(MATCH(E659,Product_Master!$A$2:$A$9,0)),0,1)</f>
        <v>0</v>
      </c>
      <c r="R659" s="42" t="n">
        <f aca="false">IF(ISNUMBER(MATCH(D659,Customer_Master!$A$2:$A$49,0)),0,1)</f>
        <v>0</v>
      </c>
      <c r="S659" s="42" t="n">
        <f aca="false">IF(ISNUMBER(MATCH(B659,Calendar!$A$2:$A$25,0)),0,1)</f>
        <v>0</v>
      </c>
      <c r="T659" s="42" t="n">
        <f aca="false">IF(COUNTIF(Sales_Transactions!$A$2:$A$865,A659)&gt;1,1,0)</f>
        <v>0</v>
      </c>
      <c r="U659" s="42" t="n">
        <f aca="false">IF(OR(ABS(Sales_Transactions!F659*Sales_Transactions!G659-Sales_Transactions!I659)&gt;0.01,ABS(Sales_Transactions!F659*Sales_Transactions!H659-Sales_Transactions!J659)&gt;0.01,ABS(Sales_Transactions!I659-Sales_Transactions!J659-Sales_Transactions!K659)&gt;0.01),1,0)</f>
        <v>0</v>
      </c>
      <c r="V659" s="42" t="n">
        <f aca="false">IF(C659&lt;&gt;L659,1,0)</f>
        <v>0</v>
      </c>
      <c r="W659" s="42" t="n">
        <f aca="false">IF(SUM(Q659:V659)&gt;0,1,0)</f>
        <v>0</v>
      </c>
    </row>
    <row r="660" customFormat="false" ht="15" hidden="false" customHeight="false" outlineLevel="0" collapsed="false">
      <c r="A660" s="42" t="str">
        <f aca="false">Sales_Transactions!A660</f>
        <v>INV-19-011</v>
      </c>
      <c r="B660" s="42" t="str">
        <f aca="false">Sales_Transactions!B660</f>
        <v>2026-07</v>
      </c>
      <c r="C660" s="42" t="str">
        <f aca="false">Sales_Transactions!C660</f>
        <v>Actual</v>
      </c>
      <c r="D660" s="42" t="str">
        <f aca="false">Sales_Transactions!D660</f>
        <v>C029</v>
      </c>
      <c r="E660" s="42" t="str">
        <f aca="false">Sales_Transactions!E660</f>
        <v>P005</v>
      </c>
      <c r="F660" s="42" t="str">
        <f aca="false">IFERROR(INDEX(Customer_Master!$C$2:$C$49,MATCH(D660,Customer_Master!$A$2:$A$49,0)),"UNMATCHED")</f>
        <v>South</v>
      </c>
      <c r="G660" s="42" t="str">
        <f aca="false">IFERROR(INDEX(Customer_Master!$D$2:$D$49,MATCH(D660,Customer_Master!$A$2:$A$49,0)),"UNMATCHED")</f>
        <v>Modern Trade</v>
      </c>
      <c r="H660" s="42" t="str">
        <f aca="false">IFERROR(INDEX(Product_Master!$C$2:$C$9,MATCH(E660,Product_Master!$A$2:$A$9,0)),"UNMATCHED")</f>
        <v>Foods</v>
      </c>
      <c r="I660" s="42" t="str">
        <f aca="false">IFERROR(INDEX(Product_Master!$B$2:$B$9,MATCH(E660,Product_Master!$A$2:$A$9,0)),"UNMATCHED")</f>
        <v>Biscuits 500g</v>
      </c>
      <c r="J660" s="42" t="n">
        <f aca="false">IFERROR(INDEX(Calendar!$B$2:$B$25,MATCH(B660,Calendar!$A$2:$A$25,0)),0)</f>
        <v>2026</v>
      </c>
      <c r="K660" s="42" t="n">
        <f aca="false">IFERROR(VALUE(RIGHT(B660,2)),0)</f>
        <v>7</v>
      </c>
      <c r="L660" s="42" t="str">
        <f aca="false">IFERROR(INDEX(Calendar!$E$2:$E$25,MATCH(B660,Calendar!$A$2:$A$25,0)),"UNMATCHED")</f>
        <v>Actual</v>
      </c>
      <c r="M660" s="42" t="n">
        <f aca="false">Sales_Transactions!F660</f>
        <v>398</v>
      </c>
      <c r="N660" s="52" t="n">
        <f aca="false">Sales_Transactions!I660</f>
        <v>44201.88</v>
      </c>
      <c r="O660" s="52" t="n">
        <f aca="false">Sales_Transactions!J660</f>
        <v>28393.32</v>
      </c>
      <c r="P660" s="52" t="n">
        <f aca="false">Sales_Transactions!K660</f>
        <v>15808.56</v>
      </c>
      <c r="Q660" s="42" t="n">
        <f aca="false">IF(ISNUMBER(MATCH(E660,Product_Master!$A$2:$A$9,0)),0,1)</f>
        <v>0</v>
      </c>
      <c r="R660" s="42" t="n">
        <f aca="false">IF(ISNUMBER(MATCH(D660,Customer_Master!$A$2:$A$49,0)),0,1)</f>
        <v>0</v>
      </c>
      <c r="S660" s="42" t="n">
        <f aca="false">IF(ISNUMBER(MATCH(B660,Calendar!$A$2:$A$25,0)),0,1)</f>
        <v>0</v>
      </c>
      <c r="T660" s="42" t="n">
        <f aca="false">IF(COUNTIF(Sales_Transactions!$A$2:$A$865,A660)&gt;1,1,0)</f>
        <v>0</v>
      </c>
      <c r="U660" s="42" t="n">
        <f aca="false">IF(OR(ABS(Sales_Transactions!F660*Sales_Transactions!G660-Sales_Transactions!I660)&gt;0.01,ABS(Sales_Transactions!F660*Sales_Transactions!H660-Sales_Transactions!J660)&gt;0.01,ABS(Sales_Transactions!I660-Sales_Transactions!J660-Sales_Transactions!K660)&gt;0.01),1,0)</f>
        <v>0</v>
      </c>
      <c r="V660" s="42" t="n">
        <f aca="false">IF(C660&lt;&gt;L660,1,0)</f>
        <v>0</v>
      </c>
      <c r="W660" s="42" t="n">
        <f aca="false">IF(SUM(Q660:V660)&gt;0,1,0)</f>
        <v>0</v>
      </c>
    </row>
    <row r="661" customFormat="false" ht="15" hidden="false" customHeight="false" outlineLevel="0" collapsed="false">
      <c r="A661" s="42" t="str">
        <f aca="false">Sales_Transactions!A661</f>
        <v>INV-19-012</v>
      </c>
      <c r="B661" s="42" t="str">
        <f aca="false">Sales_Transactions!B661</f>
        <v>2026-07</v>
      </c>
      <c r="C661" s="42" t="str">
        <f aca="false">Sales_Transactions!C661</f>
        <v>Actual</v>
      </c>
      <c r="D661" s="42" t="str">
        <f aca="false">Sales_Transactions!D661</f>
        <v>C036</v>
      </c>
      <c r="E661" s="42" t="str">
        <f aca="false">Sales_Transactions!E661</f>
        <v>P002</v>
      </c>
      <c r="F661" s="42" t="str">
        <f aca="false">IFERROR(INDEX(Customer_Master!$C$2:$C$49,MATCH(D661,Customer_Master!$A$2:$A$49,0)),"UNMATCHED")</f>
        <v>East</v>
      </c>
      <c r="G661" s="42" t="str">
        <f aca="false">IFERROR(INDEX(Customer_Master!$D$2:$D$49,MATCH(D661,Customer_Master!$A$2:$A$49,0)),"UNMATCHED")</f>
        <v>Retail</v>
      </c>
      <c r="H661" s="42" t="str">
        <f aca="false">IFERROR(INDEX(Product_Master!$C$2:$C$9,MATCH(E661,Product_Master!$A$2:$A$9,0)),"UNMATCHED")</f>
        <v>Home Care</v>
      </c>
      <c r="I661" s="42" t="str">
        <f aca="false">IFERROR(INDEX(Product_Master!$B$2:$B$9,MATCH(E661,Product_Master!$A$2:$A$9,0)),"UNMATCHED")</f>
        <v>Dishwash Gel</v>
      </c>
      <c r="J661" s="42" t="n">
        <f aca="false">IFERROR(INDEX(Calendar!$B$2:$B$25,MATCH(B661,Calendar!$A$2:$A$25,0)),0)</f>
        <v>2026</v>
      </c>
      <c r="K661" s="42" t="n">
        <f aca="false">IFERROR(VALUE(RIGHT(B661,2)),0)</f>
        <v>7</v>
      </c>
      <c r="L661" s="42" t="str">
        <f aca="false">IFERROR(INDEX(Calendar!$E$2:$E$25,MATCH(B661,Calendar!$A$2:$A$25,0)),"UNMATCHED")</f>
        <v>Actual</v>
      </c>
      <c r="M661" s="42" t="n">
        <f aca="false">Sales_Transactions!F661</f>
        <v>457</v>
      </c>
      <c r="N661" s="52" t="n">
        <f aca="false">Sales_Transactions!I661</f>
        <v>59510.54</v>
      </c>
      <c r="O661" s="52" t="n">
        <f aca="false">Sales_Transactions!J661</f>
        <v>36596.56</v>
      </c>
      <c r="P661" s="52" t="n">
        <f aca="false">Sales_Transactions!K661</f>
        <v>22913.98</v>
      </c>
      <c r="Q661" s="42" t="n">
        <f aca="false">IF(ISNUMBER(MATCH(E661,Product_Master!$A$2:$A$9,0)),0,1)</f>
        <v>0</v>
      </c>
      <c r="R661" s="42" t="n">
        <f aca="false">IF(ISNUMBER(MATCH(D661,Customer_Master!$A$2:$A$49,0)),0,1)</f>
        <v>0</v>
      </c>
      <c r="S661" s="42" t="n">
        <f aca="false">IF(ISNUMBER(MATCH(B661,Calendar!$A$2:$A$25,0)),0,1)</f>
        <v>0</v>
      </c>
      <c r="T661" s="42" t="n">
        <f aca="false">IF(COUNTIF(Sales_Transactions!$A$2:$A$865,A661)&gt;1,1,0)</f>
        <v>0</v>
      </c>
      <c r="U661" s="42" t="n">
        <f aca="false">IF(OR(ABS(Sales_Transactions!F661*Sales_Transactions!G661-Sales_Transactions!I661)&gt;0.01,ABS(Sales_Transactions!F661*Sales_Transactions!H661-Sales_Transactions!J661)&gt;0.01,ABS(Sales_Transactions!I661-Sales_Transactions!J661-Sales_Transactions!K661)&gt;0.01),1,0)</f>
        <v>0</v>
      </c>
      <c r="V661" s="42" t="n">
        <f aca="false">IF(C661&lt;&gt;L661,1,0)</f>
        <v>0</v>
      </c>
      <c r="W661" s="42" t="n">
        <f aca="false">IF(SUM(Q661:V661)&gt;0,1,0)</f>
        <v>0</v>
      </c>
    </row>
    <row r="662" customFormat="false" ht="15" hidden="false" customHeight="false" outlineLevel="0" collapsed="false">
      <c r="A662" s="42" t="str">
        <f aca="false">Sales_Transactions!A662</f>
        <v>INV-19-013</v>
      </c>
      <c r="B662" s="42" t="str">
        <f aca="false">Sales_Transactions!B662</f>
        <v>2026-07</v>
      </c>
      <c r="C662" s="42" t="str">
        <f aca="false">Sales_Transactions!C662</f>
        <v>Actual</v>
      </c>
      <c r="D662" s="42" t="str">
        <f aca="false">Sales_Transactions!D662</f>
        <v>C043</v>
      </c>
      <c r="E662" s="42" t="str">
        <f aca="false">Sales_Transactions!E662</f>
        <v>P007</v>
      </c>
      <c r="F662" s="42" t="str">
        <f aca="false">IFERROR(INDEX(Customer_Master!$C$2:$C$49,MATCH(D662,Customer_Master!$A$2:$A$49,0)),"UNMATCHED")</f>
        <v>West</v>
      </c>
      <c r="G662" s="42" t="str">
        <f aca="false">IFERROR(INDEX(Customer_Master!$D$2:$D$49,MATCH(D662,Customer_Master!$A$2:$A$49,0)),"UNMATCHED")</f>
        <v>Distributor</v>
      </c>
      <c r="H662" s="42" t="str">
        <f aca="false">IFERROR(INDEX(Product_Master!$C$2:$C$9,MATCH(E662,Product_Master!$A$2:$A$9,0)),"UNMATCHED")</f>
        <v>Home Care</v>
      </c>
      <c r="I662" s="42" t="str">
        <f aca="false">IFERROR(INDEX(Product_Master!$B$2:$B$9,MATCH(E662,Product_Master!$A$2:$A$9,0)),"UNMATCHED")</f>
        <v>Floor Cleaner</v>
      </c>
      <c r="J662" s="42" t="n">
        <f aca="false">IFERROR(INDEX(Calendar!$B$2:$B$25,MATCH(B662,Calendar!$A$2:$A$25,0)),0)</f>
        <v>2026</v>
      </c>
      <c r="K662" s="42" t="n">
        <f aca="false">IFERROR(VALUE(RIGHT(B662,2)),0)</f>
        <v>7</v>
      </c>
      <c r="L662" s="42" t="str">
        <f aca="false">IFERROR(INDEX(Calendar!$E$2:$E$25,MATCH(B662,Calendar!$A$2:$A$25,0)),"UNMATCHED")</f>
        <v>Actual</v>
      </c>
      <c r="M662" s="42" t="n">
        <f aca="false">Sales_Transactions!F662</f>
        <v>191</v>
      </c>
      <c r="N662" s="52" t="n">
        <f aca="false">Sales_Transactions!I662</f>
        <v>34943.45</v>
      </c>
      <c r="O662" s="52" t="n">
        <f aca="false">Sales_Transactions!J662</f>
        <v>23097.63</v>
      </c>
      <c r="P662" s="52" t="n">
        <f aca="false">Sales_Transactions!K662</f>
        <v>11845.82</v>
      </c>
      <c r="Q662" s="42" t="n">
        <f aca="false">IF(ISNUMBER(MATCH(E662,Product_Master!$A$2:$A$9,0)),0,1)</f>
        <v>0</v>
      </c>
      <c r="R662" s="42" t="n">
        <f aca="false">IF(ISNUMBER(MATCH(D662,Customer_Master!$A$2:$A$49,0)),0,1)</f>
        <v>0</v>
      </c>
      <c r="S662" s="42" t="n">
        <f aca="false">IF(ISNUMBER(MATCH(B662,Calendar!$A$2:$A$25,0)),0,1)</f>
        <v>0</v>
      </c>
      <c r="T662" s="42" t="n">
        <f aca="false">IF(COUNTIF(Sales_Transactions!$A$2:$A$865,A662)&gt;1,1,0)</f>
        <v>0</v>
      </c>
      <c r="U662" s="42" t="n">
        <f aca="false">IF(OR(ABS(Sales_Transactions!F662*Sales_Transactions!G662-Sales_Transactions!I662)&gt;0.01,ABS(Sales_Transactions!F662*Sales_Transactions!H662-Sales_Transactions!J662)&gt;0.01,ABS(Sales_Transactions!I662-Sales_Transactions!J662-Sales_Transactions!K662)&gt;0.01),1,0)</f>
        <v>0</v>
      </c>
      <c r="V662" s="42" t="n">
        <f aca="false">IF(C662&lt;&gt;L662,1,0)</f>
        <v>0</v>
      </c>
      <c r="W662" s="42" t="n">
        <f aca="false">IF(SUM(Q662:V662)&gt;0,1,0)</f>
        <v>0</v>
      </c>
    </row>
    <row r="663" customFormat="false" ht="15" hidden="false" customHeight="false" outlineLevel="0" collapsed="false">
      <c r="A663" s="42" t="str">
        <f aca="false">Sales_Transactions!A663</f>
        <v>INV-19-014</v>
      </c>
      <c r="B663" s="42" t="str">
        <f aca="false">Sales_Transactions!B663</f>
        <v>2026-07</v>
      </c>
      <c r="C663" s="42" t="str">
        <f aca="false">Sales_Transactions!C663</f>
        <v>Actual</v>
      </c>
      <c r="D663" s="42" t="str">
        <f aca="false">Sales_Transactions!D663</f>
        <v>C002</v>
      </c>
      <c r="E663" s="42" t="str">
        <f aca="false">Sales_Transactions!E663</f>
        <v>P004</v>
      </c>
      <c r="F663" s="42" t="str">
        <f aca="false">IFERROR(INDEX(Customer_Master!$C$2:$C$49,MATCH(D663,Customer_Master!$A$2:$A$49,0)),"UNMATCHED")</f>
        <v>North</v>
      </c>
      <c r="G663" s="42" t="str">
        <f aca="false">IFERROR(INDEX(Customer_Master!$D$2:$D$49,MATCH(D663,Customer_Master!$A$2:$A$49,0)),"UNMATCHED")</f>
        <v>Modern Trade</v>
      </c>
      <c r="H663" s="42" t="str">
        <f aca="false">IFERROR(INDEX(Product_Master!$C$2:$C$9,MATCH(E663,Product_Master!$A$2:$A$9,0)),"UNMATCHED")</f>
        <v>Personal Care</v>
      </c>
      <c r="I663" s="42" t="str">
        <f aca="false">IFERROR(INDEX(Product_Master!$B$2:$B$9,MATCH(E663,Product_Master!$A$2:$A$9,0)),"UNMATCHED")</f>
        <v>Soap 4-pack</v>
      </c>
      <c r="J663" s="42" t="n">
        <f aca="false">IFERROR(INDEX(Calendar!$B$2:$B$25,MATCH(B663,Calendar!$A$2:$A$25,0)),0)</f>
        <v>2026</v>
      </c>
      <c r="K663" s="42" t="n">
        <f aca="false">IFERROR(VALUE(RIGHT(B663,2)),0)</f>
        <v>7</v>
      </c>
      <c r="L663" s="42" t="str">
        <f aca="false">IFERROR(INDEX(Calendar!$E$2:$E$25,MATCH(B663,Calendar!$A$2:$A$25,0)),"UNMATCHED")</f>
        <v>Actual</v>
      </c>
      <c r="M663" s="42" t="n">
        <f aca="false">Sales_Transactions!F663</f>
        <v>329</v>
      </c>
      <c r="N663" s="52" t="n">
        <f aca="false">Sales_Transactions!I663</f>
        <v>55173.3</v>
      </c>
      <c r="O663" s="52" t="n">
        <f aca="false">Sales_Transactions!J663</f>
        <v>31508.33</v>
      </c>
      <c r="P663" s="52" t="n">
        <f aca="false">Sales_Transactions!K663</f>
        <v>23664.97</v>
      </c>
      <c r="Q663" s="42" t="n">
        <f aca="false">IF(ISNUMBER(MATCH(E663,Product_Master!$A$2:$A$9,0)),0,1)</f>
        <v>0</v>
      </c>
      <c r="R663" s="42" t="n">
        <f aca="false">IF(ISNUMBER(MATCH(D663,Customer_Master!$A$2:$A$49,0)),0,1)</f>
        <v>0</v>
      </c>
      <c r="S663" s="42" t="n">
        <f aca="false">IF(ISNUMBER(MATCH(B663,Calendar!$A$2:$A$25,0)),0,1)</f>
        <v>0</v>
      </c>
      <c r="T663" s="42" t="n">
        <f aca="false">IF(COUNTIF(Sales_Transactions!$A$2:$A$865,A663)&gt;1,1,0)</f>
        <v>0</v>
      </c>
      <c r="U663" s="42" t="n">
        <f aca="false">IF(OR(ABS(Sales_Transactions!F663*Sales_Transactions!G663-Sales_Transactions!I663)&gt;0.01,ABS(Sales_Transactions!F663*Sales_Transactions!H663-Sales_Transactions!J663)&gt;0.01,ABS(Sales_Transactions!I663-Sales_Transactions!J663-Sales_Transactions!K663)&gt;0.01),1,0)</f>
        <v>0</v>
      </c>
      <c r="V663" s="42" t="n">
        <f aca="false">IF(C663&lt;&gt;L663,1,0)</f>
        <v>0</v>
      </c>
      <c r="W663" s="42" t="n">
        <f aca="false">IF(SUM(Q663:V663)&gt;0,1,0)</f>
        <v>0</v>
      </c>
    </row>
    <row r="664" customFormat="false" ht="15" hidden="false" customHeight="false" outlineLevel="0" collapsed="false">
      <c r="A664" s="42" t="str">
        <f aca="false">Sales_Transactions!A664</f>
        <v>INV-19-015</v>
      </c>
      <c r="B664" s="42" t="str">
        <f aca="false">Sales_Transactions!B664</f>
        <v>2026-07</v>
      </c>
      <c r="C664" s="42" t="str">
        <f aca="false">Sales_Transactions!C664</f>
        <v>Actual</v>
      </c>
      <c r="D664" s="42" t="str">
        <f aca="false">Sales_Transactions!D664</f>
        <v>C009</v>
      </c>
      <c r="E664" s="42" t="str">
        <f aca="false">Sales_Transactions!E664</f>
        <v>P001</v>
      </c>
      <c r="F664" s="42" t="str">
        <f aca="false">IFERROR(INDEX(Customer_Master!$C$2:$C$49,MATCH(D664,Customer_Master!$A$2:$A$49,0)),"UNMATCHED")</f>
        <v>South</v>
      </c>
      <c r="G664" s="42" t="str">
        <f aca="false">IFERROR(INDEX(Customer_Master!$D$2:$D$49,MATCH(D664,Customer_Master!$A$2:$A$49,0)),"UNMATCHED")</f>
        <v>Retail</v>
      </c>
      <c r="H664" s="42" t="str">
        <f aca="false">IFERROR(INDEX(Product_Master!$C$2:$C$9,MATCH(E664,Product_Master!$A$2:$A$9,0)),"UNMATCHED")</f>
        <v>Home Care</v>
      </c>
      <c r="I664" s="42" t="str">
        <f aca="false">IFERROR(INDEX(Product_Master!$B$2:$B$9,MATCH(E664,Product_Master!$A$2:$A$9,0)),"UNMATCHED")</f>
        <v>Detergent 1kg</v>
      </c>
      <c r="J664" s="42" t="n">
        <f aca="false">IFERROR(INDEX(Calendar!$B$2:$B$25,MATCH(B664,Calendar!$A$2:$A$25,0)),0)</f>
        <v>2026</v>
      </c>
      <c r="K664" s="42" t="n">
        <f aca="false">IFERROR(VALUE(RIGHT(B664,2)),0)</f>
        <v>7</v>
      </c>
      <c r="L664" s="42" t="str">
        <f aca="false">IFERROR(INDEX(Calendar!$E$2:$E$25,MATCH(B664,Calendar!$A$2:$A$25,0)),"UNMATCHED")</f>
        <v>Actual</v>
      </c>
      <c r="M664" s="42" t="n">
        <f aca="false">Sales_Transactions!F664</f>
        <v>173</v>
      </c>
      <c r="N664" s="52" t="n">
        <f aca="false">Sales_Transactions!I664</f>
        <v>34504.85</v>
      </c>
      <c r="O664" s="52" t="n">
        <f aca="false">Sales_Transactions!J664</f>
        <v>23382.68</v>
      </c>
      <c r="P664" s="52" t="n">
        <f aca="false">Sales_Transactions!K664</f>
        <v>11122.17</v>
      </c>
      <c r="Q664" s="42" t="n">
        <f aca="false">IF(ISNUMBER(MATCH(E664,Product_Master!$A$2:$A$9,0)),0,1)</f>
        <v>0</v>
      </c>
      <c r="R664" s="42" t="n">
        <f aca="false">IF(ISNUMBER(MATCH(D664,Customer_Master!$A$2:$A$49,0)),0,1)</f>
        <v>0</v>
      </c>
      <c r="S664" s="42" t="n">
        <f aca="false">IF(ISNUMBER(MATCH(B664,Calendar!$A$2:$A$25,0)),0,1)</f>
        <v>0</v>
      </c>
      <c r="T664" s="42" t="n">
        <f aca="false">IF(COUNTIF(Sales_Transactions!$A$2:$A$865,A664)&gt;1,1,0)</f>
        <v>0</v>
      </c>
      <c r="U664" s="42" t="n">
        <f aca="false">IF(OR(ABS(Sales_Transactions!F664*Sales_Transactions!G664-Sales_Transactions!I664)&gt;0.01,ABS(Sales_Transactions!F664*Sales_Transactions!H664-Sales_Transactions!J664)&gt;0.01,ABS(Sales_Transactions!I664-Sales_Transactions!J664-Sales_Transactions!K664)&gt;0.01),1,0)</f>
        <v>0</v>
      </c>
      <c r="V664" s="42" t="n">
        <f aca="false">IF(C664&lt;&gt;L664,1,0)</f>
        <v>0</v>
      </c>
      <c r="W664" s="42" t="n">
        <f aca="false">IF(SUM(Q664:V664)&gt;0,1,0)</f>
        <v>0</v>
      </c>
    </row>
    <row r="665" customFormat="false" ht="15" hidden="false" customHeight="false" outlineLevel="0" collapsed="false">
      <c r="A665" s="42" t="str">
        <f aca="false">Sales_Transactions!A665</f>
        <v>INV-19-016</v>
      </c>
      <c r="B665" s="42" t="str">
        <f aca="false">Sales_Transactions!B665</f>
        <v>2026-07</v>
      </c>
      <c r="C665" s="42" t="str">
        <f aca="false">Sales_Transactions!C665</f>
        <v>Actual</v>
      </c>
      <c r="D665" s="42" t="str">
        <f aca="false">Sales_Transactions!D665</f>
        <v>C016</v>
      </c>
      <c r="E665" s="42" t="str">
        <f aca="false">Sales_Transactions!E665</f>
        <v>P006</v>
      </c>
      <c r="F665" s="42" t="str">
        <f aca="false">IFERROR(INDEX(Customer_Master!$C$2:$C$49,MATCH(D665,Customer_Master!$A$2:$A$49,0)),"UNMATCHED")</f>
        <v>East</v>
      </c>
      <c r="G665" s="42" t="str">
        <f aca="false">IFERROR(INDEX(Customer_Master!$D$2:$D$49,MATCH(D665,Customer_Master!$A$2:$A$49,0)),"UNMATCHED")</f>
        <v>Distributor</v>
      </c>
      <c r="H665" s="42" t="str">
        <f aca="false">IFERROR(INDEX(Product_Master!$C$2:$C$9,MATCH(E665,Product_Master!$A$2:$A$9,0)),"UNMATCHED")</f>
        <v>Foods</v>
      </c>
      <c r="I665" s="42" t="str">
        <f aca="false">IFERROR(INDEX(Product_Master!$B$2:$B$9,MATCH(E665,Product_Master!$A$2:$A$9,0)),"UNMATCHED")</f>
        <v>Breakfast Cereal</v>
      </c>
      <c r="J665" s="42" t="n">
        <f aca="false">IFERROR(INDEX(Calendar!$B$2:$B$25,MATCH(B665,Calendar!$A$2:$A$25,0)),0)</f>
        <v>2026</v>
      </c>
      <c r="K665" s="42" t="n">
        <f aca="false">IFERROR(VALUE(RIGHT(B665,2)),0)</f>
        <v>7</v>
      </c>
      <c r="L665" s="42" t="str">
        <f aca="false">IFERROR(INDEX(Calendar!$E$2:$E$25,MATCH(B665,Calendar!$A$2:$A$25,0)),"UNMATCHED")</f>
        <v>Actual</v>
      </c>
      <c r="M665" s="42" t="n">
        <f aca="false">Sales_Transactions!F665</f>
        <v>364</v>
      </c>
      <c r="N665" s="52" t="n">
        <f aca="false">Sales_Transactions!I665</f>
        <v>86883.16</v>
      </c>
      <c r="O665" s="52" t="n">
        <f aca="false">Sales_Transactions!J665</f>
        <v>59772.44</v>
      </c>
      <c r="P665" s="52" t="n">
        <f aca="false">Sales_Transactions!K665</f>
        <v>27110.72</v>
      </c>
      <c r="Q665" s="42" t="n">
        <f aca="false">IF(ISNUMBER(MATCH(E665,Product_Master!$A$2:$A$9,0)),0,1)</f>
        <v>0</v>
      </c>
      <c r="R665" s="42" t="n">
        <f aca="false">IF(ISNUMBER(MATCH(D665,Customer_Master!$A$2:$A$49,0)),0,1)</f>
        <v>0</v>
      </c>
      <c r="S665" s="42" t="n">
        <f aca="false">IF(ISNUMBER(MATCH(B665,Calendar!$A$2:$A$25,0)),0,1)</f>
        <v>0</v>
      </c>
      <c r="T665" s="42" t="n">
        <f aca="false">IF(COUNTIF(Sales_Transactions!$A$2:$A$865,A665)&gt;1,1,0)</f>
        <v>0</v>
      </c>
      <c r="U665" s="42" t="n">
        <f aca="false">IF(OR(ABS(Sales_Transactions!F665*Sales_Transactions!G665-Sales_Transactions!I665)&gt;0.01,ABS(Sales_Transactions!F665*Sales_Transactions!H665-Sales_Transactions!J665)&gt;0.01,ABS(Sales_Transactions!I665-Sales_Transactions!J665-Sales_Transactions!K665)&gt;0.01),1,0)</f>
        <v>0</v>
      </c>
      <c r="V665" s="42" t="n">
        <f aca="false">IF(C665&lt;&gt;L665,1,0)</f>
        <v>0</v>
      </c>
      <c r="W665" s="42" t="n">
        <f aca="false">IF(SUM(Q665:V665)&gt;0,1,0)</f>
        <v>0</v>
      </c>
    </row>
    <row r="666" customFormat="false" ht="15" hidden="false" customHeight="false" outlineLevel="0" collapsed="false">
      <c r="A666" s="42" t="str">
        <f aca="false">Sales_Transactions!A666</f>
        <v>INV-19-017</v>
      </c>
      <c r="B666" s="42" t="str">
        <f aca="false">Sales_Transactions!B666</f>
        <v>2026-07</v>
      </c>
      <c r="C666" s="42" t="str">
        <f aca="false">Sales_Transactions!C666</f>
        <v>Actual</v>
      </c>
      <c r="D666" s="42" t="str">
        <f aca="false">Sales_Transactions!D666</f>
        <v>C023</v>
      </c>
      <c r="E666" s="42" t="str">
        <f aca="false">Sales_Transactions!E666</f>
        <v>P003</v>
      </c>
      <c r="F666" s="42" t="str">
        <f aca="false">IFERROR(INDEX(Customer_Master!$C$2:$C$49,MATCH(D666,Customer_Master!$A$2:$A$49,0)),"UNMATCHED")</f>
        <v>West</v>
      </c>
      <c r="G666" s="42" t="str">
        <f aca="false">IFERROR(INDEX(Customer_Master!$D$2:$D$49,MATCH(D666,Customer_Master!$A$2:$A$49,0)),"UNMATCHED")</f>
        <v>Modern Trade</v>
      </c>
      <c r="H666" s="42" t="str">
        <f aca="false">IFERROR(INDEX(Product_Master!$C$2:$C$9,MATCH(E666,Product_Master!$A$2:$A$9,0)),"UNMATCHED")</f>
        <v>Personal Care</v>
      </c>
      <c r="I666" s="42" t="str">
        <f aca="false">IFERROR(INDEX(Product_Master!$B$2:$B$9,MATCH(E666,Product_Master!$A$2:$A$9,0)),"UNMATCHED")</f>
        <v>Shampoo 400ml</v>
      </c>
      <c r="J666" s="42" t="n">
        <f aca="false">IFERROR(INDEX(Calendar!$B$2:$B$25,MATCH(B666,Calendar!$A$2:$A$25,0)),0)</f>
        <v>2026</v>
      </c>
      <c r="K666" s="42" t="n">
        <f aca="false">IFERROR(VALUE(RIGHT(B666,2)),0)</f>
        <v>7</v>
      </c>
      <c r="L666" s="42" t="str">
        <f aca="false">IFERROR(INDEX(Calendar!$E$2:$E$25,MATCH(B666,Calendar!$A$2:$A$25,0)),"UNMATCHED")</f>
        <v>Actual</v>
      </c>
      <c r="M666" s="42" t="n">
        <f aca="false">Sales_Transactions!F666</f>
        <v>454</v>
      </c>
      <c r="N666" s="52" t="n">
        <f aca="false">Sales_Transactions!I666</f>
        <v>124386.92</v>
      </c>
      <c r="O666" s="52" t="n">
        <f aca="false">Sales_Transactions!J666</f>
        <v>82015.1</v>
      </c>
      <c r="P666" s="52" t="n">
        <f aca="false">Sales_Transactions!K666</f>
        <v>42371.82</v>
      </c>
      <c r="Q666" s="42" t="n">
        <f aca="false">IF(ISNUMBER(MATCH(E666,Product_Master!$A$2:$A$9,0)),0,1)</f>
        <v>0</v>
      </c>
      <c r="R666" s="42" t="n">
        <f aca="false">IF(ISNUMBER(MATCH(D666,Customer_Master!$A$2:$A$49,0)),0,1)</f>
        <v>0</v>
      </c>
      <c r="S666" s="42" t="n">
        <f aca="false">IF(ISNUMBER(MATCH(B666,Calendar!$A$2:$A$25,0)),0,1)</f>
        <v>0</v>
      </c>
      <c r="T666" s="42" t="n">
        <f aca="false">IF(COUNTIF(Sales_Transactions!$A$2:$A$865,A666)&gt;1,1,0)</f>
        <v>0</v>
      </c>
      <c r="U666" s="42" t="n">
        <f aca="false">IF(OR(ABS(Sales_Transactions!F666*Sales_Transactions!G666-Sales_Transactions!I666)&gt;0.01,ABS(Sales_Transactions!F666*Sales_Transactions!H666-Sales_Transactions!J666)&gt;0.01,ABS(Sales_Transactions!I666-Sales_Transactions!J666-Sales_Transactions!K666)&gt;0.01),1,0)</f>
        <v>0</v>
      </c>
      <c r="V666" s="42" t="n">
        <f aca="false">IF(C666&lt;&gt;L666,1,0)</f>
        <v>0</v>
      </c>
      <c r="W666" s="42" t="n">
        <f aca="false">IF(SUM(Q666:V666)&gt;0,1,0)</f>
        <v>0</v>
      </c>
    </row>
    <row r="667" customFormat="false" ht="15" hidden="false" customHeight="false" outlineLevel="0" collapsed="false">
      <c r="A667" s="42" t="str">
        <f aca="false">Sales_Transactions!A667</f>
        <v>INV-19-018</v>
      </c>
      <c r="B667" s="42" t="str">
        <f aca="false">Sales_Transactions!B667</f>
        <v>2026-07</v>
      </c>
      <c r="C667" s="42" t="str">
        <f aca="false">Sales_Transactions!C667</f>
        <v>Actual</v>
      </c>
      <c r="D667" s="42" t="str">
        <f aca="false">Sales_Transactions!D667</f>
        <v>C030</v>
      </c>
      <c r="E667" s="42" t="str">
        <f aca="false">Sales_Transactions!E667</f>
        <v>P008</v>
      </c>
      <c r="F667" s="42" t="str">
        <f aca="false">IFERROR(INDEX(Customer_Master!$C$2:$C$49,MATCH(D667,Customer_Master!$A$2:$A$49,0)),"UNMATCHED")</f>
        <v>North</v>
      </c>
      <c r="G667" s="42" t="str">
        <f aca="false">IFERROR(INDEX(Customer_Master!$D$2:$D$49,MATCH(D667,Customer_Master!$A$2:$A$49,0)),"UNMATCHED")</f>
        <v>Retail</v>
      </c>
      <c r="H667" s="42" t="str">
        <f aca="false">IFERROR(INDEX(Product_Master!$C$2:$C$9,MATCH(E667,Product_Master!$A$2:$A$9,0)),"UNMATCHED")</f>
        <v>Personal Care</v>
      </c>
      <c r="I667" s="42" t="str">
        <f aca="false">IFERROR(INDEX(Product_Master!$B$2:$B$9,MATCH(E667,Product_Master!$A$2:$A$9,0)),"UNMATCHED")</f>
        <v>Body Lotion</v>
      </c>
      <c r="J667" s="42" t="n">
        <f aca="false">IFERROR(INDEX(Calendar!$B$2:$B$25,MATCH(B667,Calendar!$A$2:$A$25,0)),0)</f>
        <v>2026</v>
      </c>
      <c r="K667" s="42" t="n">
        <f aca="false">IFERROR(VALUE(RIGHT(B667,2)),0)</f>
        <v>7</v>
      </c>
      <c r="L667" s="42" t="str">
        <f aca="false">IFERROR(INDEX(Calendar!$E$2:$E$25,MATCH(B667,Calendar!$A$2:$A$25,0)),"UNMATCHED")</f>
        <v>Actual</v>
      </c>
      <c r="M667" s="42" t="n">
        <f aca="false">Sales_Transactions!F667</f>
        <v>220</v>
      </c>
      <c r="N667" s="52" t="n">
        <f aca="false">Sales_Transactions!I667</f>
        <v>69306.6</v>
      </c>
      <c r="O667" s="52" t="n">
        <f aca="false">Sales_Transactions!J667</f>
        <v>43687.6</v>
      </c>
      <c r="P667" s="52" t="n">
        <f aca="false">Sales_Transactions!K667</f>
        <v>25619</v>
      </c>
      <c r="Q667" s="42" t="n">
        <f aca="false">IF(ISNUMBER(MATCH(E667,Product_Master!$A$2:$A$9,0)),0,1)</f>
        <v>0</v>
      </c>
      <c r="R667" s="42" t="n">
        <f aca="false">IF(ISNUMBER(MATCH(D667,Customer_Master!$A$2:$A$49,0)),0,1)</f>
        <v>0</v>
      </c>
      <c r="S667" s="42" t="n">
        <f aca="false">IF(ISNUMBER(MATCH(B667,Calendar!$A$2:$A$25,0)),0,1)</f>
        <v>0</v>
      </c>
      <c r="T667" s="42" t="n">
        <f aca="false">IF(COUNTIF(Sales_Transactions!$A$2:$A$865,A667)&gt;1,1,0)</f>
        <v>0</v>
      </c>
      <c r="U667" s="42" t="n">
        <f aca="false">IF(OR(ABS(Sales_Transactions!F667*Sales_Transactions!G667-Sales_Transactions!I667)&gt;0.01,ABS(Sales_Transactions!F667*Sales_Transactions!H667-Sales_Transactions!J667)&gt;0.01,ABS(Sales_Transactions!I667-Sales_Transactions!J667-Sales_Transactions!K667)&gt;0.01),1,0)</f>
        <v>0</v>
      </c>
      <c r="V667" s="42" t="n">
        <f aca="false">IF(C667&lt;&gt;L667,1,0)</f>
        <v>0</v>
      </c>
      <c r="W667" s="42" t="n">
        <f aca="false">IF(SUM(Q667:V667)&gt;0,1,0)</f>
        <v>0</v>
      </c>
    </row>
    <row r="668" customFormat="false" ht="15" hidden="false" customHeight="false" outlineLevel="0" collapsed="false">
      <c r="A668" s="42" t="str">
        <f aca="false">Sales_Transactions!A668</f>
        <v>INV-19-019</v>
      </c>
      <c r="B668" s="42" t="str">
        <f aca="false">Sales_Transactions!B668</f>
        <v>2026-07</v>
      </c>
      <c r="C668" s="42" t="str">
        <f aca="false">Sales_Transactions!C668</f>
        <v>Actual</v>
      </c>
      <c r="D668" s="42" t="str">
        <f aca="false">Sales_Transactions!D668</f>
        <v>C037</v>
      </c>
      <c r="E668" s="42" t="str">
        <f aca="false">Sales_Transactions!E668</f>
        <v>P005</v>
      </c>
      <c r="F668" s="42" t="str">
        <f aca="false">IFERROR(INDEX(Customer_Master!$C$2:$C$49,MATCH(D668,Customer_Master!$A$2:$A$49,0)),"UNMATCHED")</f>
        <v>South</v>
      </c>
      <c r="G668" s="42" t="str">
        <f aca="false">IFERROR(INDEX(Customer_Master!$D$2:$D$49,MATCH(D668,Customer_Master!$A$2:$A$49,0)),"UNMATCHED")</f>
        <v>Distributor</v>
      </c>
      <c r="H668" s="42" t="str">
        <f aca="false">IFERROR(INDEX(Product_Master!$C$2:$C$9,MATCH(E668,Product_Master!$A$2:$A$9,0)),"UNMATCHED")</f>
        <v>Foods</v>
      </c>
      <c r="I668" s="42" t="str">
        <f aca="false">IFERROR(INDEX(Product_Master!$B$2:$B$9,MATCH(E668,Product_Master!$A$2:$A$9,0)),"UNMATCHED")</f>
        <v>Biscuits 500g</v>
      </c>
      <c r="J668" s="42" t="n">
        <f aca="false">IFERROR(INDEX(Calendar!$B$2:$B$25,MATCH(B668,Calendar!$A$2:$A$25,0)),0)</f>
        <v>2026</v>
      </c>
      <c r="K668" s="42" t="n">
        <f aca="false">IFERROR(VALUE(RIGHT(B668,2)),0)</f>
        <v>7</v>
      </c>
      <c r="L668" s="42" t="str">
        <f aca="false">IFERROR(INDEX(Calendar!$E$2:$E$25,MATCH(B668,Calendar!$A$2:$A$25,0)),"UNMATCHED")</f>
        <v>Actual</v>
      </c>
      <c r="M668" s="42" t="n">
        <f aca="false">Sales_Transactions!F668</f>
        <v>211</v>
      </c>
      <c r="N668" s="52" t="n">
        <f aca="false">Sales_Transactions!I668</f>
        <v>21498.79</v>
      </c>
      <c r="O668" s="52" t="n">
        <f aca="false">Sales_Transactions!J668</f>
        <v>14077.92</v>
      </c>
      <c r="P668" s="52" t="n">
        <f aca="false">Sales_Transactions!K668</f>
        <v>7420.87</v>
      </c>
      <c r="Q668" s="42" t="n">
        <f aca="false">IF(ISNUMBER(MATCH(E668,Product_Master!$A$2:$A$9,0)),0,1)</f>
        <v>0</v>
      </c>
      <c r="R668" s="42" t="n">
        <f aca="false">IF(ISNUMBER(MATCH(D668,Customer_Master!$A$2:$A$49,0)),0,1)</f>
        <v>0</v>
      </c>
      <c r="S668" s="42" t="n">
        <f aca="false">IF(ISNUMBER(MATCH(B668,Calendar!$A$2:$A$25,0)),0,1)</f>
        <v>0</v>
      </c>
      <c r="T668" s="42" t="n">
        <f aca="false">IF(COUNTIF(Sales_Transactions!$A$2:$A$865,A668)&gt;1,1,0)</f>
        <v>0</v>
      </c>
      <c r="U668" s="42" t="n">
        <f aca="false">IF(OR(ABS(Sales_Transactions!F668*Sales_Transactions!G668-Sales_Transactions!I668)&gt;0.01,ABS(Sales_Transactions!F668*Sales_Transactions!H668-Sales_Transactions!J668)&gt;0.01,ABS(Sales_Transactions!I668-Sales_Transactions!J668-Sales_Transactions!K668)&gt;0.01),1,0)</f>
        <v>0</v>
      </c>
      <c r="V668" s="42" t="n">
        <f aca="false">IF(C668&lt;&gt;L668,1,0)</f>
        <v>0</v>
      </c>
      <c r="W668" s="42" t="n">
        <f aca="false">IF(SUM(Q668:V668)&gt;0,1,0)</f>
        <v>0</v>
      </c>
    </row>
    <row r="669" customFormat="false" ht="15" hidden="false" customHeight="false" outlineLevel="0" collapsed="false">
      <c r="A669" s="42" t="str">
        <f aca="false">Sales_Transactions!A669</f>
        <v>INV-19-020</v>
      </c>
      <c r="B669" s="42" t="str">
        <f aca="false">Sales_Transactions!B669</f>
        <v>2026-07</v>
      </c>
      <c r="C669" s="42" t="str">
        <f aca="false">Sales_Transactions!C669</f>
        <v>Actual</v>
      </c>
      <c r="D669" s="42" t="str">
        <f aca="false">Sales_Transactions!D669</f>
        <v>C044</v>
      </c>
      <c r="E669" s="42" t="str">
        <f aca="false">Sales_Transactions!E669</f>
        <v>P002</v>
      </c>
      <c r="F669" s="42" t="str">
        <f aca="false">IFERROR(INDEX(Customer_Master!$C$2:$C$49,MATCH(D669,Customer_Master!$A$2:$A$49,0)),"UNMATCHED")</f>
        <v>East</v>
      </c>
      <c r="G669" s="42" t="str">
        <f aca="false">IFERROR(INDEX(Customer_Master!$D$2:$D$49,MATCH(D669,Customer_Master!$A$2:$A$49,0)),"UNMATCHED")</f>
        <v>Modern Trade</v>
      </c>
      <c r="H669" s="42" t="str">
        <f aca="false">IFERROR(INDEX(Product_Master!$C$2:$C$9,MATCH(E669,Product_Master!$A$2:$A$9,0)),"UNMATCHED")</f>
        <v>Home Care</v>
      </c>
      <c r="I669" s="42" t="str">
        <f aca="false">IFERROR(INDEX(Product_Master!$B$2:$B$9,MATCH(E669,Product_Master!$A$2:$A$9,0)),"UNMATCHED")</f>
        <v>Dishwash Gel</v>
      </c>
      <c r="J669" s="42" t="n">
        <f aca="false">IFERROR(INDEX(Calendar!$B$2:$B$25,MATCH(B669,Calendar!$A$2:$A$25,0)),0)</f>
        <v>2026</v>
      </c>
      <c r="K669" s="42" t="n">
        <f aca="false">IFERROR(VALUE(RIGHT(B669,2)),0)</f>
        <v>7</v>
      </c>
      <c r="L669" s="42" t="str">
        <f aca="false">IFERROR(INDEX(Calendar!$E$2:$E$25,MATCH(B669,Calendar!$A$2:$A$25,0)),"UNMATCHED")</f>
        <v>Actual</v>
      </c>
      <c r="M669" s="42" t="n">
        <f aca="false">Sales_Transactions!F669</f>
        <v>237</v>
      </c>
      <c r="N669" s="52" t="n">
        <f aca="false">Sales_Transactions!I669</f>
        <v>34030.83</v>
      </c>
      <c r="O669" s="52" t="n">
        <f aca="false">Sales_Transactions!J669</f>
        <v>20301.42</v>
      </c>
      <c r="P669" s="52" t="n">
        <f aca="false">Sales_Transactions!K669</f>
        <v>13729.41</v>
      </c>
      <c r="Q669" s="42" t="n">
        <f aca="false">IF(ISNUMBER(MATCH(E669,Product_Master!$A$2:$A$9,0)),0,1)</f>
        <v>0</v>
      </c>
      <c r="R669" s="42" t="n">
        <f aca="false">IF(ISNUMBER(MATCH(D669,Customer_Master!$A$2:$A$49,0)),0,1)</f>
        <v>0</v>
      </c>
      <c r="S669" s="42" t="n">
        <f aca="false">IF(ISNUMBER(MATCH(B669,Calendar!$A$2:$A$25,0)),0,1)</f>
        <v>0</v>
      </c>
      <c r="T669" s="42" t="n">
        <f aca="false">IF(COUNTIF(Sales_Transactions!$A$2:$A$865,A669)&gt;1,1,0)</f>
        <v>0</v>
      </c>
      <c r="U669" s="42" t="n">
        <f aca="false">IF(OR(ABS(Sales_Transactions!F669*Sales_Transactions!G669-Sales_Transactions!I669)&gt;0.01,ABS(Sales_Transactions!F669*Sales_Transactions!H669-Sales_Transactions!J669)&gt;0.01,ABS(Sales_Transactions!I669-Sales_Transactions!J669-Sales_Transactions!K669)&gt;0.01),1,0)</f>
        <v>0</v>
      </c>
      <c r="V669" s="42" t="n">
        <f aca="false">IF(C669&lt;&gt;L669,1,0)</f>
        <v>0</v>
      </c>
      <c r="W669" s="42" t="n">
        <f aca="false">IF(SUM(Q669:V669)&gt;0,1,0)</f>
        <v>0</v>
      </c>
    </row>
    <row r="670" customFormat="false" ht="15" hidden="false" customHeight="false" outlineLevel="0" collapsed="false">
      <c r="A670" s="42" t="str">
        <f aca="false">Sales_Transactions!A670</f>
        <v>INV-19-021</v>
      </c>
      <c r="B670" s="42" t="str">
        <f aca="false">Sales_Transactions!B670</f>
        <v>2026-07</v>
      </c>
      <c r="C670" s="42" t="str">
        <f aca="false">Sales_Transactions!C670</f>
        <v>Actual</v>
      </c>
      <c r="D670" s="42" t="str">
        <f aca="false">Sales_Transactions!D670</f>
        <v>C003</v>
      </c>
      <c r="E670" s="42" t="str">
        <f aca="false">Sales_Transactions!E670</f>
        <v>P007</v>
      </c>
      <c r="F670" s="42" t="str">
        <f aca="false">IFERROR(INDEX(Customer_Master!$C$2:$C$49,MATCH(D670,Customer_Master!$A$2:$A$49,0)),"UNMATCHED")</f>
        <v>West</v>
      </c>
      <c r="G670" s="42" t="str">
        <f aca="false">IFERROR(INDEX(Customer_Master!$D$2:$D$49,MATCH(D670,Customer_Master!$A$2:$A$49,0)),"UNMATCHED")</f>
        <v>Retail</v>
      </c>
      <c r="H670" s="42" t="str">
        <f aca="false">IFERROR(INDEX(Product_Master!$C$2:$C$9,MATCH(E670,Product_Master!$A$2:$A$9,0)),"UNMATCHED")</f>
        <v>Home Care</v>
      </c>
      <c r="I670" s="42" t="str">
        <f aca="false">IFERROR(INDEX(Product_Master!$B$2:$B$9,MATCH(E670,Product_Master!$A$2:$A$9,0)),"UNMATCHED")</f>
        <v>Floor Cleaner</v>
      </c>
      <c r="J670" s="42" t="n">
        <f aca="false">IFERROR(INDEX(Calendar!$B$2:$B$25,MATCH(B670,Calendar!$A$2:$A$25,0)),0)</f>
        <v>2026</v>
      </c>
      <c r="K670" s="42" t="n">
        <f aca="false">IFERROR(VALUE(RIGHT(B670,2)),0)</f>
        <v>7</v>
      </c>
      <c r="L670" s="42" t="str">
        <f aca="false">IFERROR(INDEX(Calendar!$E$2:$E$25,MATCH(B670,Calendar!$A$2:$A$25,0)),"UNMATCHED")</f>
        <v>Actual</v>
      </c>
      <c r="M670" s="42" t="n">
        <f aca="false">Sales_Transactions!F670</f>
        <v>438</v>
      </c>
      <c r="N670" s="52" t="n">
        <f aca="false">Sales_Transactions!I670</f>
        <v>81691.38</v>
      </c>
      <c r="O670" s="52" t="n">
        <f aca="false">Sales_Transactions!J670</f>
        <v>48959.64</v>
      </c>
      <c r="P670" s="52" t="n">
        <f aca="false">Sales_Transactions!K670</f>
        <v>32731.74</v>
      </c>
      <c r="Q670" s="42" t="n">
        <f aca="false">IF(ISNUMBER(MATCH(E670,Product_Master!$A$2:$A$9,0)),0,1)</f>
        <v>0</v>
      </c>
      <c r="R670" s="42" t="n">
        <f aca="false">IF(ISNUMBER(MATCH(D670,Customer_Master!$A$2:$A$49,0)),0,1)</f>
        <v>0</v>
      </c>
      <c r="S670" s="42" t="n">
        <f aca="false">IF(ISNUMBER(MATCH(B670,Calendar!$A$2:$A$25,0)),0,1)</f>
        <v>0</v>
      </c>
      <c r="T670" s="42" t="n">
        <f aca="false">IF(COUNTIF(Sales_Transactions!$A$2:$A$865,A670)&gt;1,1,0)</f>
        <v>0</v>
      </c>
      <c r="U670" s="42" t="n">
        <f aca="false">IF(OR(ABS(Sales_Transactions!F670*Sales_Transactions!G670-Sales_Transactions!I670)&gt;0.01,ABS(Sales_Transactions!F670*Sales_Transactions!H670-Sales_Transactions!J670)&gt;0.01,ABS(Sales_Transactions!I670-Sales_Transactions!J670-Sales_Transactions!K670)&gt;0.01),1,0)</f>
        <v>0</v>
      </c>
      <c r="V670" s="42" t="n">
        <f aca="false">IF(C670&lt;&gt;L670,1,0)</f>
        <v>0</v>
      </c>
      <c r="W670" s="42" t="n">
        <f aca="false">IF(SUM(Q670:V670)&gt;0,1,0)</f>
        <v>0</v>
      </c>
    </row>
    <row r="671" customFormat="false" ht="15" hidden="false" customHeight="false" outlineLevel="0" collapsed="false">
      <c r="A671" s="42" t="str">
        <f aca="false">Sales_Transactions!A671</f>
        <v>INV-19-022</v>
      </c>
      <c r="B671" s="42" t="str">
        <f aca="false">Sales_Transactions!B671</f>
        <v>2026-07</v>
      </c>
      <c r="C671" s="42" t="str">
        <f aca="false">Sales_Transactions!C671</f>
        <v>Actual</v>
      </c>
      <c r="D671" s="42" t="str">
        <f aca="false">Sales_Transactions!D671</f>
        <v>C010</v>
      </c>
      <c r="E671" s="42" t="str">
        <f aca="false">Sales_Transactions!E671</f>
        <v>P004</v>
      </c>
      <c r="F671" s="42" t="str">
        <f aca="false">IFERROR(INDEX(Customer_Master!$C$2:$C$49,MATCH(D671,Customer_Master!$A$2:$A$49,0)),"UNMATCHED")</f>
        <v>North</v>
      </c>
      <c r="G671" s="42" t="str">
        <f aca="false">IFERROR(INDEX(Customer_Master!$D$2:$D$49,MATCH(D671,Customer_Master!$A$2:$A$49,0)),"UNMATCHED")</f>
        <v>Distributor</v>
      </c>
      <c r="H671" s="42" t="str">
        <f aca="false">IFERROR(INDEX(Product_Master!$C$2:$C$9,MATCH(E671,Product_Master!$A$2:$A$9,0)),"UNMATCHED")</f>
        <v>Personal Care</v>
      </c>
      <c r="I671" s="42" t="str">
        <f aca="false">IFERROR(INDEX(Product_Master!$B$2:$B$9,MATCH(E671,Product_Master!$A$2:$A$9,0)),"UNMATCHED")</f>
        <v>Soap 4-pack</v>
      </c>
      <c r="J671" s="42" t="n">
        <f aca="false">IFERROR(INDEX(Calendar!$B$2:$B$25,MATCH(B671,Calendar!$A$2:$A$25,0)),0)</f>
        <v>2026</v>
      </c>
      <c r="K671" s="42" t="n">
        <f aca="false">IFERROR(VALUE(RIGHT(B671,2)),0)</f>
        <v>7</v>
      </c>
      <c r="L671" s="42" t="str">
        <f aca="false">IFERROR(INDEX(Calendar!$E$2:$E$25,MATCH(B671,Calendar!$A$2:$A$25,0)),"UNMATCHED")</f>
        <v>Actual</v>
      </c>
      <c r="M671" s="42" t="n">
        <f aca="false">Sales_Transactions!F671</f>
        <v>263</v>
      </c>
      <c r="N671" s="52" t="n">
        <f aca="false">Sales_Transactions!I671</f>
        <v>44315.5</v>
      </c>
      <c r="O671" s="52" t="n">
        <f aca="false">Sales_Transactions!J671</f>
        <v>27070.59</v>
      </c>
      <c r="P671" s="52" t="n">
        <f aca="false">Sales_Transactions!K671</f>
        <v>17244.91</v>
      </c>
      <c r="Q671" s="42" t="n">
        <f aca="false">IF(ISNUMBER(MATCH(E671,Product_Master!$A$2:$A$9,0)),0,1)</f>
        <v>0</v>
      </c>
      <c r="R671" s="42" t="n">
        <f aca="false">IF(ISNUMBER(MATCH(D671,Customer_Master!$A$2:$A$49,0)),0,1)</f>
        <v>0</v>
      </c>
      <c r="S671" s="42" t="n">
        <f aca="false">IF(ISNUMBER(MATCH(B671,Calendar!$A$2:$A$25,0)),0,1)</f>
        <v>0</v>
      </c>
      <c r="T671" s="42" t="n">
        <f aca="false">IF(COUNTIF(Sales_Transactions!$A$2:$A$865,A671)&gt;1,1,0)</f>
        <v>0</v>
      </c>
      <c r="U671" s="42" t="n">
        <f aca="false">IF(OR(ABS(Sales_Transactions!F671*Sales_Transactions!G671-Sales_Transactions!I671)&gt;0.01,ABS(Sales_Transactions!F671*Sales_Transactions!H671-Sales_Transactions!J671)&gt;0.01,ABS(Sales_Transactions!I671-Sales_Transactions!J671-Sales_Transactions!K671)&gt;0.01),1,0)</f>
        <v>0</v>
      </c>
      <c r="V671" s="42" t="n">
        <f aca="false">IF(C671&lt;&gt;L671,1,0)</f>
        <v>0</v>
      </c>
      <c r="W671" s="42" t="n">
        <f aca="false">IF(SUM(Q671:V671)&gt;0,1,0)</f>
        <v>0</v>
      </c>
    </row>
    <row r="672" customFormat="false" ht="15" hidden="false" customHeight="false" outlineLevel="0" collapsed="false">
      <c r="A672" s="42" t="str">
        <f aca="false">Sales_Transactions!A672</f>
        <v>INV-19-023</v>
      </c>
      <c r="B672" s="42" t="str">
        <f aca="false">Sales_Transactions!B672</f>
        <v>2026-07</v>
      </c>
      <c r="C672" s="42" t="str">
        <f aca="false">Sales_Transactions!C672</f>
        <v>Actual</v>
      </c>
      <c r="D672" s="42" t="str">
        <f aca="false">Sales_Transactions!D672</f>
        <v>C017</v>
      </c>
      <c r="E672" s="42" t="str">
        <f aca="false">Sales_Transactions!E672</f>
        <v>P001</v>
      </c>
      <c r="F672" s="42" t="str">
        <f aca="false">IFERROR(INDEX(Customer_Master!$C$2:$C$49,MATCH(D672,Customer_Master!$A$2:$A$49,0)),"UNMATCHED")</f>
        <v>South</v>
      </c>
      <c r="G672" s="42" t="str">
        <f aca="false">IFERROR(INDEX(Customer_Master!$D$2:$D$49,MATCH(D672,Customer_Master!$A$2:$A$49,0)),"UNMATCHED")</f>
        <v>Modern Trade</v>
      </c>
      <c r="H672" s="42" t="str">
        <f aca="false">IFERROR(INDEX(Product_Master!$C$2:$C$9,MATCH(E672,Product_Master!$A$2:$A$9,0)),"UNMATCHED")</f>
        <v>Home Care</v>
      </c>
      <c r="I672" s="42" t="str">
        <f aca="false">IFERROR(INDEX(Product_Master!$B$2:$B$9,MATCH(E672,Product_Master!$A$2:$A$9,0)),"UNMATCHED")</f>
        <v>Detergent 1kg</v>
      </c>
      <c r="J672" s="42" t="n">
        <f aca="false">IFERROR(INDEX(Calendar!$B$2:$B$25,MATCH(B672,Calendar!$A$2:$A$25,0)),0)</f>
        <v>2026</v>
      </c>
      <c r="K672" s="42" t="n">
        <f aca="false">IFERROR(VALUE(RIGHT(B672,2)),0)</f>
        <v>7</v>
      </c>
      <c r="L672" s="42" t="str">
        <f aca="false">IFERROR(INDEX(Calendar!$E$2:$E$25,MATCH(B672,Calendar!$A$2:$A$25,0)),"UNMATCHED")</f>
        <v>Actual</v>
      </c>
      <c r="M672" s="42" t="n">
        <f aca="false">Sales_Transactions!F672</f>
        <v>454</v>
      </c>
      <c r="N672" s="52" t="n">
        <f aca="false">Sales_Transactions!I672</f>
        <v>88243.98</v>
      </c>
      <c r="O672" s="52" t="n">
        <f aca="false">Sales_Transactions!J672</f>
        <v>58407.1</v>
      </c>
      <c r="P672" s="52" t="n">
        <f aca="false">Sales_Transactions!K672</f>
        <v>29836.88</v>
      </c>
      <c r="Q672" s="42" t="n">
        <f aca="false">IF(ISNUMBER(MATCH(E672,Product_Master!$A$2:$A$9,0)),0,1)</f>
        <v>0</v>
      </c>
      <c r="R672" s="42" t="n">
        <f aca="false">IF(ISNUMBER(MATCH(D672,Customer_Master!$A$2:$A$49,0)),0,1)</f>
        <v>0</v>
      </c>
      <c r="S672" s="42" t="n">
        <f aca="false">IF(ISNUMBER(MATCH(B672,Calendar!$A$2:$A$25,0)),0,1)</f>
        <v>0</v>
      </c>
      <c r="T672" s="42" t="n">
        <f aca="false">IF(COUNTIF(Sales_Transactions!$A$2:$A$865,A672)&gt;1,1,0)</f>
        <v>0</v>
      </c>
      <c r="U672" s="42" t="n">
        <f aca="false">IF(OR(ABS(Sales_Transactions!F672*Sales_Transactions!G672-Sales_Transactions!I672)&gt;0.01,ABS(Sales_Transactions!F672*Sales_Transactions!H672-Sales_Transactions!J672)&gt;0.01,ABS(Sales_Transactions!I672-Sales_Transactions!J672-Sales_Transactions!K672)&gt;0.01),1,0)</f>
        <v>0</v>
      </c>
      <c r="V672" s="42" t="n">
        <f aca="false">IF(C672&lt;&gt;L672,1,0)</f>
        <v>0</v>
      </c>
      <c r="W672" s="42" t="n">
        <f aca="false">IF(SUM(Q672:V672)&gt;0,1,0)</f>
        <v>0</v>
      </c>
    </row>
    <row r="673" customFormat="false" ht="15" hidden="false" customHeight="false" outlineLevel="0" collapsed="false">
      <c r="A673" s="42" t="str">
        <f aca="false">Sales_Transactions!A673</f>
        <v>INV-19-024</v>
      </c>
      <c r="B673" s="42" t="str">
        <f aca="false">Sales_Transactions!B673</f>
        <v>2026-07</v>
      </c>
      <c r="C673" s="42" t="str">
        <f aca="false">Sales_Transactions!C673</f>
        <v>Actual</v>
      </c>
      <c r="D673" s="42" t="str">
        <f aca="false">Sales_Transactions!D673</f>
        <v>C024</v>
      </c>
      <c r="E673" s="42" t="str">
        <f aca="false">Sales_Transactions!E673</f>
        <v>P006</v>
      </c>
      <c r="F673" s="42" t="str">
        <f aca="false">IFERROR(INDEX(Customer_Master!$C$2:$C$49,MATCH(D673,Customer_Master!$A$2:$A$49,0)),"UNMATCHED")</f>
        <v>East</v>
      </c>
      <c r="G673" s="42" t="str">
        <f aca="false">IFERROR(INDEX(Customer_Master!$D$2:$D$49,MATCH(D673,Customer_Master!$A$2:$A$49,0)),"UNMATCHED")</f>
        <v>Retail</v>
      </c>
      <c r="H673" s="42" t="str">
        <f aca="false">IFERROR(INDEX(Product_Master!$C$2:$C$9,MATCH(E673,Product_Master!$A$2:$A$9,0)),"UNMATCHED")</f>
        <v>Foods</v>
      </c>
      <c r="I673" s="42" t="str">
        <f aca="false">IFERROR(INDEX(Product_Master!$B$2:$B$9,MATCH(E673,Product_Master!$A$2:$A$9,0)),"UNMATCHED")</f>
        <v>Breakfast Cereal</v>
      </c>
      <c r="J673" s="42" t="n">
        <f aca="false">IFERROR(INDEX(Calendar!$B$2:$B$25,MATCH(B673,Calendar!$A$2:$A$25,0)),0)</f>
        <v>2026</v>
      </c>
      <c r="K673" s="42" t="n">
        <f aca="false">IFERROR(VALUE(RIGHT(B673,2)),0)</f>
        <v>7</v>
      </c>
      <c r="L673" s="42" t="str">
        <f aca="false">IFERROR(INDEX(Calendar!$E$2:$E$25,MATCH(B673,Calendar!$A$2:$A$25,0)),"UNMATCHED")</f>
        <v>Actual</v>
      </c>
      <c r="M673" s="42" t="n">
        <f aca="false">Sales_Transactions!F673</f>
        <v>431</v>
      </c>
      <c r="N673" s="52" t="n">
        <f aca="false">Sales_Transactions!I673</f>
        <v>105577.76</v>
      </c>
      <c r="O673" s="52" t="n">
        <f aca="false">Sales_Transactions!J673</f>
        <v>71774.43</v>
      </c>
      <c r="P673" s="52" t="n">
        <f aca="false">Sales_Transactions!K673</f>
        <v>33803.33</v>
      </c>
      <c r="Q673" s="42" t="n">
        <f aca="false">IF(ISNUMBER(MATCH(E673,Product_Master!$A$2:$A$9,0)),0,1)</f>
        <v>0</v>
      </c>
      <c r="R673" s="42" t="n">
        <f aca="false">IF(ISNUMBER(MATCH(D673,Customer_Master!$A$2:$A$49,0)),0,1)</f>
        <v>0</v>
      </c>
      <c r="S673" s="42" t="n">
        <f aca="false">IF(ISNUMBER(MATCH(B673,Calendar!$A$2:$A$25,0)),0,1)</f>
        <v>0</v>
      </c>
      <c r="T673" s="42" t="n">
        <f aca="false">IF(COUNTIF(Sales_Transactions!$A$2:$A$865,A673)&gt;1,1,0)</f>
        <v>0</v>
      </c>
      <c r="U673" s="42" t="n">
        <f aca="false">IF(OR(ABS(Sales_Transactions!F673*Sales_Transactions!G673-Sales_Transactions!I673)&gt;0.01,ABS(Sales_Transactions!F673*Sales_Transactions!H673-Sales_Transactions!J673)&gt;0.01,ABS(Sales_Transactions!I673-Sales_Transactions!J673-Sales_Transactions!K673)&gt;0.01),1,0)</f>
        <v>0</v>
      </c>
      <c r="V673" s="42" t="n">
        <f aca="false">IF(C673&lt;&gt;L673,1,0)</f>
        <v>0</v>
      </c>
      <c r="W673" s="42" t="n">
        <f aca="false">IF(SUM(Q673:V673)&gt;0,1,0)</f>
        <v>0</v>
      </c>
    </row>
    <row r="674" customFormat="false" ht="15" hidden="false" customHeight="false" outlineLevel="0" collapsed="false">
      <c r="A674" s="42" t="str">
        <f aca="false">Sales_Transactions!A674</f>
        <v>INV-19-025</v>
      </c>
      <c r="B674" s="42" t="str">
        <f aca="false">Sales_Transactions!B674</f>
        <v>2026-07</v>
      </c>
      <c r="C674" s="42" t="str">
        <f aca="false">Sales_Transactions!C674</f>
        <v>Actual</v>
      </c>
      <c r="D674" s="42" t="str">
        <f aca="false">Sales_Transactions!D674</f>
        <v>C031</v>
      </c>
      <c r="E674" s="42" t="str">
        <f aca="false">Sales_Transactions!E674</f>
        <v>P003</v>
      </c>
      <c r="F674" s="42" t="str">
        <f aca="false">IFERROR(INDEX(Customer_Master!$C$2:$C$49,MATCH(D674,Customer_Master!$A$2:$A$49,0)),"UNMATCHED")</f>
        <v>West</v>
      </c>
      <c r="G674" s="42" t="str">
        <f aca="false">IFERROR(INDEX(Customer_Master!$D$2:$D$49,MATCH(D674,Customer_Master!$A$2:$A$49,0)),"UNMATCHED")</f>
        <v>Distributor</v>
      </c>
      <c r="H674" s="42" t="str">
        <f aca="false">IFERROR(INDEX(Product_Master!$C$2:$C$9,MATCH(E674,Product_Master!$A$2:$A$9,0)),"UNMATCHED")</f>
        <v>Personal Care</v>
      </c>
      <c r="I674" s="42" t="str">
        <f aca="false">IFERROR(INDEX(Product_Master!$B$2:$B$9,MATCH(E674,Product_Master!$A$2:$A$9,0)),"UNMATCHED")</f>
        <v>Shampoo 400ml</v>
      </c>
      <c r="J674" s="42" t="n">
        <f aca="false">IFERROR(INDEX(Calendar!$B$2:$B$25,MATCH(B674,Calendar!$A$2:$A$25,0)),0)</f>
        <v>2026</v>
      </c>
      <c r="K674" s="42" t="n">
        <f aca="false">IFERROR(VALUE(RIGHT(B674,2)),0)</f>
        <v>7</v>
      </c>
      <c r="L674" s="42" t="str">
        <f aca="false">IFERROR(INDEX(Calendar!$E$2:$E$25,MATCH(B674,Calendar!$A$2:$A$25,0)),"UNMATCHED")</f>
        <v>Actual</v>
      </c>
      <c r="M674" s="42" t="n">
        <f aca="false">Sales_Transactions!F674</f>
        <v>287</v>
      </c>
      <c r="N674" s="52" t="n">
        <f aca="false">Sales_Transactions!I674</f>
        <v>80070.13</v>
      </c>
      <c r="O674" s="52" t="n">
        <f aca="false">Sales_Transactions!J674</f>
        <v>52736.25</v>
      </c>
      <c r="P674" s="52" t="n">
        <f aca="false">Sales_Transactions!K674</f>
        <v>27333.88</v>
      </c>
      <c r="Q674" s="42" t="n">
        <f aca="false">IF(ISNUMBER(MATCH(E674,Product_Master!$A$2:$A$9,0)),0,1)</f>
        <v>0</v>
      </c>
      <c r="R674" s="42" t="n">
        <f aca="false">IF(ISNUMBER(MATCH(D674,Customer_Master!$A$2:$A$49,0)),0,1)</f>
        <v>0</v>
      </c>
      <c r="S674" s="42" t="n">
        <f aca="false">IF(ISNUMBER(MATCH(B674,Calendar!$A$2:$A$25,0)),0,1)</f>
        <v>0</v>
      </c>
      <c r="T674" s="42" t="n">
        <f aca="false">IF(COUNTIF(Sales_Transactions!$A$2:$A$865,A674)&gt;1,1,0)</f>
        <v>0</v>
      </c>
      <c r="U674" s="42" t="n">
        <f aca="false">IF(OR(ABS(Sales_Transactions!F674*Sales_Transactions!G674-Sales_Transactions!I674)&gt;0.01,ABS(Sales_Transactions!F674*Sales_Transactions!H674-Sales_Transactions!J674)&gt;0.01,ABS(Sales_Transactions!I674-Sales_Transactions!J674-Sales_Transactions!K674)&gt;0.01),1,0)</f>
        <v>0</v>
      </c>
      <c r="V674" s="42" t="n">
        <f aca="false">IF(C674&lt;&gt;L674,1,0)</f>
        <v>0</v>
      </c>
      <c r="W674" s="42" t="n">
        <f aca="false">IF(SUM(Q674:V674)&gt;0,1,0)</f>
        <v>0</v>
      </c>
    </row>
    <row r="675" customFormat="false" ht="15" hidden="false" customHeight="false" outlineLevel="0" collapsed="false">
      <c r="A675" s="42" t="str">
        <f aca="false">Sales_Transactions!A675</f>
        <v>INV-19-026</v>
      </c>
      <c r="B675" s="42" t="str">
        <f aca="false">Sales_Transactions!B675</f>
        <v>2026-07</v>
      </c>
      <c r="C675" s="42" t="str">
        <f aca="false">Sales_Transactions!C675</f>
        <v>Actual</v>
      </c>
      <c r="D675" s="42" t="str">
        <f aca="false">Sales_Transactions!D675</f>
        <v>C038</v>
      </c>
      <c r="E675" s="42" t="str">
        <f aca="false">Sales_Transactions!E675</f>
        <v>P008</v>
      </c>
      <c r="F675" s="42" t="str">
        <f aca="false">IFERROR(INDEX(Customer_Master!$C$2:$C$49,MATCH(D675,Customer_Master!$A$2:$A$49,0)),"UNMATCHED")</f>
        <v>North</v>
      </c>
      <c r="G675" s="42" t="str">
        <f aca="false">IFERROR(INDEX(Customer_Master!$D$2:$D$49,MATCH(D675,Customer_Master!$A$2:$A$49,0)),"UNMATCHED")</f>
        <v>Modern Trade</v>
      </c>
      <c r="H675" s="42" t="str">
        <f aca="false">IFERROR(INDEX(Product_Master!$C$2:$C$9,MATCH(E675,Product_Master!$A$2:$A$9,0)),"UNMATCHED")</f>
        <v>Personal Care</v>
      </c>
      <c r="I675" s="42" t="str">
        <f aca="false">IFERROR(INDEX(Product_Master!$B$2:$B$9,MATCH(E675,Product_Master!$A$2:$A$9,0)),"UNMATCHED")</f>
        <v>Body Lotion</v>
      </c>
      <c r="J675" s="42" t="n">
        <f aca="false">IFERROR(INDEX(Calendar!$B$2:$B$25,MATCH(B675,Calendar!$A$2:$A$25,0)),0)</f>
        <v>2026</v>
      </c>
      <c r="K675" s="42" t="n">
        <f aca="false">IFERROR(VALUE(RIGHT(B675,2)),0)</f>
        <v>7</v>
      </c>
      <c r="L675" s="42" t="str">
        <f aca="false">IFERROR(INDEX(Calendar!$E$2:$E$25,MATCH(B675,Calendar!$A$2:$A$25,0)),"UNMATCHED")</f>
        <v>Actual</v>
      </c>
      <c r="M675" s="42" t="n">
        <f aca="false">Sales_Transactions!F675</f>
        <v>159</v>
      </c>
      <c r="N675" s="52" t="n">
        <f aca="false">Sales_Transactions!I675</f>
        <v>47941.68</v>
      </c>
      <c r="O675" s="52" t="n">
        <f aca="false">Sales_Transactions!J675</f>
        <v>31941.51</v>
      </c>
      <c r="P675" s="52" t="n">
        <f aca="false">Sales_Transactions!K675</f>
        <v>16000.17</v>
      </c>
      <c r="Q675" s="42" t="n">
        <f aca="false">IF(ISNUMBER(MATCH(E675,Product_Master!$A$2:$A$9,0)),0,1)</f>
        <v>0</v>
      </c>
      <c r="R675" s="42" t="n">
        <f aca="false">IF(ISNUMBER(MATCH(D675,Customer_Master!$A$2:$A$49,0)),0,1)</f>
        <v>0</v>
      </c>
      <c r="S675" s="42" t="n">
        <f aca="false">IF(ISNUMBER(MATCH(B675,Calendar!$A$2:$A$25,0)),0,1)</f>
        <v>0</v>
      </c>
      <c r="T675" s="42" t="n">
        <f aca="false">IF(COUNTIF(Sales_Transactions!$A$2:$A$865,A675)&gt;1,1,0)</f>
        <v>0</v>
      </c>
      <c r="U675" s="42" t="n">
        <f aca="false">IF(OR(ABS(Sales_Transactions!F675*Sales_Transactions!G675-Sales_Transactions!I675)&gt;0.01,ABS(Sales_Transactions!F675*Sales_Transactions!H675-Sales_Transactions!J675)&gt;0.01,ABS(Sales_Transactions!I675-Sales_Transactions!J675-Sales_Transactions!K675)&gt;0.01),1,0)</f>
        <v>0</v>
      </c>
      <c r="V675" s="42" t="n">
        <f aca="false">IF(C675&lt;&gt;L675,1,0)</f>
        <v>0</v>
      </c>
      <c r="W675" s="42" t="n">
        <f aca="false">IF(SUM(Q675:V675)&gt;0,1,0)</f>
        <v>0</v>
      </c>
    </row>
    <row r="676" customFormat="false" ht="15" hidden="false" customHeight="false" outlineLevel="0" collapsed="false">
      <c r="A676" s="42" t="str">
        <f aca="false">Sales_Transactions!A676</f>
        <v>INV-19-027</v>
      </c>
      <c r="B676" s="42" t="str">
        <f aca="false">Sales_Transactions!B676</f>
        <v>2026-07</v>
      </c>
      <c r="C676" s="42" t="str">
        <f aca="false">Sales_Transactions!C676</f>
        <v>Actual</v>
      </c>
      <c r="D676" s="42" t="str">
        <f aca="false">Sales_Transactions!D676</f>
        <v>C045</v>
      </c>
      <c r="E676" s="42" t="str">
        <f aca="false">Sales_Transactions!E676</f>
        <v>P005</v>
      </c>
      <c r="F676" s="42" t="str">
        <f aca="false">IFERROR(INDEX(Customer_Master!$C$2:$C$49,MATCH(D676,Customer_Master!$A$2:$A$49,0)),"UNMATCHED")</f>
        <v>South</v>
      </c>
      <c r="G676" s="42" t="str">
        <f aca="false">IFERROR(INDEX(Customer_Master!$D$2:$D$49,MATCH(D676,Customer_Master!$A$2:$A$49,0)),"UNMATCHED")</f>
        <v>Retail</v>
      </c>
      <c r="H676" s="42" t="str">
        <f aca="false">IFERROR(INDEX(Product_Master!$C$2:$C$9,MATCH(E676,Product_Master!$A$2:$A$9,0)),"UNMATCHED")</f>
        <v>Foods</v>
      </c>
      <c r="I676" s="42" t="str">
        <f aca="false">IFERROR(INDEX(Product_Master!$B$2:$B$9,MATCH(E676,Product_Master!$A$2:$A$9,0)),"UNMATCHED")</f>
        <v>Biscuits 500g</v>
      </c>
      <c r="J676" s="42" t="n">
        <f aca="false">IFERROR(INDEX(Calendar!$B$2:$B$25,MATCH(B676,Calendar!$A$2:$A$25,0)),0)</f>
        <v>2026</v>
      </c>
      <c r="K676" s="42" t="n">
        <f aca="false">IFERROR(VALUE(RIGHT(B676,2)),0)</f>
        <v>7</v>
      </c>
      <c r="L676" s="42" t="str">
        <f aca="false">IFERROR(INDEX(Calendar!$E$2:$E$25,MATCH(B676,Calendar!$A$2:$A$25,0)),"UNMATCHED")</f>
        <v>Actual</v>
      </c>
      <c r="M676" s="42" t="n">
        <f aca="false">Sales_Transactions!F676</f>
        <v>450</v>
      </c>
      <c r="N676" s="52" t="n">
        <f aca="false">Sales_Transactions!I676</f>
        <v>44563.5</v>
      </c>
      <c r="O676" s="52" t="n">
        <f aca="false">Sales_Transactions!J676</f>
        <v>32287.5</v>
      </c>
      <c r="P676" s="52" t="n">
        <f aca="false">Sales_Transactions!K676</f>
        <v>12276</v>
      </c>
      <c r="Q676" s="42" t="n">
        <f aca="false">IF(ISNUMBER(MATCH(E676,Product_Master!$A$2:$A$9,0)),0,1)</f>
        <v>0</v>
      </c>
      <c r="R676" s="42" t="n">
        <f aca="false">IF(ISNUMBER(MATCH(D676,Customer_Master!$A$2:$A$49,0)),0,1)</f>
        <v>0</v>
      </c>
      <c r="S676" s="42" t="n">
        <f aca="false">IF(ISNUMBER(MATCH(B676,Calendar!$A$2:$A$25,0)),0,1)</f>
        <v>0</v>
      </c>
      <c r="T676" s="42" t="n">
        <f aca="false">IF(COUNTIF(Sales_Transactions!$A$2:$A$865,A676)&gt;1,1,0)</f>
        <v>0</v>
      </c>
      <c r="U676" s="42" t="n">
        <f aca="false">IF(OR(ABS(Sales_Transactions!F676*Sales_Transactions!G676-Sales_Transactions!I676)&gt;0.01,ABS(Sales_Transactions!F676*Sales_Transactions!H676-Sales_Transactions!J676)&gt;0.01,ABS(Sales_Transactions!I676-Sales_Transactions!J676-Sales_Transactions!K676)&gt;0.01),1,0)</f>
        <v>0</v>
      </c>
      <c r="V676" s="42" t="n">
        <f aca="false">IF(C676&lt;&gt;L676,1,0)</f>
        <v>0</v>
      </c>
      <c r="W676" s="42" t="n">
        <f aca="false">IF(SUM(Q676:V676)&gt;0,1,0)</f>
        <v>0</v>
      </c>
    </row>
    <row r="677" customFormat="false" ht="15" hidden="false" customHeight="false" outlineLevel="0" collapsed="false">
      <c r="A677" s="42" t="str">
        <f aca="false">Sales_Transactions!A677</f>
        <v>INV-19-028</v>
      </c>
      <c r="B677" s="42" t="str">
        <f aca="false">Sales_Transactions!B677</f>
        <v>2026-07</v>
      </c>
      <c r="C677" s="42" t="str">
        <f aca="false">Sales_Transactions!C677</f>
        <v>Actual</v>
      </c>
      <c r="D677" s="42" t="str">
        <f aca="false">Sales_Transactions!D677</f>
        <v>C004</v>
      </c>
      <c r="E677" s="42" t="str">
        <f aca="false">Sales_Transactions!E677</f>
        <v>P002</v>
      </c>
      <c r="F677" s="42" t="str">
        <f aca="false">IFERROR(INDEX(Customer_Master!$C$2:$C$49,MATCH(D677,Customer_Master!$A$2:$A$49,0)),"UNMATCHED")</f>
        <v>East</v>
      </c>
      <c r="G677" s="42" t="str">
        <f aca="false">IFERROR(INDEX(Customer_Master!$D$2:$D$49,MATCH(D677,Customer_Master!$A$2:$A$49,0)),"UNMATCHED")</f>
        <v>Distributor</v>
      </c>
      <c r="H677" s="42" t="str">
        <f aca="false">IFERROR(INDEX(Product_Master!$C$2:$C$9,MATCH(E677,Product_Master!$A$2:$A$9,0)),"UNMATCHED")</f>
        <v>Home Care</v>
      </c>
      <c r="I677" s="42" t="str">
        <f aca="false">IFERROR(INDEX(Product_Master!$B$2:$B$9,MATCH(E677,Product_Master!$A$2:$A$9,0)),"UNMATCHED")</f>
        <v>Dishwash Gel</v>
      </c>
      <c r="J677" s="42" t="n">
        <f aca="false">IFERROR(INDEX(Calendar!$B$2:$B$25,MATCH(B677,Calendar!$A$2:$A$25,0)),0)</f>
        <v>2026</v>
      </c>
      <c r="K677" s="42" t="n">
        <f aca="false">IFERROR(VALUE(RIGHT(B677,2)),0)</f>
        <v>7</v>
      </c>
      <c r="L677" s="42" t="str">
        <f aca="false">IFERROR(INDEX(Calendar!$E$2:$E$25,MATCH(B677,Calendar!$A$2:$A$25,0)),"UNMATCHED")</f>
        <v>Actual</v>
      </c>
      <c r="M677" s="42" t="n">
        <f aca="false">Sales_Transactions!F677</f>
        <v>420</v>
      </c>
      <c r="N677" s="52" t="n">
        <f aca="false">Sales_Transactions!I677</f>
        <v>56229.6</v>
      </c>
      <c r="O677" s="52" t="n">
        <f aca="false">Sales_Transactions!J677</f>
        <v>35040.6</v>
      </c>
      <c r="P677" s="52" t="n">
        <f aca="false">Sales_Transactions!K677</f>
        <v>21189</v>
      </c>
      <c r="Q677" s="42" t="n">
        <f aca="false">IF(ISNUMBER(MATCH(E677,Product_Master!$A$2:$A$9,0)),0,1)</f>
        <v>0</v>
      </c>
      <c r="R677" s="42" t="n">
        <f aca="false">IF(ISNUMBER(MATCH(D677,Customer_Master!$A$2:$A$49,0)),0,1)</f>
        <v>0</v>
      </c>
      <c r="S677" s="42" t="n">
        <f aca="false">IF(ISNUMBER(MATCH(B677,Calendar!$A$2:$A$25,0)),0,1)</f>
        <v>0</v>
      </c>
      <c r="T677" s="42" t="n">
        <f aca="false">IF(COUNTIF(Sales_Transactions!$A$2:$A$865,A677)&gt;1,1,0)</f>
        <v>0</v>
      </c>
      <c r="U677" s="42" t="n">
        <f aca="false">IF(OR(ABS(Sales_Transactions!F677*Sales_Transactions!G677-Sales_Transactions!I677)&gt;0.01,ABS(Sales_Transactions!F677*Sales_Transactions!H677-Sales_Transactions!J677)&gt;0.01,ABS(Sales_Transactions!I677-Sales_Transactions!J677-Sales_Transactions!K677)&gt;0.01),1,0)</f>
        <v>0</v>
      </c>
      <c r="V677" s="42" t="n">
        <f aca="false">IF(C677&lt;&gt;L677,1,0)</f>
        <v>0</v>
      </c>
      <c r="W677" s="42" t="n">
        <f aca="false">IF(SUM(Q677:V677)&gt;0,1,0)</f>
        <v>0</v>
      </c>
    </row>
    <row r="678" customFormat="false" ht="15" hidden="false" customHeight="false" outlineLevel="0" collapsed="false">
      <c r="A678" s="42" t="str">
        <f aca="false">Sales_Transactions!A678</f>
        <v>INV-19-029</v>
      </c>
      <c r="B678" s="42" t="str">
        <f aca="false">Sales_Transactions!B678</f>
        <v>2026-07</v>
      </c>
      <c r="C678" s="42" t="str">
        <f aca="false">Sales_Transactions!C678</f>
        <v>Actual</v>
      </c>
      <c r="D678" s="42" t="str">
        <f aca="false">Sales_Transactions!D678</f>
        <v>C011</v>
      </c>
      <c r="E678" s="42" t="str">
        <f aca="false">Sales_Transactions!E678</f>
        <v>P007</v>
      </c>
      <c r="F678" s="42" t="str">
        <f aca="false">IFERROR(INDEX(Customer_Master!$C$2:$C$49,MATCH(D678,Customer_Master!$A$2:$A$49,0)),"UNMATCHED")</f>
        <v>West</v>
      </c>
      <c r="G678" s="42" t="str">
        <f aca="false">IFERROR(INDEX(Customer_Master!$D$2:$D$49,MATCH(D678,Customer_Master!$A$2:$A$49,0)),"UNMATCHED")</f>
        <v>Modern Trade</v>
      </c>
      <c r="H678" s="42" t="str">
        <f aca="false">IFERROR(INDEX(Product_Master!$C$2:$C$9,MATCH(E678,Product_Master!$A$2:$A$9,0)),"UNMATCHED")</f>
        <v>Home Care</v>
      </c>
      <c r="I678" s="42" t="str">
        <f aca="false">IFERROR(INDEX(Product_Master!$B$2:$B$9,MATCH(E678,Product_Master!$A$2:$A$9,0)),"UNMATCHED")</f>
        <v>Floor Cleaner</v>
      </c>
      <c r="J678" s="42" t="n">
        <f aca="false">IFERROR(INDEX(Calendar!$B$2:$B$25,MATCH(B678,Calendar!$A$2:$A$25,0)),0)</f>
        <v>2026</v>
      </c>
      <c r="K678" s="42" t="n">
        <f aca="false">IFERROR(VALUE(RIGHT(B678,2)),0)</f>
        <v>7</v>
      </c>
      <c r="L678" s="42" t="str">
        <f aca="false">IFERROR(INDEX(Calendar!$E$2:$E$25,MATCH(B678,Calendar!$A$2:$A$25,0)),"UNMATCHED")</f>
        <v>Actual</v>
      </c>
      <c r="M678" s="42" t="n">
        <f aca="false">Sales_Transactions!F678</f>
        <v>188</v>
      </c>
      <c r="N678" s="52" t="n">
        <f aca="false">Sales_Transactions!I678</f>
        <v>35635.4</v>
      </c>
      <c r="O678" s="52" t="n">
        <f aca="false">Sales_Transactions!J678</f>
        <v>20898.08</v>
      </c>
      <c r="P678" s="52" t="n">
        <f aca="false">Sales_Transactions!K678</f>
        <v>14737.32</v>
      </c>
      <c r="Q678" s="42" t="n">
        <f aca="false">IF(ISNUMBER(MATCH(E678,Product_Master!$A$2:$A$9,0)),0,1)</f>
        <v>0</v>
      </c>
      <c r="R678" s="42" t="n">
        <f aca="false">IF(ISNUMBER(MATCH(D678,Customer_Master!$A$2:$A$49,0)),0,1)</f>
        <v>0</v>
      </c>
      <c r="S678" s="42" t="n">
        <f aca="false">IF(ISNUMBER(MATCH(B678,Calendar!$A$2:$A$25,0)),0,1)</f>
        <v>0</v>
      </c>
      <c r="T678" s="42" t="n">
        <f aca="false">IF(COUNTIF(Sales_Transactions!$A$2:$A$865,A678)&gt;1,1,0)</f>
        <v>0</v>
      </c>
      <c r="U678" s="42" t="n">
        <f aca="false">IF(OR(ABS(Sales_Transactions!F678*Sales_Transactions!G678-Sales_Transactions!I678)&gt;0.01,ABS(Sales_Transactions!F678*Sales_Transactions!H678-Sales_Transactions!J678)&gt;0.01,ABS(Sales_Transactions!I678-Sales_Transactions!J678-Sales_Transactions!K678)&gt;0.01),1,0)</f>
        <v>0</v>
      </c>
      <c r="V678" s="42" t="n">
        <f aca="false">IF(C678&lt;&gt;L678,1,0)</f>
        <v>0</v>
      </c>
      <c r="W678" s="42" t="n">
        <f aca="false">IF(SUM(Q678:V678)&gt;0,1,0)</f>
        <v>0</v>
      </c>
    </row>
    <row r="679" customFormat="false" ht="15" hidden="false" customHeight="false" outlineLevel="0" collapsed="false">
      <c r="A679" s="42" t="str">
        <f aca="false">Sales_Transactions!A679</f>
        <v>INV-19-030</v>
      </c>
      <c r="B679" s="42" t="str">
        <f aca="false">Sales_Transactions!B679</f>
        <v>2026-07</v>
      </c>
      <c r="C679" s="42" t="str">
        <f aca="false">Sales_Transactions!C679</f>
        <v>Actual</v>
      </c>
      <c r="D679" s="42" t="str">
        <f aca="false">Sales_Transactions!D679</f>
        <v>C018</v>
      </c>
      <c r="E679" s="42" t="str">
        <f aca="false">Sales_Transactions!E679</f>
        <v>P004</v>
      </c>
      <c r="F679" s="42" t="str">
        <f aca="false">IFERROR(INDEX(Customer_Master!$C$2:$C$49,MATCH(D679,Customer_Master!$A$2:$A$49,0)),"UNMATCHED")</f>
        <v>North</v>
      </c>
      <c r="G679" s="42" t="str">
        <f aca="false">IFERROR(INDEX(Customer_Master!$D$2:$D$49,MATCH(D679,Customer_Master!$A$2:$A$49,0)),"UNMATCHED")</f>
        <v>Retail</v>
      </c>
      <c r="H679" s="42" t="str">
        <f aca="false">IFERROR(INDEX(Product_Master!$C$2:$C$9,MATCH(E679,Product_Master!$A$2:$A$9,0)),"UNMATCHED")</f>
        <v>Personal Care</v>
      </c>
      <c r="I679" s="42" t="str">
        <f aca="false">IFERROR(INDEX(Product_Master!$B$2:$B$9,MATCH(E679,Product_Master!$A$2:$A$9,0)),"UNMATCHED")</f>
        <v>Soap 4-pack</v>
      </c>
      <c r="J679" s="42" t="n">
        <f aca="false">IFERROR(INDEX(Calendar!$B$2:$B$25,MATCH(B679,Calendar!$A$2:$A$25,0)),0)</f>
        <v>2026</v>
      </c>
      <c r="K679" s="42" t="n">
        <f aca="false">IFERROR(VALUE(RIGHT(B679,2)),0)</f>
        <v>7</v>
      </c>
      <c r="L679" s="42" t="str">
        <f aca="false">IFERROR(INDEX(Calendar!$E$2:$E$25,MATCH(B679,Calendar!$A$2:$A$25,0)),"UNMATCHED")</f>
        <v>Actual</v>
      </c>
      <c r="M679" s="42" t="n">
        <f aca="false">Sales_Transactions!F679</f>
        <v>372</v>
      </c>
      <c r="N679" s="52" t="n">
        <f aca="false">Sales_Transactions!I679</f>
        <v>63831.48</v>
      </c>
      <c r="O679" s="52" t="n">
        <f aca="false">Sales_Transactions!J679</f>
        <v>34871.28</v>
      </c>
      <c r="P679" s="52" t="n">
        <f aca="false">Sales_Transactions!K679</f>
        <v>28960.2</v>
      </c>
      <c r="Q679" s="42" t="n">
        <f aca="false">IF(ISNUMBER(MATCH(E679,Product_Master!$A$2:$A$9,0)),0,1)</f>
        <v>0</v>
      </c>
      <c r="R679" s="42" t="n">
        <f aca="false">IF(ISNUMBER(MATCH(D679,Customer_Master!$A$2:$A$49,0)),0,1)</f>
        <v>0</v>
      </c>
      <c r="S679" s="42" t="n">
        <f aca="false">IF(ISNUMBER(MATCH(B679,Calendar!$A$2:$A$25,0)),0,1)</f>
        <v>0</v>
      </c>
      <c r="T679" s="42" t="n">
        <f aca="false">IF(COUNTIF(Sales_Transactions!$A$2:$A$865,A679)&gt;1,1,0)</f>
        <v>0</v>
      </c>
      <c r="U679" s="42" t="n">
        <f aca="false">IF(OR(ABS(Sales_Transactions!F679*Sales_Transactions!G679-Sales_Transactions!I679)&gt;0.01,ABS(Sales_Transactions!F679*Sales_Transactions!H679-Sales_Transactions!J679)&gt;0.01,ABS(Sales_Transactions!I679-Sales_Transactions!J679-Sales_Transactions!K679)&gt;0.01),1,0)</f>
        <v>0</v>
      </c>
      <c r="V679" s="42" t="n">
        <f aca="false">IF(C679&lt;&gt;L679,1,0)</f>
        <v>0</v>
      </c>
      <c r="W679" s="42" t="n">
        <f aca="false">IF(SUM(Q679:V679)&gt;0,1,0)</f>
        <v>0</v>
      </c>
    </row>
    <row r="680" customFormat="false" ht="15" hidden="false" customHeight="false" outlineLevel="0" collapsed="false">
      <c r="A680" s="42" t="str">
        <f aca="false">Sales_Transactions!A680</f>
        <v>INV-19-031</v>
      </c>
      <c r="B680" s="42" t="str">
        <f aca="false">Sales_Transactions!B680</f>
        <v>2026-07</v>
      </c>
      <c r="C680" s="42" t="str">
        <f aca="false">Sales_Transactions!C680</f>
        <v>Actual</v>
      </c>
      <c r="D680" s="42" t="str">
        <f aca="false">Sales_Transactions!D680</f>
        <v>C025</v>
      </c>
      <c r="E680" s="42" t="str">
        <f aca="false">Sales_Transactions!E680</f>
        <v>P001</v>
      </c>
      <c r="F680" s="42" t="str">
        <f aca="false">IFERROR(INDEX(Customer_Master!$C$2:$C$49,MATCH(D680,Customer_Master!$A$2:$A$49,0)),"UNMATCHED")</f>
        <v>South</v>
      </c>
      <c r="G680" s="42" t="str">
        <f aca="false">IFERROR(INDEX(Customer_Master!$D$2:$D$49,MATCH(D680,Customer_Master!$A$2:$A$49,0)),"UNMATCHED")</f>
        <v>Distributor</v>
      </c>
      <c r="H680" s="42" t="str">
        <f aca="false">IFERROR(INDEX(Product_Master!$C$2:$C$9,MATCH(E680,Product_Master!$A$2:$A$9,0)),"UNMATCHED")</f>
        <v>Home Care</v>
      </c>
      <c r="I680" s="42" t="str">
        <f aca="false">IFERROR(INDEX(Product_Master!$B$2:$B$9,MATCH(E680,Product_Master!$A$2:$A$9,0)),"UNMATCHED")</f>
        <v>Detergent 1kg</v>
      </c>
      <c r="J680" s="42" t="n">
        <f aca="false">IFERROR(INDEX(Calendar!$B$2:$B$25,MATCH(B680,Calendar!$A$2:$A$25,0)),0)</f>
        <v>2026</v>
      </c>
      <c r="K680" s="42" t="n">
        <f aca="false">IFERROR(VALUE(RIGHT(B680,2)),0)</f>
        <v>7</v>
      </c>
      <c r="L680" s="42" t="str">
        <f aca="false">IFERROR(INDEX(Calendar!$E$2:$E$25,MATCH(B680,Calendar!$A$2:$A$25,0)),"UNMATCHED")</f>
        <v>Actual</v>
      </c>
      <c r="M680" s="42" t="n">
        <f aca="false">Sales_Transactions!F680</f>
        <v>400</v>
      </c>
      <c r="N680" s="52" t="n">
        <f aca="false">Sales_Transactions!I680</f>
        <v>82852</v>
      </c>
      <c r="O680" s="52" t="n">
        <f aca="false">Sales_Transactions!J680</f>
        <v>52204</v>
      </c>
      <c r="P680" s="52" t="n">
        <f aca="false">Sales_Transactions!K680</f>
        <v>30648</v>
      </c>
      <c r="Q680" s="42" t="n">
        <f aca="false">IF(ISNUMBER(MATCH(E680,Product_Master!$A$2:$A$9,0)),0,1)</f>
        <v>0</v>
      </c>
      <c r="R680" s="42" t="n">
        <f aca="false">IF(ISNUMBER(MATCH(D680,Customer_Master!$A$2:$A$49,0)),0,1)</f>
        <v>0</v>
      </c>
      <c r="S680" s="42" t="n">
        <f aca="false">IF(ISNUMBER(MATCH(B680,Calendar!$A$2:$A$25,0)),0,1)</f>
        <v>0</v>
      </c>
      <c r="T680" s="42" t="n">
        <f aca="false">IF(COUNTIF(Sales_Transactions!$A$2:$A$865,A680)&gt;1,1,0)</f>
        <v>0</v>
      </c>
      <c r="U680" s="42" t="n">
        <f aca="false">IF(OR(ABS(Sales_Transactions!F680*Sales_Transactions!G680-Sales_Transactions!I680)&gt;0.01,ABS(Sales_Transactions!F680*Sales_Transactions!H680-Sales_Transactions!J680)&gt;0.01,ABS(Sales_Transactions!I680-Sales_Transactions!J680-Sales_Transactions!K680)&gt;0.01),1,0)</f>
        <v>0</v>
      </c>
      <c r="V680" s="42" t="n">
        <f aca="false">IF(C680&lt;&gt;L680,1,0)</f>
        <v>0</v>
      </c>
      <c r="W680" s="42" t="n">
        <f aca="false">IF(SUM(Q680:V680)&gt;0,1,0)</f>
        <v>0</v>
      </c>
    </row>
    <row r="681" customFormat="false" ht="15" hidden="false" customHeight="false" outlineLevel="0" collapsed="false">
      <c r="A681" s="42" t="str">
        <f aca="false">Sales_Transactions!A681</f>
        <v>INV-19-032</v>
      </c>
      <c r="B681" s="42" t="str">
        <f aca="false">Sales_Transactions!B681</f>
        <v>2026-07</v>
      </c>
      <c r="C681" s="42" t="str">
        <f aca="false">Sales_Transactions!C681</f>
        <v>Actual</v>
      </c>
      <c r="D681" s="42" t="str">
        <f aca="false">Sales_Transactions!D681</f>
        <v>C032</v>
      </c>
      <c r="E681" s="42" t="str">
        <f aca="false">Sales_Transactions!E681</f>
        <v>P006</v>
      </c>
      <c r="F681" s="42" t="str">
        <f aca="false">IFERROR(INDEX(Customer_Master!$C$2:$C$49,MATCH(D681,Customer_Master!$A$2:$A$49,0)),"UNMATCHED")</f>
        <v>East</v>
      </c>
      <c r="G681" s="42" t="str">
        <f aca="false">IFERROR(INDEX(Customer_Master!$D$2:$D$49,MATCH(D681,Customer_Master!$A$2:$A$49,0)),"UNMATCHED")</f>
        <v>Modern Trade</v>
      </c>
      <c r="H681" s="42" t="str">
        <f aca="false">IFERROR(INDEX(Product_Master!$C$2:$C$9,MATCH(E681,Product_Master!$A$2:$A$9,0)),"UNMATCHED")</f>
        <v>Foods</v>
      </c>
      <c r="I681" s="42" t="str">
        <f aca="false">IFERROR(INDEX(Product_Master!$B$2:$B$9,MATCH(E681,Product_Master!$A$2:$A$9,0)),"UNMATCHED")</f>
        <v>Breakfast Cereal</v>
      </c>
      <c r="J681" s="42" t="n">
        <f aca="false">IFERROR(INDEX(Calendar!$B$2:$B$25,MATCH(B681,Calendar!$A$2:$A$25,0)),0)</f>
        <v>2026</v>
      </c>
      <c r="K681" s="42" t="n">
        <f aca="false">IFERROR(VALUE(RIGHT(B681,2)),0)</f>
        <v>7</v>
      </c>
      <c r="L681" s="42" t="str">
        <f aca="false">IFERROR(INDEX(Calendar!$E$2:$E$25,MATCH(B681,Calendar!$A$2:$A$25,0)),"UNMATCHED")</f>
        <v>Actual</v>
      </c>
      <c r="M681" s="42" t="n">
        <f aca="false">Sales_Transactions!F681</f>
        <v>110</v>
      </c>
      <c r="N681" s="52" t="n">
        <f aca="false">Sales_Transactions!I681</f>
        <v>27406.5</v>
      </c>
      <c r="O681" s="52" t="n">
        <f aca="false">Sales_Transactions!J681</f>
        <v>17567</v>
      </c>
      <c r="P681" s="52" t="n">
        <f aca="false">Sales_Transactions!K681</f>
        <v>9839.5</v>
      </c>
      <c r="Q681" s="42" t="n">
        <f aca="false">IF(ISNUMBER(MATCH(E681,Product_Master!$A$2:$A$9,0)),0,1)</f>
        <v>0</v>
      </c>
      <c r="R681" s="42" t="n">
        <f aca="false">IF(ISNUMBER(MATCH(D681,Customer_Master!$A$2:$A$49,0)),0,1)</f>
        <v>0</v>
      </c>
      <c r="S681" s="42" t="n">
        <f aca="false">IF(ISNUMBER(MATCH(B681,Calendar!$A$2:$A$25,0)),0,1)</f>
        <v>0</v>
      </c>
      <c r="T681" s="42" t="n">
        <f aca="false">IF(COUNTIF(Sales_Transactions!$A$2:$A$865,A681)&gt;1,1,0)</f>
        <v>0</v>
      </c>
      <c r="U681" s="42" t="n">
        <f aca="false">IF(OR(ABS(Sales_Transactions!F681*Sales_Transactions!G681-Sales_Transactions!I681)&gt;0.01,ABS(Sales_Transactions!F681*Sales_Transactions!H681-Sales_Transactions!J681)&gt;0.01,ABS(Sales_Transactions!I681-Sales_Transactions!J681-Sales_Transactions!K681)&gt;0.01),1,0)</f>
        <v>0</v>
      </c>
      <c r="V681" s="42" t="n">
        <f aca="false">IF(C681&lt;&gt;L681,1,0)</f>
        <v>0</v>
      </c>
      <c r="W681" s="42" t="n">
        <f aca="false">IF(SUM(Q681:V681)&gt;0,1,0)</f>
        <v>0</v>
      </c>
    </row>
    <row r="682" customFormat="false" ht="15" hidden="false" customHeight="false" outlineLevel="0" collapsed="false">
      <c r="A682" s="42" t="str">
        <f aca="false">Sales_Transactions!A682</f>
        <v>INV-19-033</v>
      </c>
      <c r="B682" s="42" t="str">
        <f aca="false">Sales_Transactions!B682</f>
        <v>2026-07</v>
      </c>
      <c r="C682" s="42" t="str">
        <f aca="false">Sales_Transactions!C682</f>
        <v>Actual</v>
      </c>
      <c r="D682" s="42" t="str">
        <f aca="false">Sales_Transactions!D682</f>
        <v>C039</v>
      </c>
      <c r="E682" s="42" t="str">
        <f aca="false">Sales_Transactions!E682</f>
        <v>P003</v>
      </c>
      <c r="F682" s="42" t="str">
        <f aca="false">IFERROR(INDEX(Customer_Master!$C$2:$C$49,MATCH(D682,Customer_Master!$A$2:$A$49,0)),"UNMATCHED")</f>
        <v>West</v>
      </c>
      <c r="G682" s="42" t="str">
        <f aca="false">IFERROR(INDEX(Customer_Master!$D$2:$D$49,MATCH(D682,Customer_Master!$A$2:$A$49,0)),"UNMATCHED")</f>
        <v>Retail</v>
      </c>
      <c r="H682" s="42" t="str">
        <f aca="false">IFERROR(INDEX(Product_Master!$C$2:$C$9,MATCH(E682,Product_Master!$A$2:$A$9,0)),"UNMATCHED")</f>
        <v>Personal Care</v>
      </c>
      <c r="I682" s="42" t="str">
        <f aca="false">IFERROR(INDEX(Product_Master!$B$2:$B$9,MATCH(E682,Product_Master!$A$2:$A$9,0)),"UNMATCHED")</f>
        <v>Shampoo 400ml</v>
      </c>
      <c r="J682" s="42" t="n">
        <f aca="false">IFERROR(INDEX(Calendar!$B$2:$B$25,MATCH(B682,Calendar!$A$2:$A$25,0)),0)</f>
        <v>2026</v>
      </c>
      <c r="K682" s="42" t="n">
        <f aca="false">IFERROR(VALUE(RIGHT(B682,2)),0)</f>
        <v>7</v>
      </c>
      <c r="L682" s="42" t="str">
        <f aca="false">IFERROR(INDEX(Calendar!$E$2:$E$25,MATCH(B682,Calendar!$A$2:$A$25,0)),"UNMATCHED")</f>
        <v>Actual</v>
      </c>
      <c r="M682" s="42" t="n">
        <f aca="false">Sales_Transactions!F682</f>
        <v>411</v>
      </c>
      <c r="N682" s="52" t="n">
        <f aca="false">Sales_Transactions!I682</f>
        <v>105906.48</v>
      </c>
      <c r="O682" s="52" t="n">
        <f aca="false">Sales_Transactions!J682</f>
        <v>68316.42</v>
      </c>
      <c r="P682" s="52" t="n">
        <f aca="false">Sales_Transactions!K682</f>
        <v>37590.06</v>
      </c>
      <c r="Q682" s="42" t="n">
        <f aca="false">IF(ISNUMBER(MATCH(E682,Product_Master!$A$2:$A$9,0)),0,1)</f>
        <v>0</v>
      </c>
      <c r="R682" s="42" t="n">
        <f aca="false">IF(ISNUMBER(MATCH(D682,Customer_Master!$A$2:$A$49,0)),0,1)</f>
        <v>0</v>
      </c>
      <c r="S682" s="42" t="n">
        <f aca="false">IF(ISNUMBER(MATCH(B682,Calendar!$A$2:$A$25,0)),0,1)</f>
        <v>0</v>
      </c>
      <c r="T682" s="42" t="n">
        <f aca="false">IF(COUNTIF(Sales_Transactions!$A$2:$A$865,A682)&gt;1,1,0)</f>
        <v>0</v>
      </c>
      <c r="U682" s="42" t="n">
        <f aca="false">IF(OR(ABS(Sales_Transactions!F682*Sales_Transactions!G682-Sales_Transactions!I682)&gt;0.01,ABS(Sales_Transactions!F682*Sales_Transactions!H682-Sales_Transactions!J682)&gt;0.01,ABS(Sales_Transactions!I682-Sales_Transactions!J682-Sales_Transactions!K682)&gt;0.01),1,0)</f>
        <v>0</v>
      </c>
      <c r="V682" s="42" t="n">
        <f aca="false">IF(C682&lt;&gt;L682,1,0)</f>
        <v>0</v>
      </c>
      <c r="W682" s="42" t="n">
        <f aca="false">IF(SUM(Q682:V682)&gt;0,1,0)</f>
        <v>0</v>
      </c>
    </row>
    <row r="683" customFormat="false" ht="15" hidden="false" customHeight="false" outlineLevel="0" collapsed="false">
      <c r="A683" s="42" t="str">
        <f aca="false">Sales_Transactions!A683</f>
        <v>INV-19-034</v>
      </c>
      <c r="B683" s="42" t="str">
        <f aca="false">Sales_Transactions!B683</f>
        <v>2026-07</v>
      </c>
      <c r="C683" s="42" t="str">
        <f aca="false">Sales_Transactions!C683</f>
        <v>Actual</v>
      </c>
      <c r="D683" s="42" t="str">
        <f aca="false">Sales_Transactions!D683</f>
        <v>C046</v>
      </c>
      <c r="E683" s="42" t="str">
        <f aca="false">Sales_Transactions!E683</f>
        <v>P008</v>
      </c>
      <c r="F683" s="42" t="str">
        <f aca="false">IFERROR(INDEX(Customer_Master!$C$2:$C$49,MATCH(D683,Customer_Master!$A$2:$A$49,0)),"UNMATCHED")</f>
        <v>North</v>
      </c>
      <c r="G683" s="42" t="str">
        <f aca="false">IFERROR(INDEX(Customer_Master!$D$2:$D$49,MATCH(D683,Customer_Master!$A$2:$A$49,0)),"UNMATCHED")</f>
        <v>Distributor</v>
      </c>
      <c r="H683" s="42" t="str">
        <f aca="false">IFERROR(INDEX(Product_Master!$C$2:$C$9,MATCH(E683,Product_Master!$A$2:$A$9,0)),"UNMATCHED")</f>
        <v>Personal Care</v>
      </c>
      <c r="I683" s="42" t="str">
        <f aca="false">IFERROR(INDEX(Product_Master!$B$2:$B$9,MATCH(E683,Product_Master!$A$2:$A$9,0)),"UNMATCHED")</f>
        <v>Body Lotion</v>
      </c>
      <c r="J683" s="42" t="n">
        <f aca="false">IFERROR(INDEX(Calendar!$B$2:$B$25,MATCH(B683,Calendar!$A$2:$A$25,0)),0)</f>
        <v>2026</v>
      </c>
      <c r="K683" s="42" t="n">
        <f aca="false">IFERROR(VALUE(RIGHT(B683,2)),0)</f>
        <v>7</v>
      </c>
      <c r="L683" s="42" t="str">
        <f aca="false">IFERROR(INDEX(Calendar!$E$2:$E$25,MATCH(B683,Calendar!$A$2:$A$25,0)),"UNMATCHED")</f>
        <v>Actual</v>
      </c>
      <c r="M683" s="42" t="n">
        <f aca="false">Sales_Transactions!F683</f>
        <v>254</v>
      </c>
      <c r="N683" s="52" t="n">
        <f aca="false">Sales_Transactions!I683</f>
        <v>81168.24</v>
      </c>
      <c r="O683" s="52" t="n">
        <f aca="false">Sales_Transactions!J683</f>
        <v>49875.44</v>
      </c>
      <c r="P683" s="52" t="n">
        <f aca="false">Sales_Transactions!K683</f>
        <v>31292.8</v>
      </c>
      <c r="Q683" s="42" t="n">
        <f aca="false">IF(ISNUMBER(MATCH(E683,Product_Master!$A$2:$A$9,0)),0,1)</f>
        <v>0</v>
      </c>
      <c r="R683" s="42" t="n">
        <f aca="false">IF(ISNUMBER(MATCH(D683,Customer_Master!$A$2:$A$49,0)),0,1)</f>
        <v>0</v>
      </c>
      <c r="S683" s="42" t="n">
        <f aca="false">IF(ISNUMBER(MATCH(B683,Calendar!$A$2:$A$25,0)),0,1)</f>
        <v>0</v>
      </c>
      <c r="T683" s="42" t="n">
        <f aca="false">IF(COUNTIF(Sales_Transactions!$A$2:$A$865,A683)&gt;1,1,0)</f>
        <v>0</v>
      </c>
      <c r="U683" s="42" t="n">
        <f aca="false">IF(OR(ABS(Sales_Transactions!F683*Sales_Transactions!G683-Sales_Transactions!I683)&gt;0.01,ABS(Sales_Transactions!F683*Sales_Transactions!H683-Sales_Transactions!J683)&gt;0.01,ABS(Sales_Transactions!I683-Sales_Transactions!J683-Sales_Transactions!K683)&gt;0.01),1,0)</f>
        <v>0</v>
      </c>
      <c r="V683" s="42" t="n">
        <f aca="false">IF(C683&lt;&gt;L683,1,0)</f>
        <v>0</v>
      </c>
      <c r="W683" s="42" t="n">
        <f aca="false">IF(SUM(Q683:V683)&gt;0,1,0)</f>
        <v>0</v>
      </c>
    </row>
    <row r="684" customFormat="false" ht="15" hidden="false" customHeight="false" outlineLevel="0" collapsed="false">
      <c r="A684" s="42" t="str">
        <f aca="false">Sales_Transactions!A684</f>
        <v>INV-19-035</v>
      </c>
      <c r="B684" s="42" t="str">
        <f aca="false">Sales_Transactions!B684</f>
        <v>2026-07</v>
      </c>
      <c r="C684" s="42" t="str">
        <f aca="false">Sales_Transactions!C684</f>
        <v>Actual</v>
      </c>
      <c r="D684" s="42" t="str">
        <f aca="false">Sales_Transactions!D684</f>
        <v>C005</v>
      </c>
      <c r="E684" s="42" t="str">
        <f aca="false">Sales_Transactions!E684</f>
        <v>P005</v>
      </c>
      <c r="F684" s="42" t="str">
        <f aca="false">IFERROR(INDEX(Customer_Master!$C$2:$C$49,MATCH(D684,Customer_Master!$A$2:$A$49,0)),"UNMATCHED")</f>
        <v>South</v>
      </c>
      <c r="G684" s="42" t="str">
        <f aca="false">IFERROR(INDEX(Customer_Master!$D$2:$D$49,MATCH(D684,Customer_Master!$A$2:$A$49,0)),"UNMATCHED")</f>
        <v>Modern Trade</v>
      </c>
      <c r="H684" s="42" t="str">
        <f aca="false">IFERROR(INDEX(Product_Master!$C$2:$C$9,MATCH(E684,Product_Master!$A$2:$A$9,0)),"UNMATCHED")</f>
        <v>Foods</v>
      </c>
      <c r="I684" s="42" t="str">
        <f aca="false">IFERROR(INDEX(Product_Master!$B$2:$B$9,MATCH(E684,Product_Master!$A$2:$A$9,0)),"UNMATCHED")</f>
        <v>Biscuits 500g</v>
      </c>
      <c r="J684" s="42" t="n">
        <f aca="false">IFERROR(INDEX(Calendar!$B$2:$B$25,MATCH(B684,Calendar!$A$2:$A$25,0)),0)</f>
        <v>2026</v>
      </c>
      <c r="K684" s="42" t="n">
        <f aca="false">IFERROR(VALUE(RIGHT(B684,2)),0)</f>
        <v>7</v>
      </c>
      <c r="L684" s="42" t="str">
        <f aca="false">IFERROR(INDEX(Calendar!$E$2:$E$25,MATCH(B684,Calendar!$A$2:$A$25,0)),"UNMATCHED")</f>
        <v>Actual</v>
      </c>
      <c r="M684" s="42" t="n">
        <f aca="false">Sales_Transactions!F684</f>
        <v>155</v>
      </c>
      <c r="N684" s="52" t="n">
        <f aca="false">Sales_Transactions!I684</f>
        <v>15185.35</v>
      </c>
      <c r="O684" s="52" t="n">
        <f aca="false">Sales_Transactions!J684</f>
        <v>10654.7</v>
      </c>
      <c r="P684" s="52" t="n">
        <f aca="false">Sales_Transactions!K684</f>
        <v>4530.65</v>
      </c>
      <c r="Q684" s="42" t="n">
        <f aca="false">IF(ISNUMBER(MATCH(E684,Product_Master!$A$2:$A$9,0)),0,1)</f>
        <v>0</v>
      </c>
      <c r="R684" s="42" t="n">
        <f aca="false">IF(ISNUMBER(MATCH(D684,Customer_Master!$A$2:$A$49,0)),0,1)</f>
        <v>0</v>
      </c>
      <c r="S684" s="42" t="n">
        <f aca="false">IF(ISNUMBER(MATCH(B684,Calendar!$A$2:$A$25,0)),0,1)</f>
        <v>0</v>
      </c>
      <c r="T684" s="42" t="n">
        <f aca="false">IF(COUNTIF(Sales_Transactions!$A$2:$A$865,A684)&gt;1,1,0)</f>
        <v>0</v>
      </c>
      <c r="U684" s="42" t="n">
        <f aca="false">IF(OR(ABS(Sales_Transactions!F684*Sales_Transactions!G684-Sales_Transactions!I684)&gt;0.01,ABS(Sales_Transactions!F684*Sales_Transactions!H684-Sales_Transactions!J684)&gt;0.01,ABS(Sales_Transactions!I684-Sales_Transactions!J684-Sales_Transactions!K684)&gt;0.01),1,0)</f>
        <v>0</v>
      </c>
      <c r="V684" s="42" t="n">
        <f aca="false">IF(C684&lt;&gt;L684,1,0)</f>
        <v>0</v>
      </c>
      <c r="W684" s="42" t="n">
        <f aca="false">IF(SUM(Q684:V684)&gt;0,1,0)</f>
        <v>0</v>
      </c>
    </row>
    <row r="685" customFormat="false" ht="15" hidden="false" customHeight="false" outlineLevel="0" collapsed="false">
      <c r="A685" s="42" t="str">
        <f aca="false">Sales_Transactions!A685</f>
        <v>INV-19-036</v>
      </c>
      <c r="B685" s="42" t="str">
        <f aca="false">Sales_Transactions!B685</f>
        <v>2026-07</v>
      </c>
      <c r="C685" s="42" t="str">
        <f aca="false">Sales_Transactions!C685</f>
        <v>Actual</v>
      </c>
      <c r="D685" s="42" t="str">
        <f aca="false">Sales_Transactions!D685</f>
        <v>C012</v>
      </c>
      <c r="E685" s="42" t="str">
        <f aca="false">Sales_Transactions!E685</f>
        <v>P002</v>
      </c>
      <c r="F685" s="42" t="str">
        <f aca="false">IFERROR(INDEX(Customer_Master!$C$2:$C$49,MATCH(D685,Customer_Master!$A$2:$A$49,0)),"UNMATCHED")</f>
        <v>East</v>
      </c>
      <c r="G685" s="42" t="str">
        <f aca="false">IFERROR(INDEX(Customer_Master!$D$2:$D$49,MATCH(D685,Customer_Master!$A$2:$A$49,0)),"UNMATCHED")</f>
        <v>Retail</v>
      </c>
      <c r="H685" s="42" t="str">
        <f aca="false">IFERROR(INDEX(Product_Master!$C$2:$C$9,MATCH(E685,Product_Master!$A$2:$A$9,0)),"UNMATCHED")</f>
        <v>Home Care</v>
      </c>
      <c r="I685" s="42" t="str">
        <f aca="false">IFERROR(INDEX(Product_Master!$B$2:$B$9,MATCH(E685,Product_Master!$A$2:$A$9,0)),"UNMATCHED")</f>
        <v>Dishwash Gel</v>
      </c>
      <c r="J685" s="42" t="n">
        <f aca="false">IFERROR(INDEX(Calendar!$B$2:$B$25,MATCH(B685,Calendar!$A$2:$A$25,0)),0)</f>
        <v>2026</v>
      </c>
      <c r="K685" s="42" t="n">
        <f aca="false">IFERROR(VALUE(RIGHT(B685,2)),0)</f>
        <v>7</v>
      </c>
      <c r="L685" s="42" t="str">
        <f aca="false">IFERROR(INDEX(Calendar!$E$2:$E$25,MATCH(B685,Calendar!$A$2:$A$25,0)),"UNMATCHED")</f>
        <v>Actual</v>
      </c>
      <c r="M685" s="42" t="n">
        <f aca="false">Sales_Transactions!F685</f>
        <v>165</v>
      </c>
      <c r="N685" s="52" t="n">
        <f aca="false">Sales_Transactions!I685</f>
        <v>22558.8</v>
      </c>
      <c r="O685" s="52" t="n">
        <f aca="false">Sales_Transactions!J685</f>
        <v>14506.8</v>
      </c>
      <c r="P685" s="52" t="n">
        <f aca="false">Sales_Transactions!K685</f>
        <v>8052</v>
      </c>
      <c r="Q685" s="42" t="n">
        <f aca="false">IF(ISNUMBER(MATCH(E685,Product_Master!$A$2:$A$9,0)),0,1)</f>
        <v>0</v>
      </c>
      <c r="R685" s="42" t="n">
        <f aca="false">IF(ISNUMBER(MATCH(D685,Customer_Master!$A$2:$A$49,0)),0,1)</f>
        <v>0</v>
      </c>
      <c r="S685" s="42" t="n">
        <f aca="false">IF(ISNUMBER(MATCH(B685,Calendar!$A$2:$A$25,0)),0,1)</f>
        <v>0</v>
      </c>
      <c r="T685" s="42" t="n">
        <f aca="false">IF(COUNTIF(Sales_Transactions!$A$2:$A$865,A685)&gt;1,1,0)</f>
        <v>0</v>
      </c>
      <c r="U685" s="42" t="n">
        <f aca="false">IF(OR(ABS(Sales_Transactions!F685*Sales_Transactions!G685-Sales_Transactions!I685)&gt;0.01,ABS(Sales_Transactions!F685*Sales_Transactions!H685-Sales_Transactions!J685)&gt;0.01,ABS(Sales_Transactions!I685-Sales_Transactions!J685-Sales_Transactions!K685)&gt;0.01),1,0)</f>
        <v>0</v>
      </c>
      <c r="V685" s="42" t="n">
        <f aca="false">IF(C685&lt;&gt;L685,1,0)</f>
        <v>0</v>
      </c>
      <c r="W685" s="42" t="n">
        <f aca="false">IF(SUM(Q685:V685)&gt;0,1,0)</f>
        <v>0</v>
      </c>
    </row>
    <row r="686" customFormat="false" ht="15" hidden="false" customHeight="false" outlineLevel="0" collapsed="false">
      <c r="A686" s="42" t="str">
        <f aca="false">Sales_Transactions!A686</f>
        <v>INV-20-001</v>
      </c>
      <c r="B686" s="42" t="str">
        <f aca="false">Sales_Transactions!B686</f>
        <v>2026-08</v>
      </c>
      <c r="C686" s="42" t="str">
        <f aca="false">Sales_Transactions!C686</f>
        <v>Actual</v>
      </c>
      <c r="D686" s="42" t="str">
        <f aca="false">Sales_Transactions!D686</f>
        <v>C010</v>
      </c>
      <c r="E686" s="42" t="str">
        <f aca="false">Sales_Transactions!E686</f>
        <v>P004</v>
      </c>
      <c r="F686" s="42" t="str">
        <f aca="false">IFERROR(INDEX(Customer_Master!$C$2:$C$49,MATCH(D686,Customer_Master!$A$2:$A$49,0)),"UNMATCHED")</f>
        <v>North</v>
      </c>
      <c r="G686" s="42" t="str">
        <f aca="false">IFERROR(INDEX(Customer_Master!$D$2:$D$49,MATCH(D686,Customer_Master!$A$2:$A$49,0)),"UNMATCHED")</f>
        <v>Distributor</v>
      </c>
      <c r="H686" s="42" t="str">
        <f aca="false">IFERROR(INDEX(Product_Master!$C$2:$C$9,MATCH(E686,Product_Master!$A$2:$A$9,0)),"UNMATCHED")</f>
        <v>Personal Care</v>
      </c>
      <c r="I686" s="42" t="str">
        <f aca="false">IFERROR(INDEX(Product_Master!$B$2:$B$9,MATCH(E686,Product_Master!$A$2:$A$9,0)),"UNMATCHED")</f>
        <v>Soap 4-pack</v>
      </c>
      <c r="J686" s="42" t="n">
        <f aca="false">IFERROR(INDEX(Calendar!$B$2:$B$25,MATCH(B686,Calendar!$A$2:$A$25,0)),0)</f>
        <v>2026</v>
      </c>
      <c r="K686" s="42" t="n">
        <f aca="false">IFERROR(VALUE(RIGHT(B686,2)),0)</f>
        <v>8</v>
      </c>
      <c r="L686" s="42" t="str">
        <f aca="false">IFERROR(INDEX(Calendar!$E$2:$E$25,MATCH(B686,Calendar!$A$2:$A$25,0)),"UNMATCHED")</f>
        <v>Actual</v>
      </c>
      <c r="M686" s="42" t="n">
        <f aca="false">Sales_Transactions!F686</f>
        <v>328</v>
      </c>
      <c r="N686" s="52" t="n">
        <f aca="false">Sales_Transactions!I686</f>
        <v>54648.08</v>
      </c>
      <c r="O686" s="52" t="n">
        <f aca="false">Sales_Transactions!J686</f>
        <v>30982.88</v>
      </c>
      <c r="P686" s="52" t="n">
        <f aca="false">Sales_Transactions!K686</f>
        <v>23665.2</v>
      </c>
      <c r="Q686" s="42" t="n">
        <f aca="false">IF(ISNUMBER(MATCH(E686,Product_Master!$A$2:$A$9,0)),0,1)</f>
        <v>0</v>
      </c>
      <c r="R686" s="42" t="n">
        <f aca="false">IF(ISNUMBER(MATCH(D686,Customer_Master!$A$2:$A$49,0)),0,1)</f>
        <v>0</v>
      </c>
      <c r="S686" s="42" t="n">
        <f aca="false">IF(ISNUMBER(MATCH(B686,Calendar!$A$2:$A$25,0)),0,1)</f>
        <v>0</v>
      </c>
      <c r="T686" s="42" t="n">
        <f aca="false">IF(COUNTIF(Sales_Transactions!$A$2:$A$865,A686)&gt;1,1,0)</f>
        <v>0</v>
      </c>
      <c r="U686" s="42" t="n">
        <f aca="false">IF(OR(ABS(Sales_Transactions!F686*Sales_Transactions!G686-Sales_Transactions!I686)&gt;0.01,ABS(Sales_Transactions!F686*Sales_Transactions!H686-Sales_Transactions!J686)&gt;0.01,ABS(Sales_Transactions!I686-Sales_Transactions!J686-Sales_Transactions!K686)&gt;0.01),1,0)</f>
        <v>0</v>
      </c>
      <c r="V686" s="42" t="n">
        <f aca="false">IF(C686&lt;&gt;L686,1,0)</f>
        <v>0</v>
      </c>
      <c r="W686" s="42" t="n">
        <f aca="false">IF(SUM(Q686:V686)&gt;0,1,0)</f>
        <v>0</v>
      </c>
    </row>
    <row r="687" customFormat="false" ht="15" hidden="false" customHeight="false" outlineLevel="0" collapsed="false">
      <c r="A687" s="42" t="str">
        <f aca="false">Sales_Transactions!A687</f>
        <v>INV-20-002</v>
      </c>
      <c r="B687" s="42" t="str">
        <f aca="false">Sales_Transactions!B687</f>
        <v>2026-08</v>
      </c>
      <c r="C687" s="42" t="str">
        <f aca="false">Sales_Transactions!C687</f>
        <v>Actual</v>
      </c>
      <c r="D687" s="42" t="str">
        <f aca="false">Sales_Transactions!D687</f>
        <v>C017</v>
      </c>
      <c r="E687" s="42" t="str">
        <f aca="false">Sales_Transactions!E687</f>
        <v>P001</v>
      </c>
      <c r="F687" s="42" t="str">
        <f aca="false">IFERROR(INDEX(Customer_Master!$C$2:$C$49,MATCH(D687,Customer_Master!$A$2:$A$49,0)),"UNMATCHED")</f>
        <v>South</v>
      </c>
      <c r="G687" s="42" t="str">
        <f aca="false">IFERROR(INDEX(Customer_Master!$D$2:$D$49,MATCH(D687,Customer_Master!$A$2:$A$49,0)),"UNMATCHED")</f>
        <v>Modern Trade</v>
      </c>
      <c r="H687" s="42" t="str">
        <f aca="false">IFERROR(INDEX(Product_Master!$C$2:$C$9,MATCH(E687,Product_Master!$A$2:$A$9,0)),"UNMATCHED")</f>
        <v>Home Care</v>
      </c>
      <c r="I687" s="42" t="str">
        <f aca="false">IFERROR(INDEX(Product_Master!$B$2:$B$9,MATCH(E687,Product_Master!$A$2:$A$9,0)),"UNMATCHED")</f>
        <v>Detergent 1kg</v>
      </c>
      <c r="J687" s="42" t="n">
        <f aca="false">IFERROR(INDEX(Calendar!$B$2:$B$25,MATCH(B687,Calendar!$A$2:$A$25,0)),0)</f>
        <v>2026</v>
      </c>
      <c r="K687" s="42" t="n">
        <f aca="false">IFERROR(VALUE(RIGHT(B687,2)),0)</f>
        <v>8</v>
      </c>
      <c r="L687" s="42" t="str">
        <f aca="false">IFERROR(INDEX(Calendar!$E$2:$E$25,MATCH(B687,Calendar!$A$2:$A$25,0)),"UNMATCHED")</f>
        <v>Actual</v>
      </c>
      <c r="M687" s="42" t="n">
        <f aca="false">Sales_Transactions!F687</f>
        <v>232</v>
      </c>
      <c r="N687" s="52" t="n">
        <f aca="false">Sales_Transactions!I687</f>
        <v>45395.44</v>
      </c>
      <c r="O687" s="52" t="n">
        <f aca="false">Sales_Transactions!J687</f>
        <v>31772.4</v>
      </c>
      <c r="P687" s="52" t="n">
        <f aca="false">Sales_Transactions!K687</f>
        <v>13623.04</v>
      </c>
      <c r="Q687" s="42" t="n">
        <f aca="false">IF(ISNUMBER(MATCH(E687,Product_Master!$A$2:$A$9,0)),0,1)</f>
        <v>0</v>
      </c>
      <c r="R687" s="42" t="n">
        <f aca="false">IF(ISNUMBER(MATCH(D687,Customer_Master!$A$2:$A$49,0)),0,1)</f>
        <v>0</v>
      </c>
      <c r="S687" s="42" t="n">
        <f aca="false">IF(ISNUMBER(MATCH(B687,Calendar!$A$2:$A$25,0)),0,1)</f>
        <v>0</v>
      </c>
      <c r="T687" s="42" t="n">
        <f aca="false">IF(COUNTIF(Sales_Transactions!$A$2:$A$865,A687)&gt;1,1,0)</f>
        <v>0</v>
      </c>
      <c r="U687" s="42" t="n">
        <f aca="false">IF(OR(ABS(Sales_Transactions!F687*Sales_Transactions!G687-Sales_Transactions!I687)&gt;0.01,ABS(Sales_Transactions!F687*Sales_Transactions!H687-Sales_Transactions!J687)&gt;0.01,ABS(Sales_Transactions!I687-Sales_Transactions!J687-Sales_Transactions!K687)&gt;0.01),1,0)</f>
        <v>0</v>
      </c>
      <c r="V687" s="42" t="n">
        <f aca="false">IF(C687&lt;&gt;L687,1,0)</f>
        <v>0</v>
      </c>
      <c r="W687" s="42" t="n">
        <f aca="false">IF(SUM(Q687:V687)&gt;0,1,0)</f>
        <v>0</v>
      </c>
    </row>
    <row r="688" customFormat="false" ht="15" hidden="false" customHeight="false" outlineLevel="0" collapsed="false">
      <c r="A688" s="42" t="str">
        <f aca="false">Sales_Transactions!A688</f>
        <v>INV-20-003</v>
      </c>
      <c r="B688" s="42" t="str">
        <f aca="false">Sales_Transactions!B688</f>
        <v>2026-08</v>
      </c>
      <c r="C688" s="42" t="str">
        <f aca="false">Sales_Transactions!C688</f>
        <v>Actual</v>
      </c>
      <c r="D688" s="42" t="str">
        <f aca="false">Sales_Transactions!D688</f>
        <v>C024</v>
      </c>
      <c r="E688" s="42" t="str">
        <f aca="false">Sales_Transactions!E688</f>
        <v>P006</v>
      </c>
      <c r="F688" s="42" t="str">
        <f aca="false">IFERROR(INDEX(Customer_Master!$C$2:$C$49,MATCH(D688,Customer_Master!$A$2:$A$49,0)),"UNMATCHED")</f>
        <v>East</v>
      </c>
      <c r="G688" s="42" t="str">
        <f aca="false">IFERROR(INDEX(Customer_Master!$D$2:$D$49,MATCH(D688,Customer_Master!$A$2:$A$49,0)),"UNMATCHED")</f>
        <v>Retail</v>
      </c>
      <c r="H688" s="42" t="str">
        <f aca="false">IFERROR(INDEX(Product_Master!$C$2:$C$9,MATCH(E688,Product_Master!$A$2:$A$9,0)),"UNMATCHED")</f>
        <v>Foods</v>
      </c>
      <c r="I688" s="42" t="str">
        <f aca="false">IFERROR(INDEX(Product_Master!$B$2:$B$9,MATCH(E688,Product_Master!$A$2:$A$9,0)),"UNMATCHED")</f>
        <v>Breakfast Cereal</v>
      </c>
      <c r="J688" s="42" t="n">
        <f aca="false">IFERROR(INDEX(Calendar!$B$2:$B$25,MATCH(B688,Calendar!$A$2:$A$25,0)),0)</f>
        <v>2026</v>
      </c>
      <c r="K688" s="42" t="n">
        <f aca="false">IFERROR(VALUE(RIGHT(B688,2)),0)</f>
        <v>8</v>
      </c>
      <c r="L688" s="42" t="str">
        <f aca="false">IFERROR(INDEX(Calendar!$E$2:$E$25,MATCH(B688,Calendar!$A$2:$A$25,0)),"UNMATCHED")</f>
        <v>Actual</v>
      </c>
      <c r="M688" s="42" t="n">
        <f aca="false">Sales_Transactions!F688</f>
        <v>130</v>
      </c>
      <c r="N688" s="52" t="n">
        <f aca="false">Sales_Transactions!I688</f>
        <v>32314.1</v>
      </c>
      <c r="O688" s="52" t="n">
        <f aca="false">Sales_Transactions!J688</f>
        <v>20034.3</v>
      </c>
      <c r="P688" s="52" t="n">
        <f aca="false">Sales_Transactions!K688</f>
        <v>12279.8</v>
      </c>
      <c r="Q688" s="42" t="n">
        <f aca="false">IF(ISNUMBER(MATCH(E688,Product_Master!$A$2:$A$9,0)),0,1)</f>
        <v>0</v>
      </c>
      <c r="R688" s="42" t="n">
        <f aca="false">IF(ISNUMBER(MATCH(D688,Customer_Master!$A$2:$A$49,0)),0,1)</f>
        <v>0</v>
      </c>
      <c r="S688" s="42" t="n">
        <f aca="false">IF(ISNUMBER(MATCH(B688,Calendar!$A$2:$A$25,0)),0,1)</f>
        <v>0</v>
      </c>
      <c r="T688" s="42" t="n">
        <f aca="false">IF(COUNTIF(Sales_Transactions!$A$2:$A$865,A688)&gt;1,1,0)</f>
        <v>0</v>
      </c>
      <c r="U688" s="42" t="n">
        <f aca="false">IF(OR(ABS(Sales_Transactions!F688*Sales_Transactions!G688-Sales_Transactions!I688)&gt;0.01,ABS(Sales_Transactions!F688*Sales_Transactions!H688-Sales_Transactions!J688)&gt;0.01,ABS(Sales_Transactions!I688-Sales_Transactions!J688-Sales_Transactions!K688)&gt;0.01),1,0)</f>
        <v>0</v>
      </c>
      <c r="V688" s="42" t="n">
        <f aca="false">IF(C688&lt;&gt;L688,1,0)</f>
        <v>0</v>
      </c>
      <c r="W688" s="42" t="n">
        <f aca="false">IF(SUM(Q688:V688)&gt;0,1,0)</f>
        <v>0</v>
      </c>
    </row>
    <row r="689" customFormat="false" ht="15" hidden="false" customHeight="false" outlineLevel="0" collapsed="false">
      <c r="A689" s="42" t="str">
        <f aca="false">Sales_Transactions!A689</f>
        <v>INV-20-004</v>
      </c>
      <c r="B689" s="42" t="str">
        <f aca="false">Sales_Transactions!B689</f>
        <v>2026-08</v>
      </c>
      <c r="C689" s="42" t="str">
        <f aca="false">Sales_Transactions!C689</f>
        <v>Actual</v>
      </c>
      <c r="D689" s="42" t="str">
        <f aca="false">Sales_Transactions!D689</f>
        <v>C031</v>
      </c>
      <c r="E689" s="42" t="str">
        <f aca="false">Sales_Transactions!E689</f>
        <v>P003</v>
      </c>
      <c r="F689" s="42" t="str">
        <f aca="false">IFERROR(INDEX(Customer_Master!$C$2:$C$49,MATCH(D689,Customer_Master!$A$2:$A$49,0)),"UNMATCHED")</f>
        <v>West</v>
      </c>
      <c r="G689" s="42" t="str">
        <f aca="false">IFERROR(INDEX(Customer_Master!$D$2:$D$49,MATCH(D689,Customer_Master!$A$2:$A$49,0)),"UNMATCHED")</f>
        <v>Distributor</v>
      </c>
      <c r="H689" s="42" t="str">
        <f aca="false">IFERROR(INDEX(Product_Master!$C$2:$C$9,MATCH(E689,Product_Master!$A$2:$A$9,0)),"UNMATCHED")</f>
        <v>Personal Care</v>
      </c>
      <c r="I689" s="42" t="str">
        <f aca="false">IFERROR(INDEX(Product_Master!$B$2:$B$9,MATCH(E689,Product_Master!$A$2:$A$9,0)),"UNMATCHED")</f>
        <v>Shampoo 400ml</v>
      </c>
      <c r="J689" s="42" t="n">
        <f aca="false">IFERROR(INDEX(Calendar!$B$2:$B$25,MATCH(B689,Calendar!$A$2:$A$25,0)),0)</f>
        <v>2026</v>
      </c>
      <c r="K689" s="42" t="n">
        <f aca="false">IFERROR(VALUE(RIGHT(B689,2)),0)</f>
        <v>8</v>
      </c>
      <c r="L689" s="42" t="str">
        <f aca="false">IFERROR(INDEX(Calendar!$E$2:$E$25,MATCH(B689,Calendar!$A$2:$A$25,0)),"UNMATCHED")</f>
        <v>Actual</v>
      </c>
      <c r="M689" s="42" t="n">
        <f aca="false">Sales_Transactions!F689</f>
        <v>455</v>
      </c>
      <c r="N689" s="52" t="n">
        <f aca="false">Sales_Transactions!I689</f>
        <v>127468.25</v>
      </c>
      <c r="O689" s="52" t="n">
        <f aca="false">Sales_Transactions!J689</f>
        <v>75043.15</v>
      </c>
      <c r="P689" s="52" t="n">
        <f aca="false">Sales_Transactions!K689</f>
        <v>52425.1</v>
      </c>
      <c r="Q689" s="42" t="n">
        <f aca="false">IF(ISNUMBER(MATCH(E689,Product_Master!$A$2:$A$9,0)),0,1)</f>
        <v>0</v>
      </c>
      <c r="R689" s="42" t="n">
        <f aca="false">IF(ISNUMBER(MATCH(D689,Customer_Master!$A$2:$A$49,0)),0,1)</f>
        <v>0</v>
      </c>
      <c r="S689" s="42" t="n">
        <f aca="false">IF(ISNUMBER(MATCH(B689,Calendar!$A$2:$A$25,0)),0,1)</f>
        <v>0</v>
      </c>
      <c r="T689" s="42" t="n">
        <f aca="false">IF(COUNTIF(Sales_Transactions!$A$2:$A$865,A689)&gt;1,1,0)</f>
        <v>0</v>
      </c>
      <c r="U689" s="42" t="n">
        <f aca="false">IF(OR(ABS(Sales_Transactions!F689*Sales_Transactions!G689-Sales_Transactions!I689)&gt;0.01,ABS(Sales_Transactions!F689*Sales_Transactions!H689-Sales_Transactions!J689)&gt;0.01,ABS(Sales_Transactions!I689-Sales_Transactions!J689-Sales_Transactions!K689)&gt;0.01),1,0)</f>
        <v>0</v>
      </c>
      <c r="V689" s="42" t="n">
        <f aca="false">IF(C689&lt;&gt;L689,1,0)</f>
        <v>0</v>
      </c>
      <c r="W689" s="42" t="n">
        <f aca="false">IF(SUM(Q689:V689)&gt;0,1,0)</f>
        <v>0</v>
      </c>
    </row>
    <row r="690" customFormat="false" ht="15" hidden="false" customHeight="false" outlineLevel="0" collapsed="false">
      <c r="A690" s="42" t="str">
        <f aca="false">Sales_Transactions!A690</f>
        <v>INV-20-005</v>
      </c>
      <c r="B690" s="42" t="str">
        <f aca="false">Sales_Transactions!B690</f>
        <v>2026-08</v>
      </c>
      <c r="C690" s="42" t="str">
        <f aca="false">Sales_Transactions!C690</f>
        <v>Actual</v>
      </c>
      <c r="D690" s="42" t="str">
        <f aca="false">Sales_Transactions!D690</f>
        <v>C038</v>
      </c>
      <c r="E690" s="42" t="str">
        <f aca="false">Sales_Transactions!E690</f>
        <v>P008</v>
      </c>
      <c r="F690" s="42" t="str">
        <f aca="false">IFERROR(INDEX(Customer_Master!$C$2:$C$49,MATCH(D690,Customer_Master!$A$2:$A$49,0)),"UNMATCHED")</f>
        <v>North</v>
      </c>
      <c r="G690" s="42" t="str">
        <f aca="false">IFERROR(INDEX(Customer_Master!$D$2:$D$49,MATCH(D690,Customer_Master!$A$2:$A$49,0)),"UNMATCHED")</f>
        <v>Modern Trade</v>
      </c>
      <c r="H690" s="42" t="str">
        <f aca="false">IFERROR(INDEX(Product_Master!$C$2:$C$9,MATCH(E690,Product_Master!$A$2:$A$9,0)),"UNMATCHED")</f>
        <v>Personal Care</v>
      </c>
      <c r="I690" s="42" t="str">
        <f aca="false">IFERROR(INDEX(Product_Master!$B$2:$B$9,MATCH(E690,Product_Master!$A$2:$A$9,0)),"UNMATCHED")</f>
        <v>Body Lotion</v>
      </c>
      <c r="J690" s="42" t="n">
        <f aca="false">IFERROR(INDEX(Calendar!$B$2:$B$25,MATCH(B690,Calendar!$A$2:$A$25,0)),0)</f>
        <v>2026</v>
      </c>
      <c r="K690" s="42" t="n">
        <f aca="false">IFERROR(VALUE(RIGHT(B690,2)),0)</f>
        <v>8</v>
      </c>
      <c r="L690" s="42" t="str">
        <f aca="false">IFERROR(INDEX(Calendar!$E$2:$E$25,MATCH(B690,Calendar!$A$2:$A$25,0)),"UNMATCHED")</f>
        <v>Actual</v>
      </c>
      <c r="M690" s="42" t="n">
        <f aca="false">Sales_Transactions!F690</f>
        <v>174</v>
      </c>
      <c r="N690" s="52" t="n">
        <f aca="false">Sales_Transactions!I690</f>
        <v>53402.34</v>
      </c>
      <c r="O690" s="52" t="n">
        <f aca="false">Sales_Transactions!J690</f>
        <v>37274.28</v>
      </c>
      <c r="P690" s="52" t="n">
        <f aca="false">Sales_Transactions!K690</f>
        <v>16128.06</v>
      </c>
      <c r="Q690" s="42" t="n">
        <f aca="false">IF(ISNUMBER(MATCH(E690,Product_Master!$A$2:$A$9,0)),0,1)</f>
        <v>0</v>
      </c>
      <c r="R690" s="42" t="n">
        <f aca="false">IF(ISNUMBER(MATCH(D690,Customer_Master!$A$2:$A$49,0)),0,1)</f>
        <v>0</v>
      </c>
      <c r="S690" s="42" t="n">
        <f aca="false">IF(ISNUMBER(MATCH(B690,Calendar!$A$2:$A$25,0)),0,1)</f>
        <v>0</v>
      </c>
      <c r="T690" s="42" t="n">
        <f aca="false">IF(COUNTIF(Sales_Transactions!$A$2:$A$865,A690)&gt;1,1,0)</f>
        <v>0</v>
      </c>
      <c r="U690" s="42" t="n">
        <f aca="false">IF(OR(ABS(Sales_Transactions!F690*Sales_Transactions!G690-Sales_Transactions!I690)&gt;0.01,ABS(Sales_Transactions!F690*Sales_Transactions!H690-Sales_Transactions!J690)&gt;0.01,ABS(Sales_Transactions!I690-Sales_Transactions!J690-Sales_Transactions!K690)&gt;0.01),1,0)</f>
        <v>0</v>
      </c>
      <c r="V690" s="42" t="n">
        <f aca="false">IF(C690&lt;&gt;L690,1,0)</f>
        <v>0</v>
      </c>
      <c r="W690" s="42" t="n">
        <f aca="false">IF(SUM(Q690:V690)&gt;0,1,0)</f>
        <v>0</v>
      </c>
    </row>
    <row r="691" customFormat="false" ht="15" hidden="false" customHeight="false" outlineLevel="0" collapsed="false">
      <c r="A691" s="42" t="str">
        <f aca="false">Sales_Transactions!A691</f>
        <v>INV-20-006</v>
      </c>
      <c r="B691" s="42" t="str">
        <f aca="false">Sales_Transactions!B691</f>
        <v>2026-08</v>
      </c>
      <c r="C691" s="42" t="str">
        <f aca="false">Sales_Transactions!C691</f>
        <v>Actual</v>
      </c>
      <c r="D691" s="42" t="str">
        <f aca="false">Sales_Transactions!D691</f>
        <v>C045</v>
      </c>
      <c r="E691" s="42" t="str">
        <f aca="false">Sales_Transactions!E691</f>
        <v>P005</v>
      </c>
      <c r="F691" s="42" t="str">
        <f aca="false">IFERROR(INDEX(Customer_Master!$C$2:$C$49,MATCH(D691,Customer_Master!$A$2:$A$49,0)),"UNMATCHED")</f>
        <v>South</v>
      </c>
      <c r="G691" s="42" t="str">
        <f aca="false">IFERROR(INDEX(Customer_Master!$D$2:$D$49,MATCH(D691,Customer_Master!$A$2:$A$49,0)),"UNMATCHED")</f>
        <v>Retail</v>
      </c>
      <c r="H691" s="42" t="str">
        <f aca="false">IFERROR(INDEX(Product_Master!$C$2:$C$9,MATCH(E691,Product_Master!$A$2:$A$9,0)),"UNMATCHED")</f>
        <v>Foods</v>
      </c>
      <c r="I691" s="42" t="str">
        <f aca="false">IFERROR(INDEX(Product_Master!$B$2:$B$9,MATCH(E691,Product_Master!$A$2:$A$9,0)),"UNMATCHED")</f>
        <v>Biscuits 500g</v>
      </c>
      <c r="J691" s="42" t="n">
        <f aca="false">IFERROR(INDEX(Calendar!$B$2:$B$25,MATCH(B691,Calendar!$A$2:$A$25,0)),0)</f>
        <v>2026</v>
      </c>
      <c r="K691" s="42" t="n">
        <f aca="false">IFERROR(VALUE(RIGHT(B691,2)),0)</f>
        <v>8</v>
      </c>
      <c r="L691" s="42" t="str">
        <f aca="false">IFERROR(INDEX(Calendar!$E$2:$E$25,MATCH(B691,Calendar!$A$2:$A$25,0)),"UNMATCHED")</f>
        <v>Actual</v>
      </c>
      <c r="M691" s="42" t="n">
        <f aca="false">Sales_Transactions!F691</f>
        <v>103</v>
      </c>
      <c r="N691" s="52" t="n">
        <f aca="false">Sales_Transactions!I691</f>
        <v>11552.48</v>
      </c>
      <c r="O691" s="52" t="n">
        <f aca="false">Sales_Transactions!J691</f>
        <v>6953.53</v>
      </c>
      <c r="P691" s="52" t="n">
        <f aca="false">Sales_Transactions!K691</f>
        <v>4598.95</v>
      </c>
      <c r="Q691" s="42" t="n">
        <f aca="false">IF(ISNUMBER(MATCH(E691,Product_Master!$A$2:$A$9,0)),0,1)</f>
        <v>0</v>
      </c>
      <c r="R691" s="42" t="n">
        <f aca="false">IF(ISNUMBER(MATCH(D691,Customer_Master!$A$2:$A$49,0)),0,1)</f>
        <v>0</v>
      </c>
      <c r="S691" s="42" t="n">
        <f aca="false">IF(ISNUMBER(MATCH(B691,Calendar!$A$2:$A$25,0)),0,1)</f>
        <v>0</v>
      </c>
      <c r="T691" s="42" t="n">
        <f aca="false">IF(COUNTIF(Sales_Transactions!$A$2:$A$865,A691)&gt;1,1,0)</f>
        <v>0</v>
      </c>
      <c r="U691" s="42" t="n">
        <f aca="false">IF(OR(ABS(Sales_Transactions!F691*Sales_Transactions!G691-Sales_Transactions!I691)&gt;0.01,ABS(Sales_Transactions!F691*Sales_Transactions!H691-Sales_Transactions!J691)&gt;0.01,ABS(Sales_Transactions!I691-Sales_Transactions!J691-Sales_Transactions!K691)&gt;0.01),1,0)</f>
        <v>0</v>
      </c>
      <c r="V691" s="42" t="n">
        <f aca="false">IF(C691&lt;&gt;L691,1,0)</f>
        <v>0</v>
      </c>
      <c r="W691" s="42" t="n">
        <f aca="false">IF(SUM(Q691:V691)&gt;0,1,0)</f>
        <v>0</v>
      </c>
    </row>
    <row r="692" customFormat="false" ht="15" hidden="false" customHeight="false" outlineLevel="0" collapsed="false">
      <c r="A692" s="42" t="str">
        <f aca="false">Sales_Transactions!A692</f>
        <v>INV-20-007</v>
      </c>
      <c r="B692" s="42" t="str">
        <f aca="false">Sales_Transactions!B692</f>
        <v>2026-08</v>
      </c>
      <c r="C692" s="42" t="str">
        <f aca="false">Sales_Transactions!C692</f>
        <v>Actual</v>
      </c>
      <c r="D692" s="42" t="str">
        <f aca="false">Sales_Transactions!D692</f>
        <v>C004</v>
      </c>
      <c r="E692" s="42" t="str">
        <f aca="false">Sales_Transactions!E692</f>
        <v>P002</v>
      </c>
      <c r="F692" s="42" t="str">
        <f aca="false">IFERROR(INDEX(Customer_Master!$C$2:$C$49,MATCH(D692,Customer_Master!$A$2:$A$49,0)),"UNMATCHED")</f>
        <v>East</v>
      </c>
      <c r="G692" s="42" t="str">
        <f aca="false">IFERROR(INDEX(Customer_Master!$D$2:$D$49,MATCH(D692,Customer_Master!$A$2:$A$49,0)),"UNMATCHED")</f>
        <v>Distributor</v>
      </c>
      <c r="H692" s="42" t="str">
        <f aca="false">IFERROR(INDEX(Product_Master!$C$2:$C$9,MATCH(E692,Product_Master!$A$2:$A$9,0)),"UNMATCHED")</f>
        <v>Home Care</v>
      </c>
      <c r="I692" s="42" t="str">
        <f aca="false">IFERROR(INDEX(Product_Master!$B$2:$B$9,MATCH(E692,Product_Master!$A$2:$A$9,0)),"UNMATCHED")</f>
        <v>Dishwash Gel</v>
      </c>
      <c r="J692" s="42" t="n">
        <f aca="false">IFERROR(INDEX(Calendar!$B$2:$B$25,MATCH(B692,Calendar!$A$2:$A$25,0)),0)</f>
        <v>2026</v>
      </c>
      <c r="K692" s="42" t="n">
        <f aca="false">IFERROR(VALUE(RIGHT(B692,2)),0)</f>
        <v>8</v>
      </c>
      <c r="L692" s="42" t="str">
        <f aca="false">IFERROR(INDEX(Calendar!$E$2:$E$25,MATCH(B692,Calendar!$A$2:$A$25,0)),"UNMATCHED")</f>
        <v>Actual</v>
      </c>
      <c r="M692" s="42" t="n">
        <f aca="false">Sales_Transactions!F692</f>
        <v>338</v>
      </c>
      <c r="N692" s="52" t="n">
        <f aca="false">Sales_Transactions!I692</f>
        <v>44805.28</v>
      </c>
      <c r="O692" s="52" t="n">
        <f aca="false">Sales_Transactions!J692</f>
        <v>29098.42</v>
      </c>
      <c r="P692" s="52" t="n">
        <f aca="false">Sales_Transactions!K692</f>
        <v>15706.86</v>
      </c>
      <c r="Q692" s="42" t="n">
        <f aca="false">IF(ISNUMBER(MATCH(E692,Product_Master!$A$2:$A$9,0)),0,1)</f>
        <v>0</v>
      </c>
      <c r="R692" s="42" t="n">
        <f aca="false">IF(ISNUMBER(MATCH(D692,Customer_Master!$A$2:$A$49,0)),0,1)</f>
        <v>0</v>
      </c>
      <c r="S692" s="42" t="n">
        <f aca="false">IF(ISNUMBER(MATCH(B692,Calendar!$A$2:$A$25,0)),0,1)</f>
        <v>0</v>
      </c>
      <c r="T692" s="42" t="n">
        <f aca="false">IF(COUNTIF(Sales_Transactions!$A$2:$A$865,A692)&gt;1,1,0)</f>
        <v>0</v>
      </c>
      <c r="U692" s="42" t="n">
        <f aca="false">IF(OR(ABS(Sales_Transactions!F692*Sales_Transactions!G692-Sales_Transactions!I692)&gt;0.01,ABS(Sales_Transactions!F692*Sales_Transactions!H692-Sales_Transactions!J692)&gt;0.01,ABS(Sales_Transactions!I692-Sales_Transactions!J692-Sales_Transactions!K692)&gt;0.01),1,0)</f>
        <v>0</v>
      </c>
      <c r="V692" s="42" t="n">
        <f aca="false">IF(C692&lt;&gt;L692,1,0)</f>
        <v>0</v>
      </c>
      <c r="W692" s="42" t="n">
        <f aca="false">IF(SUM(Q692:V692)&gt;0,1,0)</f>
        <v>0</v>
      </c>
    </row>
    <row r="693" customFormat="false" ht="15" hidden="false" customHeight="false" outlineLevel="0" collapsed="false">
      <c r="A693" s="42" t="str">
        <f aca="false">Sales_Transactions!A693</f>
        <v>INV-20-008</v>
      </c>
      <c r="B693" s="42" t="str">
        <f aca="false">Sales_Transactions!B693</f>
        <v>2026-08</v>
      </c>
      <c r="C693" s="42" t="str">
        <f aca="false">Sales_Transactions!C693</f>
        <v>Actual</v>
      </c>
      <c r="D693" s="42" t="str">
        <f aca="false">Sales_Transactions!D693</f>
        <v>C011</v>
      </c>
      <c r="E693" s="42" t="str">
        <f aca="false">Sales_Transactions!E693</f>
        <v>P007</v>
      </c>
      <c r="F693" s="42" t="str">
        <f aca="false">IFERROR(INDEX(Customer_Master!$C$2:$C$49,MATCH(D693,Customer_Master!$A$2:$A$49,0)),"UNMATCHED")</f>
        <v>West</v>
      </c>
      <c r="G693" s="42" t="str">
        <f aca="false">IFERROR(INDEX(Customer_Master!$D$2:$D$49,MATCH(D693,Customer_Master!$A$2:$A$49,0)),"UNMATCHED")</f>
        <v>Modern Trade</v>
      </c>
      <c r="H693" s="42" t="str">
        <f aca="false">IFERROR(INDEX(Product_Master!$C$2:$C$9,MATCH(E693,Product_Master!$A$2:$A$9,0)),"UNMATCHED")</f>
        <v>Home Care</v>
      </c>
      <c r="I693" s="42" t="str">
        <f aca="false">IFERROR(INDEX(Product_Master!$B$2:$B$9,MATCH(E693,Product_Master!$A$2:$A$9,0)),"UNMATCHED")</f>
        <v>Floor Cleaner</v>
      </c>
      <c r="J693" s="42" t="n">
        <f aca="false">IFERROR(INDEX(Calendar!$B$2:$B$25,MATCH(B693,Calendar!$A$2:$A$25,0)),0)</f>
        <v>2026</v>
      </c>
      <c r="K693" s="42" t="n">
        <f aca="false">IFERROR(VALUE(RIGHT(B693,2)),0)</f>
        <v>8</v>
      </c>
      <c r="L693" s="42" t="str">
        <f aca="false">IFERROR(INDEX(Calendar!$E$2:$E$25,MATCH(B693,Calendar!$A$2:$A$25,0)),"UNMATCHED")</f>
        <v>Actual</v>
      </c>
      <c r="M693" s="42" t="n">
        <f aca="false">Sales_Transactions!F693</f>
        <v>233</v>
      </c>
      <c r="N693" s="52" t="n">
        <f aca="false">Sales_Transactions!I693</f>
        <v>44447.08</v>
      </c>
      <c r="O693" s="52" t="n">
        <f aca="false">Sales_Transactions!J693</f>
        <v>25080.12</v>
      </c>
      <c r="P693" s="52" t="n">
        <f aca="false">Sales_Transactions!K693</f>
        <v>19366.96</v>
      </c>
      <c r="Q693" s="42" t="n">
        <f aca="false">IF(ISNUMBER(MATCH(E693,Product_Master!$A$2:$A$9,0)),0,1)</f>
        <v>0</v>
      </c>
      <c r="R693" s="42" t="n">
        <f aca="false">IF(ISNUMBER(MATCH(D693,Customer_Master!$A$2:$A$49,0)),0,1)</f>
        <v>0</v>
      </c>
      <c r="S693" s="42" t="n">
        <f aca="false">IF(ISNUMBER(MATCH(B693,Calendar!$A$2:$A$25,0)),0,1)</f>
        <v>0</v>
      </c>
      <c r="T693" s="42" t="n">
        <f aca="false">IF(COUNTIF(Sales_Transactions!$A$2:$A$865,A693)&gt;1,1,0)</f>
        <v>0</v>
      </c>
      <c r="U693" s="42" t="n">
        <f aca="false">IF(OR(ABS(Sales_Transactions!F693*Sales_Transactions!G693-Sales_Transactions!I693)&gt;0.01,ABS(Sales_Transactions!F693*Sales_Transactions!H693-Sales_Transactions!J693)&gt;0.01,ABS(Sales_Transactions!I693-Sales_Transactions!J693-Sales_Transactions!K693)&gt;0.01),1,0)</f>
        <v>0</v>
      </c>
      <c r="V693" s="42" t="n">
        <f aca="false">IF(C693&lt;&gt;L693,1,0)</f>
        <v>0</v>
      </c>
      <c r="W693" s="42" t="n">
        <f aca="false">IF(SUM(Q693:V693)&gt;0,1,0)</f>
        <v>0</v>
      </c>
    </row>
    <row r="694" customFormat="false" ht="15" hidden="false" customHeight="false" outlineLevel="0" collapsed="false">
      <c r="A694" s="42" t="str">
        <f aca="false">Sales_Transactions!A694</f>
        <v>INV-20-009</v>
      </c>
      <c r="B694" s="42" t="str">
        <f aca="false">Sales_Transactions!B694</f>
        <v>2026-08</v>
      </c>
      <c r="C694" s="42" t="str">
        <f aca="false">Sales_Transactions!C694</f>
        <v>Actual</v>
      </c>
      <c r="D694" s="42" t="str">
        <f aca="false">Sales_Transactions!D694</f>
        <v>C018</v>
      </c>
      <c r="E694" s="42" t="str">
        <f aca="false">Sales_Transactions!E694</f>
        <v>P004</v>
      </c>
      <c r="F694" s="42" t="str">
        <f aca="false">IFERROR(INDEX(Customer_Master!$C$2:$C$49,MATCH(D694,Customer_Master!$A$2:$A$49,0)),"UNMATCHED")</f>
        <v>North</v>
      </c>
      <c r="G694" s="42" t="str">
        <f aca="false">IFERROR(INDEX(Customer_Master!$D$2:$D$49,MATCH(D694,Customer_Master!$A$2:$A$49,0)),"UNMATCHED")</f>
        <v>Retail</v>
      </c>
      <c r="H694" s="42" t="str">
        <f aca="false">IFERROR(INDEX(Product_Master!$C$2:$C$9,MATCH(E694,Product_Master!$A$2:$A$9,0)),"UNMATCHED")</f>
        <v>Personal Care</v>
      </c>
      <c r="I694" s="42" t="str">
        <f aca="false">IFERROR(INDEX(Product_Master!$B$2:$B$9,MATCH(E694,Product_Master!$A$2:$A$9,0)),"UNMATCHED")</f>
        <v>Soap 4-pack</v>
      </c>
      <c r="J694" s="42" t="n">
        <f aca="false">IFERROR(INDEX(Calendar!$B$2:$B$25,MATCH(B694,Calendar!$A$2:$A$25,0)),0)</f>
        <v>2026</v>
      </c>
      <c r="K694" s="42" t="n">
        <f aca="false">IFERROR(VALUE(RIGHT(B694,2)),0)</f>
        <v>8</v>
      </c>
      <c r="L694" s="42" t="str">
        <f aca="false">IFERROR(INDEX(Calendar!$E$2:$E$25,MATCH(B694,Calendar!$A$2:$A$25,0)),"UNMATCHED")</f>
        <v>Actual</v>
      </c>
      <c r="M694" s="42" t="n">
        <f aca="false">Sales_Transactions!F694</f>
        <v>375</v>
      </c>
      <c r="N694" s="52" t="n">
        <f aca="false">Sales_Transactions!I694</f>
        <v>63547.5</v>
      </c>
      <c r="O694" s="52" t="n">
        <f aca="false">Sales_Transactions!J694</f>
        <v>38572.5</v>
      </c>
      <c r="P694" s="52" t="n">
        <f aca="false">Sales_Transactions!K694</f>
        <v>24975</v>
      </c>
      <c r="Q694" s="42" t="n">
        <f aca="false">IF(ISNUMBER(MATCH(E694,Product_Master!$A$2:$A$9,0)),0,1)</f>
        <v>0</v>
      </c>
      <c r="R694" s="42" t="n">
        <f aca="false">IF(ISNUMBER(MATCH(D694,Customer_Master!$A$2:$A$49,0)),0,1)</f>
        <v>0</v>
      </c>
      <c r="S694" s="42" t="n">
        <f aca="false">IF(ISNUMBER(MATCH(B694,Calendar!$A$2:$A$25,0)),0,1)</f>
        <v>0</v>
      </c>
      <c r="T694" s="42" t="n">
        <f aca="false">IF(COUNTIF(Sales_Transactions!$A$2:$A$865,A694)&gt;1,1,0)</f>
        <v>0</v>
      </c>
      <c r="U694" s="42" t="n">
        <f aca="false">IF(OR(ABS(Sales_Transactions!F694*Sales_Transactions!G694-Sales_Transactions!I694)&gt;0.01,ABS(Sales_Transactions!F694*Sales_Transactions!H694-Sales_Transactions!J694)&gt;0.01,ABS(Sales_Transactions!I694-Sales_Transactions!J694-Sales_Transactions!K694)&gt;0.01),1,0)</f>
        <v>0</v>
      </c>
      <c r="V694" s="42" t="n">
        <f aca="false">IF(C694&lt;&gt;L694,1,0)</f>
        <v>0</v>
      </c>
      <c r="W694" s="42" t="n">
        <f aca="false">IF(SUM(Q694:V694)&gt;0,1,0)</f>
        <v>0</v>
      </c>
    </row>
    <row r="695" customFormat="false" ht="15" hidden="false" customHeight="false" outlineLevel="0" collapsed="false">
      <c r="A695" s="42" t="str">
        <f aca="false">Sales_Transactions!A695</f>
        <v>INV-20-010</v>
      </c>
      <c r="B695" s="42" t="str">
        <f aca="false">Sales_Transactions!B695</f>
        <v>2026-08</v>
      </c>
      <c r="C695" s="42" t="str">
        <f aca="false">Sales_Transactions!C695</f>
        <v>Actual</v>
      </c>
      <c r="D695" s="42" t="str">
        <f aca="false">Sales_Transactions!D695</f>
        <v>C025</v>
      </c>
      <c r="E695" s="42" t="str">
        <f aca="false">Sales_Transactions!E695</f>
        <v>P001</v>
      </c>
      <c r="F695" s="42" t="str">
        <f aca="false">IFERROR(INDEX(Customer_Master!$C$2:$C$49,MATCH(D695,Customer_Master!$A$2:$A$49,0)),"UNMATCHED")</f>
        <v>South</v>
      </c>
      <c r="G695" s="42" t="str">
        <f aca="false">IFERROR(INDEX(Customer_Master!$D$2:$D$49,MATCH(D695,Customer_Master!$A$2:$A$49,0)),"UNMATCHED")</f>
        <v>Distributor</v>
      </c>
      <c r="H695" s="42" t="str">
        <f aca="false">IFERROR(INDEX(Product_Master!$C$2:$C$9,MATCH(E695,Product_Master!$A$2:$A$9,0)),"UNMATCHED")</f>
        <v>Home Care</v>
      </c>
      <c r="I695" s="42" t="str">
        <f aca="false">IFERROR(INDEX(Product_Master!$B$2:$B$9,MATCH(E695,Product_Master!$A$2:$A$9,0)),"UNMATCHED")</f>
        <v>Detergent 1kg</v>
      </c>
      <c r="J695" s="42" t="n">
        <f aca="false">IFERROR(INDEX(Calendar!$B$2:$B$25,MATCH(B695,Calendar!$A$2:$A$25,0)),0)</f>
        <v>2026</v>
      </c>
      <c r="K695" s="42" t="n">
        <f aca="false">IFERROR(VALUE(RIGHT(B695,2)),0)</f>
        <v>8</v>
      </c>
      <c r="L695" s="42" t="str">
        <f aca="false">IFERROR(INDEX(Calendar!$E$2:$E$25,MATCH(B695,Calendar!$A$2:$A$25,0)),"UNMATCHED")</f>
        <v>Actual</v>
      </c>
      <c r="M695" s="42" t="n">
        <f aca="false">Sales_Transactions!F695</f>
        <v>256</v>
      </c>
      <c r="N695" s="52" t="n">
        <f aca="false">Sales_Transactions!I695</f>
        <v>49835.52</v>
      </c>
      <c r="O695" s="52" t="n">
        <f aca="false">Sales_Transactions!J695</f>
        <v>36451.84</v>
      </c>
      <c r="P695" s="52" t="n">
        <f aca="false">Sales_Transactions!K695</f>
        <v>13383.68</v>
      </c>
      <c r="Q695" s="42" t="n">
        <f aca="false">IF(ISNUMBER(MATCH(E695,Product_Master!$A$2:$A$9,0)),0,1)</f>
        <v>0</v>
      </c>
      <c r="R695" s="42" t="n">
        <f aca="false">IF(ISNUMBER(MATCH(D695,Customer_Master!$A$2:$A$49,0)),0,1)</f>
        <v>0</v>
      </c>
      <c r="S695" s="42" t="n">
        <f aca="false">IF(ISNUMBER(MATCH(B695,Calendar!$A$2:$A$25,0)),0,1)</f>
        <v>0</v>
      </c>
      <c r="T695" s="42" t="n">
        <f aca="false">IF(COUNTIF(Sales_Transactions!$A$2:$A$865,A695)&gt;1,1,0)</f>
        <v>0</v>
      </c>
      <c r="U695" s="42" t="n">
        <f aca="false">IF(OR(ABS(Sales_Transactions!F695*Sales_Transactions!G695-Sales_Transactions!I695)&gt;0.01,ABS(Sales_Transactions!F695*Sales_Transactions!H695-Sales_Transactions!J695)&gt;0.01,ABS(Sales_Transactions!I695-Sales_Transactions!J695-Sales_Transactions!K695)&gt;0.01),1,0)</f>
        <v>0</v>
      </c>
      <c r="V695" s="42" t="n">
        <f aca="false">IF(C695&lt;&gt;L695,1,0)</f>
        <v>0</v>
      </c>
      <c r="W695" s="42" t="n">
        <f aca="false">IF(SUM(Q695:V695)&gt;0,1,0)</f>
        <v>0</v>
      </c>
    </row>
    <row r="696" customFormat="false" ht="15" hidden="false" customHeight="false" outlineLevel="0" collapsed="false">
      <c r="A696" s="42" t="str">
        <f aca="false">Sales_Transactions!A696</f>
        <v>INV-20-011</v>
      </c>
      <c r="B696" s="42" t="str">
        <f aca="false">Sales_Transactions!B696</f>
        <v>2026-08</v>
      </c>
      <c r="C696" s="42" t="str">
        <f aca="false">Sales_Transactions!C696</f>
        <v>Actual</v>
      </c>
      <c r="D696" s="42" t="str">
        <f aca="false">Sales_Transactions!D696</f>
        <v>C032</v>
      </c>
      <c r="E696" s="42" t="str">
        <f aca="false">Sales_Transactions!E696</f>
        <v>P006</v>
      </c>
      <c r="F696" s="42" t="str">
        <f aca="false">IFERROR(INDEX(Customer_Master!$C$2:$C$49,MATCH(D696,Customer_Master!$A$2:$A$49,0)),"UNMATCHED")</f>
        <v>East</v>
      </c>
      <c r="G696" s="42" t="str">
        <f aca="false">IFERROR(INDEX(Customer_Master!$D$2:$D$49,MATCH(D696,Customer_Master!$A$2:$A$49,0)),"UNMATCHED")</f>
        <v>Modern Trade</v>
      </c>
      <c r="H696" s="42" t="str">
        <f aca="false">IFERROR(INDEX(Product_Master!$C$2:$C$9,MATCH(E696,Product_Master!$A$2:$A$9,0)),"UNMATCHED")</f>
        <v>Foods</v>
      </c>
      <c r="I696" s="42" t="str">
        <f aca="false">IFERROR(INDEX(Product_Master!$B$2:$B$9,MATCH(E696,Product_Master!$A$2:$A$9,0)),"UNMATCHED")</f>
        <v>Breakfast Cereal</v>
      </c>
      <c r="J696" s="42" t="n">
        <f aca="false">IFERROR(INDEX(Calendar!$B$2:$B$25,MATCH(B696,Calendar!$A$2:$A$25,0)),0)</f>
        <v>2026</v>
      </c>
      <c r="K696" s="42" t="n">
        <f aca="false">IFERROR(VALUE(RIGHT(B696,2)),0)</f>
        <v>8</v>
      </c>
      <c r="L696" s="42" t="str">
        <f aca="false">IFERROR(INDEX(Calendar!$E$2:$E$25,MATCH(B696,Calendar!$A$2:$A$25,0)),"UNMATCHED")</f>
        <v>Actual</v>
      </c>
      <c r="M696" s="42" t="n">
        <f aca="false">Sales_Transactions!F696</f>
        <v>363</v>
      </c>
      <c r="N696" s="52" t="n">
        <f aca="false">Sales_Transactions!I696</f>
        <v>88691.79</v>
      </c>
      <c r="O696" s="52" t="n">
        <f aca="false">Sales_Transactions!J696</f>
        <v>60406.83</v>
      </c>
      <c r="P696" s="52" t="n">
        <f aca="false">Sales_Transactions!K696</f>
        <v>28284.96</v>
      </c>
      <c r="Q696" s="42" t="n">
        <f aca="false">IF(ISNUMBER(MATCH(E696,Product_Master!$A$2:$A$9,0)),0,1)</f>
        <v>0</v>
      </c>
      <c r="R696" s="42" t="n">
        <f aca="false">IF(ISNUMBER(MATCH(D696,Customer_Master!$A$2:$A$49,0)),0,1)</f>
        <v>0</v>
      </c>
      <c r="S696" s="42" t="n">
        <f aca="false">IF(ISNUMBER(MATCH(B696,Calendar!$A$2:$A$25,0)),0,1)</f>
        <v>0</v>
      </c>
      <c r="T696" s="42" t="n">
        <f aca="false">IF(COUNTIF(Sales_Transactions!$A$2:$A$865,A696)&gt;1,1,0)</f>
        <v>0</v>
      </c>
      <c r="U696" s="42" t="n">
        <f aca="false">IF(OR(ABS(Sales_Transactions!F696*Sales_Transactions!G696-Sales_Transactions!I696)&gt;0.01,ABS(Sales_Transactions!F696*Sales_Transactions!H696-Sales_Transactions!J696)&gt;0.01,ABS(Sales_Transactions!I696-Sales_Transactions!J696-Sales_Transactions!K696)&gt;0.01),1,0)</f>
        <v>0</v>
      </c>
      <c r="V696" s="42" t="n">
        <f aca="false">IF(C696&lt;&gt;L696,1,0)</f>
        <v>0</v>
      </c>
      <c r="W696" s="42" t="n">
        <f aca="false">IF(SUM(Q696:V696)&gt;0,1,0)</f>
        <v>0</v>
      </c>
    </row>
    <row r="697" customFormat="false" ht="15" hidden="false" customHeight="false" outlineLevel="0" collapsed="false">
      <c r="A697" s="42" t="str">
        <f aca="false">Sales_Transactions!A697</f>
        <v>INV-20-012</v>
      </c>
      <c r="B697" s="42" t="str">
        <f aca="false">Sales_Transactions!B697</f>
        <v>2026-08</v>
      </c>
      <c r="C697" s="42" t="str">
        <f aca="false">Sales_Transactions!C697</f>
        <v>Actual</v>
      </c>
      <c r="D697" s="42" t="str">
        <f aca="false">Sales_Transactions!D697</f>
        <v>C039</v>
      </c>
      <c r="E697" s="42" t="str">
        <f aca="false">Sales_Transactions!E697</f>
        <v>P003</v>
      </c>
      <c r="F697" s="42" t="str">
        <f aca="false">IFERROR(INDEX(Customer_Master!$C$2:$C$49,MATCH(D697,Customer_Master!$A$2:$A$49,0)),"UNMATCHED")</f>
        <v>West</v>
      </c>
      <c r="G697" s="42" t="str">
        <f aca="false">IFERROR(INDEX(Customer_Master!$D$2:$D$49,MATCH(D697,Customer_Master!$A$2:$A$49,0)),"UNMATCHED")</f>
        <v>Retail</v>
      </c>
      <c r="H697" s="42" t="str">
        <f aca="false">IFERROR(INDEX(Product_Master!$C$2:$C$9,MATCH(E697,Product_Master!$A$2:$A$9,0)),"UNMATCHED")</f>
        <v>Personal Care</v>
      </c>
      <c r="I697" s="42" t="str">
        <f aca="false">IFERROR(INDEX(Product_Master!$B$2:$B$9,MATCH(E697,Product_Master!$A$2:$A$9,0)),"UNMATCHED")</f>
        <v>Shampoo 400ml</v>
      </c>
      <c r="J697" s="42" t="n">
        <f aca="false">IFERROR(INDEX(Calendar!$B$2:$B$25,MATCH(B697,Calendar!$A$2:$A$25,0)),0)</f>
        <v>2026</v>
      </c>
      <c r="K697" s="42" t="n">
        <f aca="false">IFERROR(VALUE(RIGHT(B697,2)),0)</f>
        <v>8</v>
      </c>
      <c r="L697" s="42" t="str">
        <f aca="false">IFERROR(INDEX(Calendar!$E$2:$E$25,MATCH(B697,Calendar!$A$2:$A$25,0)),"UNMATCHED")</f>
        <v>Actual</v>
      </c>
      <c r="M697" s="42" t="n">
        <f aca="false">Sales_Transactions!F697</f>
        <v>153</v>
      </c>
      <c r="N697" s="52" t="n">
        <f aca="false">Sales_Transactions!I697</f>
        <v>42867.54</v>
      </c>
      <c r="O697" s="52" t="n">
        <f aca="false">Sales_Transactions!J697</f>
        <v>26585.28</v>
      </c>
      <c r="P697" s="52" t="n">
        <f aca="false">Sales_Transactions!K697</f>
        <v>16282.26</v>
      </c>
      <c r="Q697" s="42" t="n">
        <f aca="false">IF(ISNUMBER(MATCH(E697,Product_Master!$A$2:$A$9,0)),0,1)</f>
        <v>0</v>
      </c>
      <c r="R697" s="42" t="n">
        <f aca="false">IF(ISNUMBER(MATCH(D697,Customer_Master!$A$2:$A$49,0)),0,1)</f>
        <v>0</v>
      </c>
      <c r="S697" s="42" t="n">
        <f aca="false">IF(ISNUMBER(MATCH(B697,Calendar!$A$2:$A$25,0)),0,1)</f>
        <v>0</v>
      </c>
      <c r="T697" s="42" t="n">
        <f aca="false">IF(COUNTIF(Sales_Transactions!$A$2:$A$865,A697)&gt;1,1,0)</f>
        <v>0</v>
      </c>
      <c r="U697" s="42" t="n">
        <f aca="false">IF(OR(ABS(Sales_Transactions!F697*Sales_Transactions!G697-Sales_Transactions!I697)&gt;0.01,ABS(Sales_Transactions!F697*Sales_Transactions!H697-Sales_Transactions!J697)&gt;0.01,ABS(Sales_Transactions!I697-Sales_Transactions!J697-Sales_Transactions!K697)&gt;0.01),1,0)</f>
        <v>0</v>
      </c>
      <c r="V697" s="42" t="n">
        <f aca="false">IF(C697&lt;&gt;L697,1,0)</f>
        <v>0</v>
      </c>
      <c r="W697" s="42" t="n">
        <f aca="false">IF(SUM(Q697:V697)&gt;0,1,0)</f>
        <v>0</v>
      </c>
    </row>
    <row r="698" customFormat="false" ht="15" hidden="false" customHeight="false" outlineLevel="0" collapsed="false">
      <c r="A698" s="42" t="str">
        <f aca="false">Sales_Transactions!A698</f>
        <v>INV-20-013</v>
      </c>
      <c r="B698" s="42" t="str">
        <f aca="false">Sales_Transactions!B698</f>
        <v>2026-08</v>
      </c>
      <c r="C698" s="42" t="str">
        <f aca="false">Sales_Transactions!C698</f>
        <v>Actual</v>
      </c>
      <c r="D698" s="42" t="str">
        <f aca="false">Sales_Transactions!D698</f>
        <v>C046</v>
      </c>
      <c r="E698" s="42" t="str">
        <f aca="false">Sales_Transactions!E698</f>
        <v>P008</v>
      </c>
      <c r="F698" s="42" t="str">
        <f aca="false">IFERROR(INDEX(Customer_Master!$C$2:$C$49,MATCH(D698,Customer_Master!$A$2:$A$49,0)),"UNMATCHED")</f>
        <v>North</v>
      </c>
      <c r="G698" s="42" t="str">
        <f aca="false">IFERROR(INDEX(Customer_Master!$D$2:$D$49,MATCH(D698,Customer_Master!$A$2:$A$49,0)),"UNMATCHED")</f>
        <v>Distributor</v>
      </c>
      <c r="H698" s="42" t="str">
        <f aca="false">IFERROR(INDEX(Product_Master!$C$2:$C$9,MATCH(E698,Product_Master!$A$2:$A$9,0)),"UNMATCHED")</f>
        <v>Personal Care</v>
      </c>
      <c r="I698" s="42" t="str">
        <f aca="false">IFERROR(INDEX(Product_Master!$B$2:$B$9,MATCH(E698,Product_Master!$A$2:$A$9,0)),"UNMATCHED")</f>
        <v>Body Lotion</v>
      </c>
      <c r="J698" s="42" t="n">
        <f aca="false">IFERROR(INDEX(Calendar!$B$2:$B$25,MATCH(B698,Calendar!$A$2:$A$25,0)),0)</f>
        <v>2026</v>
      </c>
      <c r="K698" s="42" t="n">
        <f aca="false">IFERROR(VALUE(RIGHT(B698,2)),0)</f>
        <v>8</v>
      </c>
      <c r="L698" s="42" t="str">
        <f aca="false">IFERROR(INDEX(Calendar!$E$2:$E$25,MATCH(B698,Calendar!$A$2:$A$25,0)),"UNMATCHED")</f>
        <v>Actual</v>
      </c>
      <c r="M698" s="42" t="n">
        <f aca="false">Sales_Transactions!F698</f>
        <v>183</v>
      </c>
      <c r="N698" s="52" t="n">
        <f aca="false">Sales_Transactions!I698</f>
        <v>59185.86</v>
      </c>
      <c r="O698" s="52" t="n">
        <f aca="false">Sales_Transactions!J698</f>
        <v>36955.02</v>
      </c>
      <c r="P698" s="52" t="n">
        <f aca="false">Sales_Transactions!K698</f>
        <v>22230.84</v>
      </c>
      <c r="Q698" s="42" t="n">
        <f aca="false">IF(ISNUMBER(MATCH(E698,Product_Master!$A$2:$A$9,0)),0,1)</f>
        <v>0</v>
      </c>
      <c r="R698" s="42" t="n">
        <f aca="false">IF(ISNUMBER(MATCH(D698,Customer_Master!$A$2:$A$49,0)),0,1)</f>
        <v>0</v>
      </c>
      <c r="S698" s="42" t="n">
        <f aca="false">IF(ISNUMBER(MATCH(B698,Calendar!$A$2:$A$25,0)),0,1)</f>
        <v>0</v>
      </c>
      <c r="T698" s="42" t="n">
        <f aca="false">IF(COUNTIF(Sales_Transactions!$A$2:$A$865,A698)&gt;1,1,0)</f>
        <v>0</v>
      </c>
      <c r="U698" s="42" t="n">
        <f aca="false">IF(OR(ABS(Sales_Transactions!F698*Sales_Transactions!G698-Sales_Transactions!I698)&gt;0.01,ABS(Sales_Transactions!F698*Sales_Transactions!H698-Sales_Transactions!J698)&gt;0.01,ABS(Sales_Transactions!I698-Sales_Transactions!J698-Sales_Transactions!K698)&gt;0.01),1,0)</f>
        <v>0</v>
      </c>
      <c r="V698" s="42" t="n">
        <f aca="false">IF(C698&lt;&gt;L698,1,0)</f>
        <v>0</v>
      </c>
      <c r="W698" s="42" t="n">
        <f aca="false">IF(SUM(Q698:V698)&gt;0,1,0)</f>
        <v>0</v>
      </c>
    </row>
    <row r="699" customFormat="false" ht="15" hidden="false" customHeight="false" outlineLevel="0" collapsed="false">
      <c r="A699" s="42" t="str">
        <f aca="false">Sales_Transactions!A699</f>
        <v>INV-20-014</v>
      </c>
      <c r="B699" s="42" t="str">
        <f aca="false">Sales_Transactions!B699</f>
        <v>2026-08</v>
      </c>
      <c r="C699" s="42" t="str">
        <f aca="false">Sales_Transactions!C699</f>
        <v>Actual</v>
      </c>
      <c r="D699" s="42" t="str">
        <f aca="false">Sales_Transactions!D699</f>
        <v>C005</v>
      </c>
      <c r="E699" s="42" t="str">
        <f aca="false">Sales_Transactions!E699</f>
        <v>P005</v>
      </c>
      <c r="F699" s="42" t="str">
        <f aca="false">IFERROR(INDEX(Customer_Master!$C$2:$C$49,MATCH(D699,Customer_Master!$A$2:$A$49,0)),"UNMATCHED")</f>
        <v>South</v>
      </c>
      <c r="G699" s="42" t="str">
        <f aca="false">IFERROR(INDEX(Customer_Master!$D$2:$D$49,MATCH(D699,Customer_Master!$A$2:$A$49,0)),"UNMATCHED")</f>
        <v>Modern Trade</v>
      </c>
      <c r="H699" s="42" t="str">
        <f aca="false">IFERROR(INDEX(Product_Master!$C$2:$C$9,MATCH(E699,Product_Master!$A$2:$A$9,0)),"UNMATCHED")</f>
        <v>Foods</v>
      </c>
      <c r="I699" s="42" t="str">
        <f aca="false">IFERROR(INDEX(Product_Master!$B$2:$B$9,MATCH(E699,Product_Master!$A$2:$A$9,0)),"UNMATCHED")</f>
        <v>Biscuits 500g</v>
      </c>
      <c r="J699" s="42" t="n">
        <f aca="false">IFERROR(INDEX(Calendar!$B$2:$B$25,MATCH(B699,Calendar!$A$2:$A$25,0)),0)</f>
        <v>2026</v>
      </c>
      <c r="K699" s="42" t="n">
        <f aca="false">IFERROR(VALUE(RIGHT(B699,2)),0)</f>
        <v>8</v>
      </c>
      <c r="L699" s="42" t="str">
        <f aca="false">IFERROR(INDEX(Calendar!$E$2:$E$25,MATCH(B699,Calendar!$A$2:$A$25,0)),"UNMATCHED")</f>
        <v>Actual</v>
      </c>
      <c r="M699" s="42" t="n">
        <f aca="false">Sales_Transactions!F699</f>
        <v>459</v>
      </c>
      <c r="N699" s="52" t="n">
        <f aca="false">Sales_Transactions!I699</f>
        <v>47947.14</v>
      </c>
      <c r="O699" s="52" t="n">
        <f aca="false">Sales_Transactions!J699</f>
        <v>30473.01</v>
      </c>
      <c r="P699" s="52" t="n">
        <f aca="false">Sales_Transactions!K699</f>
        <v>17474.13</v>
      </c>
      <c r="Q699" s="42" t="n">
        <f aca="false">IF(ISNUMBER(MATCH(E699,Product_Master!$A$2:$A$9,0)),0,1)</f>
        <v>0</v>
      </c>
      <c r="R699" s="42" t="n">
        <f aca="false">IF(ISNUMBER(MATCH(D699,Customer_Master!$A$2:$A$49,0)),0,1)</f>
        <v>0</v>
      </c>
      <c r="S699" s="42" t="n">
        <f aca="false">IF(ISNUMBER(MATCH(B699,Calendar!$A$2:$A$25,0)),0,1)</f>
        <v>0</v>
      </c>
      <c r="T699" s="42" t="n">
        <f aca="false">IF(COUNTIF(Sales_Transactions!$A$2:$A$865,A699)&gt;1,1,0)</f>
        <v>0</v>
      </c>
      <c r="U699" s="42" t="n">
        <f aca="false">IF(OR(ABS(Sales_Transactions!F699*Sales_Transactions!G699-Sales_Transactions!I699)&gt;0.01,ABS(Sales_Transactions!F699*Sales_Transactions!H699-Sales_Transactions!J699)&gt;0.01,ABS(Sales_Transactions!I699-Sales_Transactions!J699-Sales_Transactions!K699)&gt;0.01),1,0)</f>
        <v>0</v>
      </c>
      <c r="V699" s="42" t="n">
        <f aca="false">IF(C699&lt;&gt;L699,1,0)</f>
        <v>0</v>
      </c>
      <c r="W699" s="42" t="n">
        <f aca="false">IF(SUM(Q699:V699)&gt;0,1,0)</f>
        <v>0</v>
      </c>
    </row>
    <row r="700" customFormat="false" ht="15" hidden="false" customHeight="false" outlineLevel="0" collapsed="false">
      <c r="A700" s="42" t="str">
        <f aca="false">Sales_Transactions!A700</f>
        <v>INV-20-015</v>
      </c>
      <c r="B700" s="42" t="str">
        <f aca="false">Sales_Transactions!B700</f>
        <v>2026-08</v>
      </c>
      <c r="C700" s="42" t="str">
        <f aca="false">Sales_Transactions!C700</f>
        <v>Actual</v>
      </c>
      <c r="D700" s="42" t="str">
        <f aca="false">Sales_Transactions!D700</f>
        <v>C012</v>
      </c>
      <c r="E700" s="42" t="str">
        <f aca="false">Sales_Transactions!E700</f>
        <v>P002</v>
      </c>
      <c r="F700" s="42" t="str">
        <f aca="false">IFERROR(INDEX(Customer_Master!$C$2:$C$49,MATCH(D700,Customer_Master!$A$2:$A$49,0)),"UNMATCHED")</f>
        <v>East</v>
      </c>
      <c r="G700" s="42" t="str">
        <f aca="false">IFERROR(INDEX(Customer_Master!$D$2:$D$49,MATCH(D700,Customer_Master!$A$2:$A$49,0)),"UNMATCHED")</f>
        <v>Retail</v>
      </c>
      <c r="H700" s="42" t="str">
        <f aca="false">IFERROR(INDEX(Product_Master!$C$2:$C$9,MATCH(E700,Product_Master!$A$2:$A$9,0)),"UNMATCHED")</f>
        <v>Home Care</v>
      </c>
      <c r="I700" s="42" t="str">
        <f aca="false">IFERROR(INDEX(Product_Master!$B$2:$B$9,MATCH(E700,Product_Master!$A$2:$A$9,0)),"UNMATCHED")</f>
        <v>Dishwash Gel</v>
      </c>
      <c r="J700" s="42" t="n">
        <f aca="false">IFERROR(INDEX(Calendar!$B$2:$B$25,MATCH(B700,Calendar!$A$2:$A$25,0)),0)</f>
        <v>2026</v>
      </c>
      <c r="K700" s="42" t="n">
        <f aca="false">IFERROR(VALUE(RIGHT(B700,2)),0)</f>
        <v>8</v>
      </c>
      <c r="L700" s="42" t="str">
        <f aca="false">IFERROR(INDEX(Calendar!$E$2:$E$25,MATCH(B700,Calendar!$A$2:$A$25,0)),"UNMATCHED")</f>
        <v>Actual</v>
      </c>
      <c r="M700" s="42" t="n">
        <f aca="false">Sales_Transactions!F700</f>
        <v>180</v>
      </c>
      <c r="N700" s="52" t="n">
        <f aca="false">Sales_Transactions!I700</f>
        <v>23277.6</v>
      </c>
      <c r="O700" s="52" t="n">
        <f aca="false">Sales_Transactions!J700</f>
        <v>14767.2</v>
      </c>
      <c r="P700" s="52" t="n">
        <f aca="false">Sales_Transactions!K700</f>
        <v>8510.4</v>
      </c>
      <c r="Q700" s="42" t="n">
        <f aca="false">IF(ISNUMBER(MATCH(E700,Product_Master!$A$2:$A$9,0)),0,1)</f>
        <v>0</v>
      </c>
      <c r="R700" s="42" t="n">
        <f aca="false">IF(ISNUMBER(MATCH(D700,Customer_Master!$A$2:$A$49,0)),0,1)</f>
        <v>0</v>
      </c>
      <c r="S700" s="42" t="n">
        <f aca="false">IF(ISNUMBER(MATCH(B700,Calendar!$A$2:$A$25,0)),0,1)</f>
        <v>0</v>
      </c>
      <c r="T700" s="42" t="n">
        <f aca="false">IF(COUNTIF(Sales_Transactions!$A$2:$A$865,A700)&gt;1,1,0)</f>
        <v>0</v>
      </c>
      <c r="U700" s="42" t="n">
        <f aca="false">IF(OR(ABS(Sales_Transactions!F700*Sales_Transactions!G700-Sales_Transactions!I700)&gt;0.01,ABS(Sales_Transactions!F700*Sales_Transactions!H700-Sales_Transactions!J700)&gt;0.01,ABS(Sales_Transactions!I700-Sales_Transactions!J700-Sales_Transactions!K700)&gt;0.01),1,0)</f>
        <v>0</v>
      </c>
      <c r="V700" s="42" t="n">
        <f aca="false">IF(C700&lt;&gt;L700,1,0)</f>
        <v>0</v>
      </c>
      <c r="W700" s="42" t="n">
        <f aca="false">IF(SUM(Q700:V700)&gt;0,1,0)</f>
        <v>0</v>
      </c>
    </row>
    <row r="701" customFormat="false" ht="15" hidden="false" customHeight="false" outlineLevel="0" collapsed="false">
      <c r="A701" s="42" t="str">
        <f aca="false">Sales_Transactions!A701</f>
        <v>INV-20-016</v>
      </c>
      <c r="B701" s="42" t="str">
        <f aca="false">Sales_Transactions!B701</f>
        <v>2026-08</v>
      </c>
      <c r="C701" s="42" t="str">
        <f aca="false">Sales_Transactions!C701</f>
        <v>Actual</v>
      </c>
      <c r="D701" s="42" t="str">
        <f aca="false">Sales_Transactions!D701</f>
        <v>C019</v>
      </c>
      <c r="E701" s="42" t="str">
        <f aca="false">Sales_Transactions!E701</f>
        <v>P007</v>
      </c>
      <c r="F701" s="42" t="str">
        <f aca="false">IFERROR(INDEX(Customer_Master!$C$2:$C$49,MATCH(D701,Customer_Master!$A$2:$A$49,0)),"UNMATCHED")</f>
        <v>West</v>
      </c>
      <c r="G701" s="42" t="str">
        <f aca="false">IFERROR(INDEX(Customer_Master!$D$2:$D$49,MATCH(D701,Customer_Master!$A$2:$A$49,0)),"UNMATCHED")</f>
        <v>Distributor</v>
      </c>
      <c r="H701" s="42" t="str">
        <f aca="false">IFERROR(INDEX(Product_Master!$C$2:$C$9,MATCH(E701,Product_Master!$A$2:$A$9,0)),"UNMATCHED")</f>
        <v>Home Care</v>
      </c>
      <c r="I701" s="42" t="str">
        <f aca="false">IFERROR(INDEX(Product_Master!$B$2:$B$9,MATCH(E701,Product_Master!$A$2:$A$9,0)),"UNMATCHED")</f>
        <v>Floor Cleaner</v>
      </c>
      <c r="J701" s="42" t="n">
        <f aca="false">IFERROR(INDEX(Calendar!$B$2:$B$25,MATCH(B701,Calendar!$A$2:$A$25,0)),0)</f>
        <v>2026</v>
      </c>
      <c r="K701" s="42" t="n">
        <f aca="false">IFERROR(VALUE(RIGHT(B701,2)),0)</f>
        <v>8</v>
      </c>
      <c r="L701" s="42" t="str">
        <f aca="false">IFERROR(INDEX(Calendar!$E$2:$E$25,MATCH(B701,Calendar!$A$2:$A$25,0)),"UNMATCHED")</f>
        <v>Actual</v>
      </c>
      <c r="M701" s="42" t="n">
        <f aca="false">Sales_Transactions!F701</f>
        <v>236</v>
      </c>
      <c r="N701" s="52" t="n">
        <f aca="false">Sales_Transactions!I701</f>
        <v>43216.32</v>
      </c>
      <c r="O701" s="52" t="n">
        <f aca="false">Sales_Transactions!J701</f>
        <v>27777.2</v>
      </c>
      <c r="P701" s="52" t="n">
        <f aca="false">Sales_Transactions!K701</f>
        <v>15439.12</v>
      </c>
      <c r="Q701" s="42" t="n">
        <f aca="false">IF(ISNUMBER(MATCH(E701,Product_Master!$A$2:$A$9,0)),0,1)</f>
        <v>0</v>
      </c>
      <c r="R701" s="42" t="n">
        <f aca="false">IF(ISNUMBER(MATCH(D701,Customer_Master!$A$2:$A$49,0)),0,1)</f>
        <v>0</v>
      </c>
      <c r="S701" s="42" t="n">
        <f aca="false">IF(ISNUMBER(MATCH(B701,Calendar!$A$2:$A$25,0)),0,1)</f>
        <v>0</v>
      </c>
      <c r="T701" s="42" t="n">
        <f aca="false">IF(COUNTIF(Sales_Transactions!$A$2:$A$865,A701)&gt;1,1,0)</f>
        <v>0</v>
      </c>
      <c r="U701" s="42" t="n">
        <f aca="false">IF(OR(ABS(Sales_Transactions!F701*Sales_Transactions!G701-Sales_Transactions!I701)&gt;0.01,ABS(Sales_Transactions!F701*Sales_Transactions!H701-Sales_Transactions!J701)&gt;0.01,ABS(Sales_Transactions!I701-Sales_Transactions!J701-Sales_Transactions!K701)&gt;0.01),1,0)</f>
        <v>0</v>
      </c>
      <c r="V701" s="42" t="n">
        <f aca="false">IF(C701&lt;&gt;L701,1,0)</f>
        <v>0</v>
      </c>
      <c r="W701" s="42" t="n">
        <f aca="false">IF(SUM(Q701:V701)&gt;0,1,0)</f>
        <v>0</v>
      </c>
    </row>
    <row r="702" customFormat="false" ht="15" hidden="false" customHeight="false" outlineLevel="0" collapsed="false">
      <c r="A702" s="42" t="str">
        <f aca="false">Sales_Transactions!A702</f>
        <v>INV-20-017</v>
      </c>
      <c r="B702" s="42" t="str">
        <f aca="false">Sales_Transactions!B702</f>
        <v>2026-08</v>
      </c>
      <c r="C702" s="42" t="str">
        <f aca="false">Sales_Transactions!C702</f>
        <v>Actual</v>
      </c>
      <c r="D702" s="42" t="str">
        <f aca="false">Sales_Transactions!D702</f>
        <v>C026</v>
      </c>
      <c r="E702" s="42" t="str">
        <f aca="false">Sales_Transactions!E702</f>
        <v>P004</v>
      </c>
      <c r="F702" s="42" t="str">
        <f aca="false">IFERROR(INDEX(Customer_Master!$C$2:$C$49,MATCH(D702,Customer_Master!$A$2:$A$49,0)),"UNMATCHED")</f>
        <v>North</v>
      </c>
      <c r="G702" s="42" t="str">
        <f aca="false">IFERROR(INDEX(Customer_Master!$D$2:$D$49,MATCH(D702,Customer_Master!$A$2:$A$49,0)),"UNMATCHED")</f>
        <v>Modern Trade</v>
      </c>
      <c r="H702" s="42" t="str">
        <f aca="false">IFERROR(INDEX(Product_Master!$C$2:$C$9,MATCH(E702,Product_Master!$A$2:$A$9,0)),"UNMATCHED")</f>
        <v>Personal Care</v>
      </c>
      <c r="I702" s="42" t="str">
        <f aca="false">IFERROR(INDEX(Product_Master!$B$2:$B$9,MATCH(E702,Product_Master!$A$2:$A$9,0)),"UNMATCHED")</f>
        <v>Soap 4-pack</v>
      </c>
      <c r="J702" s="42" t="n">
        <f aca="false">IFERROR(INDEX(Calendar!$B$2:$B$25,MATCH(B702,Calendar!$A$2:$A$25,0)),0)</f>
        <v>2026</v>
      </c>
      <c r="K702" s="42" t="n">
        <f aca="false">IFERROR(VALUE(RIGHT(B702,2)),0)</f>
        <v>8</v>
      </c>
      <c r="L702" s="42" t="str">
        <f aca="false">IFERROR(INDEX(Calendar!$E$2:$E$25,MATCH(B702,Calendar!$A$2:$A$25,0)),"UNMATCHED")</f>
        <v>Actual</v>
      </c>
      <c r="M702" s="42" t="n">
        <f aca="false">Sales_Transactions!F702</f>
        <v>174</v>
      </c>
      <c r="N702" s="52" t="n">
        <f aca="false">Sales_Transactions!I702</f>
        <v>29519.1</v>
      </c>
      <c r="O702" s="52" t="n">
        <f aca="false">Sales_Transactions!J702</f>
        <v>17316.48</v>
      </c>
      <c r="P702" s="52" t="n">
        <f aca="false">Sales_Transactions!K702</f>
        <v>12202.62</v>
      </c>
      <c r="Q702" s="42" t="n">
        <f aca="false">IF(ISNUMBER(MATCH(E702,Product_Master!$A$2:$A$9,0)),0,1)</f>
        <v>0</v>
      </c>
      <c r="R702" s="42" t="n">
        <f aca="false">IF(ISNUMBER(MATCH(D702,Customer_Master!$A$2:$A$49,0)),0,1)</f>
        <v>0</v>
      </c>
      <c r="S702" s="42" t="n">
        <f aca="false">IF(ISNUMBER(MATCH(B702,Calendar!$A$2:$A$25,0)),0,1)</f>
        <v>0</v>
      </c>
      <c r="T702" s="42" t="n">
        <f aca="false">IF(COUNTIF(Sales_Transactions!$A$2:$A$865,A702)&gt;1,1,0)</f>
        <v>0</v>
      </c>
      <c r="U702" s="42" t="n">
        <f aca="false">IF(OR(ABS(Sales_Transactions!F702*Sales_Transactions!G702-Sales_Transactions!I702)&gt;0.01,ABS(Sales_Transactions!F702*Sales_Transactions!H702-Sales_Transactions!J702)&gt;0.01,ABS(Sales_Transactions!I702-Sales_Transactions!J702-Sales_Transactions!K702)&gt;0.01),1,0)</f>
        <v>0</v>
      </c>
      <c r="V702" s="42" t="n">
        <f aca="false">IF(C702&lt;&gt;L702,1,0)</f>
        <v>0</v>
      </c>
      <c r="W702" s="42" t="n">
        <f aca="false">IF(SUM(Q702:V702)&gt;0,1,0)</f>
        <v>0</v>
      </c>
    </row>
    <row r="703" customFormat="false" ht="15" hidden="false" customHeight="false" outlineLevel="0" collapsed="false">
      <c r="A703" s="42" t="str">
        <f aca="false">Sales_Transactions!A703</f>
        <v>INV-20-018</v>
      </c>
      <c r="B703" s="42" t="str">
        <f aca="false">Sales_Transactions!B703</f>
        <v>2026-08</v>
      </c>
      <c r="C703" s="42" t="str">
        <f aca="false">Sales_Transactions!C703</f>
        <v>Actual</v>
      </c>
      <c r="D703" s="42" t="str">
        <f aca="false">Sales_Transactions!D703</f>
        <v>C033</v>
      </c>
      <c r="E703" s="42" t="str">
        <f aca="false">Sales_Transactions!E703</f>
        <v>P001</v>
      </c>
      <c r="F703" s="42" t="str">
        <f aca="false">IFERROR(INDEX(Customer_Master!$C$2:$C$49,MATCH(D703,Customer_Master!$A$2:$A$49,0)),"UNMATCHED")</f>
        <v>South</v>
      </c>
      <c r="G703" s="42" t="str">
        <f aca="false">IFERROR(INDEX(Customer_Master!$D$2:$D$49,MATCH(D703,Customer_Master!$A$2:$A$49,0)),"UNMATCHED")</f>
        <v>Retail</v>
      </c>
      <c r="H703" s="42" t="str">
        <f aca="false">IFERROR(INDEX(Product_Master!$C$2:$C$9,MATCH(E703,Product_Master!$A$2:$A$9,0)),"UNMATCHED")</f>
        <v>Home Care</v>
      </c>
      <c r="I703" s="42" t="str">
        <f aca="false">IFERROR(INDEX(Product_Master!$B$2:$B$9,MATCH(E703,Product_Master!$A$2:$A$9,0)),"UNMATCHED")</f>
        <v>Detergent 1kg</v>
      </c>
      <c r="J703" s="42" t="n">
        <f aca="false">IFERROR(INDEX(Calendar!$B$2:$B$25,MATCH(B703,Calendar!$A$2:$A$25,0)),0)</f>
        <v>2026</v>
      </c>
      <c r="K703" s="42" t="n">
        <f aca="false">IFERROR(VALUE(RIGHT(B703,2)),0)</f>
        <v>8</v>
      </c>
      <c r="L703" s="42" t="str">
        <f aca="false">IFERROR(INDEX(Calendar!$E$2:$E$25,MATCH(B703,Calendar!$A$2:$A$25,0)),"UNMATCHED")</f>
        <v>Actual</v>
      </c>
      <c r="M703" s="42" t="n">
        <f aca="false">Sales_Transactions!F703</f>
        <v>292</v>
      </c>
      <c r="N703" s="52" t="n">
        <f aca="false">Sales_Transactions!I703</f>
        <v>61168.16</v>
      </c>
      <c r="O703" s="52" t="n">
        <f aca="false">Sales_Transactions!J703</f>
        <v>39384.96</v>
      </c>
      <c r="P703" s="52" t="n">
        <f aca="false">Sales_Transactions!K703</f>
        <v>21783.2</v>
      </c>
      <c r="Q703" s="42" t="n">
        <f aca="false">IF(ISNUMBER(MATCH(E703,Product_Master!$A$2:$A$9,0)),0,1)</f>
        <v>0</v>
      </c>
      <c r="R703" s="42" t="n">
        <f aca="false">IF(ISNUMBER(MATCH(D703,Customer_Master!$A$2:$A$49,0)),0,1)</f>
        <v>0</v>
      </c>
      <c r="S703" s="42" t="n">
        <f aca="false">IF(ISNUMBER(MATCH(B703,Calendar!$A$2:$A$25,0)),0,1)</f>
        <v>0</v>
      </c>
      <c r="T703" s="42" t="n">
        <f aca="false">IF(COUNTIF(Sales_Transactions!$A$2:$A$865,A703)&gt;1,1,0)</f>
        <v>0</v>
      </c>
      <c r="U703" s="42" t="n">
        <f aca="false">IF(OR(ABS(Sales_Transactions!F703*Sales_Transactions!G703-Sales_Transactions!I703)&gt;0.01,ABS(Sales_Transactions!F703*Sales_Transactions!H703-Sales_Transactions!J703)&gt;0.01,ABS(Sales_Transactions!I703-Sales_Transactions!J703-Sales_Transactions!K703)&gt;0.01),1,0)</f>
        <v>0</v>
      </c>
      <c r="V703" s="42" t="n">
        <f aca="false">IF(C703&lt;&gt;L703,1,0)</f>
        <v>0</v>
      </c>
      <c r="W703" s="42" t="n">
        <f aca="false">IF(SUM(Q703:V703)&gt;0,1,0)</f>
        <v>0</v>
      </c>
    </row>
    <row r="704" customFormat="false" ht="15" hidden="false" customHeight="false" outlineLevel="0" collapsed="false">
      <c r="A704" s="42" t="str">
        <f aca="false">Sales_Transactions!A704</f>
        <v>INV-20-019</v>
      </c>
      <c r="B704" s="42" t="str">
        <f aca="false">Sales_Transactions!B704</f>
        <v>2026-08</v>
      </c>
      <c r="C704" s="42" t="str">
        <f aca="false">Sales_Transactions!C704</f>
        <v>Actual</v>
      </c>
      <c r="D704" s="42" t="str">
        <f aca="false">Sales_Transactions!D704</f>
        <v>C040</v>
      </c>
      <c r="E704" s="42" t="str">
        <f aca="false">Sales_Transactions!E704</f>
        <v>P006</v>
      </c>
      <c r="F704" s="42" t="str">
        <f aca="false">IFERROR(INDEX(Customer_Master!$C$2:$C$49,MATCH(D704,Customer_Master!$A$2:$A$49,0)),"UNMATCHED")</f>
        <v>East</v>
      </c>
      <c r="G704" s="42" t="str">
        <f aca="false">IFERROR(INDEX(Customer_Master!$D$2:$D$49,MATCH(D704,Customer_Master!$A$2:$A$49,0)),"UNMATCHED")</f>
        <v>Distributor</v>
      </c>
      <c r="H704" s="42" t="str">
        <f aca="false">IFERROR(INDEX(Product_Master!$C$2:$C$9,MATCH(E704,Product_Master!$A$2:$A$9,0)),"UNMATCHED")</f>
        <v>Foods</v>
      </c>
      <c r="I704" s="42" t="str">
        <f aca="false">IFERROR(INDEX(Product_Master!$B$2:$B$9,MATCH(E704,Product_Master!$A$2:$A$9,0)),"UNMATCHED")</f>
        <v>Breakfast Cereal</v>
      </c>
      <c r="J704" s="42" t="n">
        <f aca="false">IFERROR(INDEX(Calendar!$B$2:$B$25,MATCH(B704,Calendar!$A$2:$A$25,0)),0)</f>
        <v>2026</v>
      </c>
      <c r="K704" s="42" t="n">
        <f aca="false">IFERROR(VALUE(RIGHT(B704,2)),0)</f>
        <v>8</v>
      </c>
      <c r="L704" s="42" t="str">
        <f aca="false">IFERROR(INDEX(Calendar!$E$2:$E$25,MATCH(B704,Calendar!$A$2:$A$25,0)),"UNMATCHED")</f>
        <v>Actual</v>
      </c>
      <c r="M704" s="42" t="n">
        <f aca="false">Sales_Transactions!F704</f>
        <v>129</v>
      </c>
      <c r="N704" s="52" t="n">
        <f aca="false">Sales_Transactions!I704</f>
        <v>30990.96</v>
      </c>
      <c r="O704" s="52" t="n">
        <f aca="false">Sales_Transactions!J704</f>
        <v>19549.95</v>
      </c>
      <c r="P704" s="52" t="n">
        <f aca="false">Sales_Transactions!K704</f>
        <v>11441.01</v>
      </c>
      <c r="Q704" s="42" t="n">
        <f aca="false">IF(ISNUMBER(MATCH(E704,Product_Master!$A$2:$A$9,0)),0,1)</f>
        <v>0</v>
      </c>
      <c r="R704" s="42" t="n">
        <f aca="false">IF(ISNUMBER(MATCH(D704,Customer_Master!$A$2:$A$49,0)),0,1)</f>
        <v>0</v>
      </c>
      <c r="S704" s="42" t="n">
        <f aca="false">IF(ISNUMBER(MATCH(B704,Calendar!$A$2:$A$25,0)),0,1)</f>
        <v>0</v>
      </c>
      <c r="T704" s="42" t="n">
        <f aca="false">IF(COUNTIF(Sales_Transactions!$A$2:$A$865,A704)&gt;1,1,0)</f>
        <v>0</v>
      </c>
      <c r="U704" s="42" t="n">
        <f aca="false">IF(OR(ABS(Sales_Transactions!F704*Sales_Transactions!G704-Sales_Transactions!I704)&gt;0.01,ABS(Sales_Transactions!F704*Sales_Transactions!H704-Sales_Transactions!J704)&gt;0.01,ABS(Sales_Transactions!I704-Sales_Transactions!J704-Sales_Transactions!K704)&gt;0.01),1,0)</f>
        <v>0</v>
      </c>
      <c r="V704" s="42" t="n">
        <f aca="false">IF(C704&lt;&gt;L704,1,0)</f>
        <v>0</v>
      </c>
      <c r="W704" s="42" t="n">
        <f aca="false">IF(SUM(Q704:V704)&gt;0,1,0)</f>
        <v>0</v>
      </c>
    </row>
    <row r="705" customFormat="false" ht="15" hidden="false" customHeight="false" outlineLevel="0" collapsed="false">
      <c r="A705" s="42" t="str">
        <f aca="false">Sales_Transactions!A705</f>
        <v>INV-20-020</v>
      </c>
      <c r="B705" s="42" t="str">
        <f aca="false">Sales_Transactions!B705</f>
        <v>2026-08</v>
      </c>
      <c r="C705" s="42" t="str">
        <f aca="false">Sales_Transactions!C705</f>
        <v>Actual</v>
      </c>
      <c r="D705" s="42" t="str">
        <f aca="false">Sales_Transactions!D705</f>
        <v>C047</v>
      </c>
      <c r="E705" s="42" t="str">
        <f aca="false">Sales_Transactions!E705</f>
        <v>P003</v>
      </c>
      <c r="F705" s="42" t="str">
        <f aca="false">IFERROR(INDEX(Customer_Master!$C$2:$C$49,MATCH(D705,Customer_Master!$A$2:$A$49,0)),"UNMATCHED")</f>
        <v>West</v>
      </c>
      <c r="G705" s="42" t="str">
        <f aca="false">IFERROR(INDEX(Customer_Master!$D$2:$D$49,MATCH(D705,Customer_Master!$A$2:$A$49,0)),"UNMATCHED")</f>
        <v>Modern Trade</v>
      </c>
      <c r="H705" s="42" t="str">
        <f aca="false">IFERROR(INDEX(Product_Master!$C$2:$C$9,MATCH(E705,Product_Master!$A$2:$A$9,0)),"UNMATCHED")</f>
        <v>Personal Care</v>
      </c>
      <c r="I705" s="42" t="str">
        <f aca="false">IFERROR(INDEX(Product_Master!$B$2:$B$9,MATCH(E705,Product_Master!$A$2:$A$9,0)),"UNMATCHED")</f>
        <v>Shampoo 400ml</v>
      </c>
      <c r="J705" s="42" t="n">
        <f aca="false">IFERROR(INDEX(Calendar!$B$2:$B$25,MATCH(B705,Calendar!$A$2:$A$25,0)),0)</f>
        <v>2026</v>
      </c>
      <c r="K705" s="42" t="n">
        <f aca="false">IFERROR(VALUE(RIGHT(B705,2)),0)</f>
        <v>8</v>
      </c>
      <c r="L705" s="42" t="str">
        <f aca="false">IFERROR(INDEX(Calendar!$E$2:$E$25,MATCH(B705,Calendar!$A$2:$A$25,0)),"UNMATCHED")</f>
        <v>Actual</v>
      </c>
      <c r="M705" s="42" t="n">
        <f aca="false">Sales_Transactions!F705</f>
        <v>156</v>
      </c>
      <c r="N705" s="52" t="n">
        <f aca="false">Sales_Transactions!I705</f>
        <v>41586.48</v>
      </c>
      <c r="O705" s="52" t="n">
        <f aca="false">Sales_Transactions!J705</f>
        <v>28604.16</v>
      </c>
      <c r="P705" s="52" t="n">
        <f aca="false">Sales_Transactions!K705</f>
        <v>12982.32</v>
      </c>
      <c r="Q705" s="42" t="n">
        <f aca="false">IF(ISNUMBER(MATCH(E705,Product_Master!$A$2:$A$9,0)),0,1)</f>
        <v>0</v>
      </c>
      <c r="R705" s="42" t="n">
        <f aca="false">IF(ISNUMBER(MATCH(D705,Customer_Master!$A$2:$A$49,0)),0,1)</f>
        <v>0</v>
      </c>
      <c r="S705" s="42" t="n">
        <f aca="false">IF(ISNUMBER(MATCH(B705,Calendar!$A$2:$A$25,0)),0,1)</f>
        <v>0</v>
      </c>
      <c r="T705" s="42" t="n">
        <f aca="false">IF(COUNTIF(Sales_Transactions!$A$2:$A$865,A705)&gt;1,1,0)</f>
        <v>0</v>
      </c>
      <c r="U705" s="42" t="n">
        <f aca="false">IF(OR(ABS(Sales_Transactions!F705*Sales_Transactions!G705-Sales_Transactions!I705)&gt;0.01,ABS(Sales_Transactions!F705*Sales_Transactions!H705-Sales_Transactions!J705)&gt;0.01,ABS(Sales_Transactions!I705-Sales_Transactions!J705-Sales_Transactions!K705)&gt;0.01),1,0)</f>
        <v>0</v>
      </c>
      <c r="V705" s="42" t="n">
        <f aca="false">IF(C705&lt;&gt;L705,1,0)</f>
        <v>0</v>
      </c>
      <c r="W705" s="42" t="n">
        <f aca="false">IF(SUM(Q705:V705)&gt;0,1,0)</f>
        <v>0</v>
      </c>
    </row>
    <row r="706" customFormat="false" ht="15" hidden="false" customHeight="false" outlineLevel="0" collapsed="false">
      <c r="A706" s="42" t="str">
        <f aca="false">Sales_Transactions!A706</f>
        <v>INV-20-021</v>
      </c>
      <c r="B706" s="42" t="str">
        <f aca="false">Sales_Transactions!B706</f>
        <v>2026-08</v>
      </c>
      <c r="C706" s="42" t="str">
        <f aca="false">Sales_Transactions!C706</f>
        <v>Actual</v>
      </c>
      <c r="D706" s="42" t="str">
        <f aca="false">Sales_Transactions!D706</f>
        <v>C006</v>
      </c>
      <c r="E706" s="42" t="str">
        <f aca="false">Sales_Transactions!E706</f>
        <v>P008</v>
      </c>
      <c r="F706" s="42" t="str">
        <f aca="false">IFERROR(INDEX(Customer_Master!$C$2:$C$49,MATCH(D706,Customer_Master!$A$2:$A$49,0)),"UNMATCHED")</f>
        <v>North</v>
      </c>
      <c r="G706" s="42" t="str">
        <f aca="false">IFERROR(INDEX(Customer_Master!$D$2:$D$49,MATCH(D706,Customer_Master!$A$2:$A$49,0)),"UNMATCHED")</f>
        <v>Retail</v>
      </c>
      <c r="H706" s="42" t="str">
        <f aca="false">IFERROR(INDEX(Product_Master!$C$2:$C$9,MATCH(E706,Product_Master!$A$2:$A$9,0)),"UNMATCHED")</f>
        <v>Personal Care</v>
      </c>
      <c r="I706" s="42" t="str">
        <f aca="false">IFERROR(INDEX(Product_Master!$B$2:$B$9,MATCH(E706,Product_Master!$A$2:$A$9,0)),"UNMATCHED")</f>
        <v>Body Lotion</v>
      </c>
      <c r="J706" s="42" t="n">
        <f aca="false">IFERROR(INDEX(Calendar!$B$2:$B$25,MATCH(B706,Calendar!$A$2:$A$25,0)),0)</f>
        <v>2026</v>
      </c>
      <c r="K706" s="42" t="n">
        <f aca="false">IFERROR(VALUE(RIGHT(B706,2)),0)</f>
        <v>8</v>
      </c>
      <c r="L706" s="42" t="str">
        <f aca="false">IFERROR(INDEX(Calendar!$E$2:$E$25,MATCH(B706,Calendar!$A$2:$A$25,0)),"UNMATCHED")</f>
        <v>Actual</v>
      </c>
      <c r="M706" s="42" t="n">
        <f aca="false">Sales_Transactions!F706</f>
        <v>88</v>
      </c>
      <c r="N706" s="52" t="n">
        <f aca="false">Sales_Transactions!I706</f>
        <v>26423.76</v>
      </c>
      <c r="O706" s="52" t="n">
        <f aca="false">Sales_Transactions!J706</f>
        <v>17567.44</v>
      </c>
      <c r="P706" s="52" t="n">
        <f aca="false">Sales_Transactions!K706</f>
        <v>8856.32</v>
      </c>
      <c r="Q706" s="42" t="n">
        <f aca="false">IF(ISNUMBER(MATCH(E706,Product_Master!$A$2:$A$9,0)),0,1)</f>
        <v>0</v>
      </c>
      <c r="R706" s="42" t="n">
        <f aca="false">IF(ISNUMBER(MATCH(D706,Customer_Master!$A$2:$A$49,0)),0,1)</f>
        <v>0</v>
      </c>
      <c r="S706" s="42" t="n">
        <f aca="false">IF(ISNUMBER(MATCH(B706,Calendar!$A$2:$A$25,0)),0,1)</f>
        <v>0</v>
      </c>
      <c r="T706" s="42" t="n">
        <f aca="false">IF(COUNTIF(Sales_Transactions!$A$2:$A$865,A706)&gt;1,1,0)</f>
        <v>0</v>
      </c>
      <c r="U706" s="42" t="n">
        <f aca="false">IF(OR(ABS(Sales_Transactions!F706*Sales_Transactions!G706-Sales_Transactions!I706)&gt;0.01,ABS(Sales_Transactions!F706*Sales_Transactions!H706-Sales_Transactions!J706)&gt;0.01,ABS(Sales_Transactions!I706-Sales_Transactions!J706-Sales_Transactions!K706)&gt;0.01),1,0)</f>
        <v>0</v>
      </c>
      <c r="V706" s="42" t="n">
        <f aca="false">IF(C706&lt;&gt;L706,1,0)</f>
        <v>0</v>
      </c>
      <c r="W706" s="42" t="n">
        <f aca="false">IF(SUM(Q706:V706)&gt;0,1,0)</f>
        <v>0</v>
      </c>
    </row>
    <row r="707" customFormat="false" ht="15" hidden="false" customHeight="false" outlineLevel="0" collapsed="false">
      <c r="A707" s="42" t="str">
        <f aca="false">Sales_Transactions!A707</f>
        <v>INV-20-022</v>
      </c>
      <c r="B707" s="42" t="str">
        <f aca="false">Sales_Transactions!B707</f>
        <v>2026-08</v>
      </c>
      <c r="C707" s="42" t="str">
        <f aca="false">Sales_Transactions!C707</f>
        <v>Actual</v>
      </c>
      <c r="D707" s="42" t="str">
        <f aca="false">Sales_Transactions!D707</f>
        <v>C013</v>
      </c>
      <c r="E707" s="42" t="str">
        <f aca="false">Sales_Transactions!E707</f>
        <v>P005</v>
      </c>
      <c r="F707" s="42" t="str">
        <f aca="false">IFERROR(INDEX(Customer_Master!$C$2:$C$49,MATCH(D707,Customer_Master!$A$2:$A$49,0)),"UNMATCHED")</f>
        <v>South</v>
      </c>
      <c r="G707" s="42" t="str">
        <f aca="false">IFERROR(INDEX(Customer_Master!$D$2:$D$49,MATCH(D707,Customer_Master!$A$2:$A$49,0)),"UNMATCHED")</f>
        <v>Distributor</v>
      </c>
      <c r="H707" s="42" t="str">
        <f aca="false">IFERROR(INDEX(Product_Master!$C$2:$C$9,MATCH(E707,Product_Master!$A$2:$A$9,0)),"UNMATCHED")</f>
        <v>Foods</v>
      </c>
      <c r="I707" s="42" t="str">
        <f aca="false">IFERROR(INDEX(Product_Master!$B$2:$B$9,MATCH(E707,Product_Master!$A$2:$A$9,0)),"UNMATCHED")</f>
        <v>Biscuits 500g</v>
      </c>
      <c r="J707" s="42" t="n">
        <f aca="false">IFERROR(INDEX(Calendar!$B$2:$B$25,MATCH(B707,Calendar!$A$2:$A$25,0)),0)</f>
        <v>2026</v>
      </c>
      <c r="K707" s="42" t="n">
        <f aca="false">IFERROR(VALUE(RIGHT(B707,2)),0)</f>
        <v>8</v>
      </c>
      <c r="L707" s="42" t="str">
        <f aca="false">IFERROR(INDEX(Calendar!$E$2:$E$25,MATCH(B707,Calendar!$A$2:$A$25,0)),"UNMATCHED")</f>
        <v>Actual</v>
      </c>
      <c r="M707" s="42" t="n">
        <f aca="false">Sales_Transactions!F707</f>
        <v>221</v>
      </c>
      <c r="N707" s="52" t="n">
        <f aca="false">Sales_Transactions!I707</f>
        <v>24650.34</v>
      </c>
      <c r="O707" s="52" t="n">
        <f aca="false">Sales_Transactions!J707</f>
        <v>14751.75</v>
      </c>
      <c r="P707" s="52" t="n">
        <f aca="false">Sales_Transactions!K707</f>
        <v>9898.59</v>
      </c>
      <c r="Q707" s="42" t="n">
        <f aca="false">IF(ISNUMBER(MATCH(E707,Product_Master!$A$2:$A$9,0)),0,1)</f>
        <v>0</v>
      </c>
      <c r="R707" s="42" t="n">
        <f aca="false">IF(ISNUMBER(MATCH(D707,Customer_Master!$A$2:$A$49,0)),0,1)</f>
        <v>0</v>
      </c>
      <c r="S707" s="42" t="n">
        <f aca="false">IF(ISNUMBER(MATCH(B707,Calendar!$A$2:$A$25,0)),0,1)</f>
        <v>0</v>
      </c>
      <c r="T707" s="42" t="n">
        <f aca="false">IF(COUNTIF(Sales_Transactions!$A$2:$A$865,A707)&gt;1,1,0)</f>
        <v>0</v>
      </c>
      <c r="U707" s="42" t="n">
        <f aca="false">IF(OR(ABS(Sales_Transactions!F707*Sales_Transactions!G707-Sales_Transactions!I707)&gt;0.01,ABS(Sales_Transactions!F707*Sales_Transactions!H707-Sales_Transactions!J707)&gt;0.01,ABS(Sales_Transactions!I707-Sales_Transactions!J707-Sales_Transactions!K707)&gt;0.01),1,0)</f>
        <v>0</v>
      </c>
      <c r="V707" s="42" t="n">
        <f aca="false">IF(C707&lt;&gt;L707,1,0)</f>
        <v>0</v>
      </c>
      <c r="W707" s="42" t="n">
        <f aca="false">IF(SUM(Q707:V707)&gt;0,1,0)</f>
        <v>0</v>
      </c>
    </row>
    <row r="708" customFormat="false" ht="15" hidden="false" customHeight="false" outlineLevel="0" collapsed="false">
      <c r="A708" s="42" t="str">
        <f aca="false">Sales_Transactions!A708</f>
        <v>INV-20-023</v>
      </c>
      <c r="B708" s="42" t="str">
        <f aca="false">Sales_Transactions!B708</f>
        <v>2026-08</v>
      </c>
      <c r="C708" s="42" t="str">
        <f aca="false">Sales_Transactions!C708</f>
        <v>Actual</v>
      </c>
      <c r="D708" s="42" t="str">
        <f aca="false">Sales_Transactions!D708</f>
        <v>C020</v>
      </c>
      <c r="E708" s="42" t="str">
        <f aca="false">Sales_Transactions!E708</f>
        <v>P002</v>
      </c>
      <c r="F708" s="42" t="str">
        <f aca="false">IFERROR(INDEX(Customer_Master!$C$2:$C$49,MATCH(D708,Customer_Master!$A$2:$A$49,0)),"UNMATCHED")</f>
        <v>East</v>
      </c>
      <c r="G708" s="42" t="str">
        <f aca="false">IFERROR(INDEX(Customer_Master!$D$2:$D$49,MATCH(D708,Customer_Master!$A$2:$A$49,0)),"UNMATCHED")</f>
        <v>Modern Trade</v>
      </c>
      <c r="H708" s="42" t="str">
        <f aca="false">IFERROR(INDEX(Product_Master!$C$2:$C$9,MATCH(E708,Product_Master!$A$2:$A$9,0)),"UNMATCHED")</f>
        <v>Home Care</v>
      </c>
      <c r="I708" s="42" t="str">
        <f aca="false">IFERROR(INDEX(Product_Master!$B$2:$B$9,MATCH(E708,Product_Master!$A$2:$A$9,0)),"UNMATCHED")</f>
        <v>Dishwash Gel</v>
      </c>
      <c r="J708" s="42" t="n">
        <f aca="false">IFERROR(INDEX(Calendar!$B$2:$B$25,MATCH(B708,Calendar!$A$2:$A$25,0)),0)</f>
        <v>2026</v>
      </c>
      <c r="K708" s="42" t="n">
        <f aca="false">IFERROR(VALUE(RIGHT(B708,2)),0)</f>
        <v>8</v>
      </c>
      <c r="L708" s="42" t="str">
        <f aca="false">IFERROR(INDEX(Calendar!$E$2:$E$25,MATCH(B708,Calendar!$A$2:$A$25,0)),"UNMATCHED")</f>
        <v>Actual</v>
      </c>
      <c r="M708" s="42" t="n">
        <f aca="false">Sales_Transactions!F708</f>
        <v>455</v>
      </c>
      <c r="N708" s="52" t="n">
        <f aca="false">Sales_Transactions!I708</f>
        <v>63631.75</v>
      </c>
      <c r="O708" s="52" t="n">
        <f aca="false">Sales_Transactions!J708</f>
        <v>36986.95</v>
      </c>
      <c r="P708" s="52" t="n">
        <f aca="false">Sales_Transactions!K708</f>
        <v>26644.8</v>
      </c>
      <c r="Q708" s="42" t="n">
        <f aca="false">IF(ISNUMBER(MATCH(E708,Product_Master!$A$2:$A$9,0)),0,1)</f>
        <v>0</v>
      </c>
      <c r="R708" s="42" t="n">
        <f aca="false">IF(ISNUMBER(MATCH(D708,Customer_Master!$A$2:$A$49,0)),0,1)</f>
        <v>0</v>
      </c>
      <c r="S708" s="42" t="n">
        <f aca="false">IF(ISNUMBER(MATCH(B708,Calendar!$A$2:$A$25,0)),0,1)</f>
        <v>0</v>
      </c>
      <c r="T708" s="42" t="n">
        <f aca="false">IF(COUNTIF(Sales_Transactions!$A$2:$A$865,A708)&gt;1,1,0)</f>
        <v>0</v>
      </c>
      <c r="U708" s="42" t="n">
        <f aca="false">IF(OR(ABS(Sales_Transactions!F708*Sales_Transactions!G708-Sales_Transactions!I708)&gt;0.01,ABS(Sales_Transactions!F708*Sales_Transactions!H708-Sales_Transactions!J708)&gt;0.01,ABS(Sales_Transactions!I708-Sales_Transactions!J708-Sales_Transactions!K708)&gt;0.01),1,0)</f>
        <v>0</v>
      </c>
      <c r="V708" s="42" t="n">
        <f aca="false">IF(C708&lt;&gt;L708,1,0)</f>
        <v>0</v>
      </c>
      <c r="W708" s="42" t="n">
        <f aca="false">IF(SUM(Q708:V708)&gt;0,1,0)</f>
        <v>0</v>
      </c>
    </row>
    <row r="709" customFormat="false" ht="15" hidden="false" customHeight="false" outlineLevel="0" collapsed="false">
      <c r="A709" s="42" t="str">
        <f aca="false">Sales_Transactions!A709</f>
        <v>INV-20-024</v>
      </c>
      <c r="B709" s="42" t="str">
        <f aca="false">Sales_Transactions!B709</f>
        <v>2026-08</v>
      </c>
      <c r="C709" s="42" t="str">
        <f aca="false">Sales_Transactions!C709</f>
        <v>Actual</v>
      </c>
      <c r="D709" s="42" t="str">
        <f aca="false">Sales_Transactions!D709</f>
        <v>C027</v>
      </c>
      <c r="E709" s="42" t="str">
        <f aca="false">Sales_Transactions!E709</f>
        <v>P007</v>
      </c>
      <c r="F709" s="42" t="str">
        <f aca="false">IFERROR(INDEX(Customer_Master!$C$2:$C$49,MATCH(D709,Customer_Master!$A$2:$A$49,0)),"UNMATCHED")</f>
        <v>West</v>
      </c>
      <c r="G709" s="42" t="str">
        <f aca="false">IFERROR(INDEX(Customer_Master!$D$2:$D$49,MATCH(D709,Customer_Master!$A$2:$A$49,0)),"UNMATCHED")</f>
        <v>Retail</v>
      </c>
      <c r="H709" s="42" t="str">
        <f aca="false">IFERROR(INDEX(Product_Master!$C$2:$C$9,MATCH(E709,Product_Master!$A$2:$A$9,0)),"UNMATCHED")</f>
        <v>Home Care</v>
      </c>
      <c r="I709" s="42" t="str">
        <f aca="false">IFERROR(INDEX(Product_Master!$B$2:$B$9,MATCH(E709,Product_Master!$A$2:$A$9,0)),"UNMATCHED")</f>
        <v>Floor Cleaner</v>
      </c>
      <c r="J709" s="42" t="n">
        <f aca="false">IFERROR(INDEX(Calendar!$B$2:$B$25,MATCH(B709,Calendar!$A$2:$A$25,0)),0)</f>
        <v>2026</v>
      </c>
      <c r="K709" s="42" t="n">
        <f aca="false">IFERROR(VALUE(RIGHT(B709,2)),0)</f>
        <v>8</v>
      </c>
      <c r="L709" s="42" t="str">
        <f aca="false">IFERROR(INDEX(Calendar!$E$2:$E$25,MATCH(B709,Calendar!$A$2:$A$25,0)),"UNMATCHED")</f>
        <v>Actual</v>
      </c>
      <c r="M709" s="42" t="n">
        <f aca="false">Sales_Transactions!F709</f>
        <v>269</v>
      </c>
      <c r="N709" s="52" t="n">
        <f aca="false">Sales_Transactions!I709</f>
        <v>50090.49</v>
      </c>
      <c r="O709" s="52" t="n">
        <f aca="false">Sales_Transactions!J709</f>
        <v>29146.15</v>
      </c>
      <c r="P709" s="52" t="n">
        <f aca="false">Sales_Transactions!K709</f>
        <v>20944.34</v>
      </c>
      <c r="Q709" s="42" t="n">
        <f aca="false">IF(ISNUMBER(MATCH(E709,Product_Master!$A$2:$A$9,0)),0,1)</f>
        <v>0</v>
      </c>
      <c r="R709" s="42" t="n">
        <f aca="false">IF(ISNUMBER(MATCH(D709,Customer_Master!$A$2:$A$49,0)),0,1)</f>
        <v>0</v>
      </c>
      <c r="S709" s="42" t="n">
        <f aca="false">IF(ISNUMBER(MATCH(B709,Calendar!$A$2:$A$25,0)),0,1)</f>
        <v>0</v>
      </c>
      <c r="T709" s="42" t="n">
        <f aca="false">IF(COUNTIF(Sales_Transactions!$A$2:$A$865,A709)&gt;1,1,0)</f>
        <v>0</v>
      </c>
      <c r="U709" s="42" t="n">
        <f aca="false">IF(OR(ABS(Sales_Transactions!F709*Sales_Transactions!G709-Sales_Transactions!I709)&gt;0.01,ABS(Sales_Transactions!F709*Sales_Transactions!H709-Sales_Transactions!J709)&gt;0.01,ABS(Sales_Transactions!I709-Sales_Transactions!J709-Sales_Transactions!K709)&gt;0.01),1,0)</f>
        <v>0</v>
      </c>
      <c r="V709" s="42" t="n">
        <f aca="false">IF(C709&lt;&gt;L709,1,0)</f>
        <v>0</v>
      </c>
      <c r="W709" s="42" t="n">
        <f aca="false">IF(SUM(Q709:V709)&gt;0,1,0)</f>
        <v>0</v>
      </c>
    </row>
    <row r="710" customFormat="false" ht="15" hidden="false" customHeight="false" outlineLevel="0" collapsed="false">
      <c r="A710" s="42" t="str">
        <f aca="false">Sales_Transactions!A710</f>
        <v>INV-20-025</v>
      </c>
      <c r="B710" s="42" t="str">
        <f aca="false">Sales_Transactions!B710</f>
        <v>2026-08</v>
      </c>
      <c r="C710" s="42" t="str">
        <f aca="false">Sales_Transactions!C710</f>
        <v>Actual</v>
      </c>
      <c r="D710" s="42" t="str">
        <f aca="false">Sales_Transactions!D710</f>
        <v>C034</v>
      </c>
      <c r="E710" s="42" t="str">
        <f aca="false">Sales_Transactions!E710</f>
        <v>P004</v>
      </c>
      <c r="F710" s="42" t="str">
        <f aca="false">IFERROR(INDEX(Customer_Master!$C$2:$C$49,MATCH(D710,Customer_Master!$A$2:$A$49,0)),"UNMATCHED")</f>
        <v>North</v>
      </c>
      <c r="G710" s="42" t="str">
        <f aca="false">IFERROR(INDEX(Customer_Master!$D$2:$D$49,MATCH(D710,Customer_Master!$A$2:$A$49,0)),"UNMATCHED")</f>
        <v>Distributor</v>
      </c>
      <c r="H710" s="42" t="str">
        <f aca="false">IFERROR(INDEX(Product_Master!$C$2:$C$9,MATCH(E710,Product_Master!$A$2:$A$9,0)),"UNMATCHED")</f>
        <v>Personal Care</v>
      </c>
      <c r="I710" s="42" t="str">
        <f aca="false">IFERROR(INDEX(Product_Master!$B$2:$B$9,MATCH(E710,Product_Master!$A$2:$A$9,0)),"UNMATCHED")</f>
        <v>Soap 4-pack</v>
      </c>
      <c r="J710" s="42" t="n">
        <f aca="false">IFERROR(INDEX(Calendar!$B$2:$B$25,MATCH(B710,Calendar!$A$2:$A$25,0)),0)</f>
        <v>2026</v>
      </c>
      <c r="K710" s="42" t="n">
        <f aca="false">IFERROR(VALUE(RIGHT(B710,2)),0)</f>
        <v>8</v>
      </c>
      <c r="L710" s="42" t="str">
        <f aca="false">IFERROR(INDEX(Calendar!$E$2:$E$25,MATCH(B710,Calendar!$A$2:$A$25,0)),"UNMATCHED")</f>
        <v>Actual</v>
      </c>
      <c r="M710" s="42" t="n">
        <f aca="false">Sales_Transactions!F710</f>
        <v>145</v>
      </c>
      <c r="N710" s="52" t="n">
        <f aca="false">Sales_Transactions!I710</f>
        <v>24119.3</v>
      </c>
      <c r="O710" s="52" t="n">
        <f aca="false">Sales_Transactions!J710</f>
        <v>13630</v>
      </c>
      <c r="P710" s="52" t="n">
        <f aca="false">Sales_Transactions!K710</f>
        <v>10489.3</v>
      </c>
      <c r="Q710" s="42" t="n">
        <f aca="false">IF(ISNUMBER(MATCH(E710,Product_Master!$A$2:$A$9,0)),0,1)</f>
        <v>0</v>
      </c>
      <c r="R710" s="42" t="n">
        <f aca="false">IF(ISNUMBER(MATCH(D710,Customer_Master!$A$2:$A$49,0)),0,1)</f>
        <v>0</v>
      </c>
      <c r="S710" s="42" t="n">
        <f aca="false">IF(ISNUMBER(MATCH(B710,Calendar!$A$2:$A$25,0)),0,1)</f>
        <v>0</v>
      </c>
      <c r="T710" s="42" t="n">
        <f aca="false">IF(COUNTIF(Sales_Transactions!$A$2:$A$865,A710)&gt;1,1,0)</f>
        <v>0</v>
      </c>
      <c r="U710" s="42" t="n">
        <f aca="false">IF(OR(ABS(Sales_Transactions!F710*Sales_Transactions!G710-Sales_Transactions!I710)&gt;0.01,ABS(Sales_Transactions!F710*Sales_Transactions!H710-Sales_Transactions!J710)&gt;0.01,ABS(Sales_Transactions!I710-Sales_Transactions!J710-Sales_Transactions!K710)&gt;0.01),1,0)</f>
        <v>0</v>
      </c>
      <c r="V710" s="42" t="n">
        <f aca="false">IF(C710&lt;&gt;L710,1,0)</f>
        <v>0</v>
      </c>
      <c r="W710" s="42" t="n">
        <f aca="false">IF(SUM(Q710:V710)&gt;0,1,0)</f>
        <v>0</v>
      </c>
    </row>
    <row r="711" customFormat="false" ht="15" hidden="false" customHeight="false" outlineLevel="0" collapsed="false">
      <c r="A711" s="42" t="str">
        <f aca="false">Sales_Transactions!A711</f>
        <v>INV-20-026</v>
      </c>
      <c r="B711" s="42" t="str">
        <f aca="false">Sales_Transactions!B711</f>
        <v>2026-08</v>
      </c>
      <c r="C711" s="42" t="str">
        <f aca="false">Sales_Transactions!C711</f>
        <v>Actual</v>
      </c>
      <c r="D711" s="42" t="str">
        <f aca="false">Sales_Transactions!D711</f>
        <v>C041</v>
      </c>
      <c r="E711" s="42" t="str">
        <f aca="false">Sales_Transactions!E711</f>
        <v>P001</v>
      </c>
      <c r="F711" s="42" t="str">
        <f aca="false">IFERROR(INDEX(Customer_Master!$C$2:$C$49,MATCH(D711,Customer_Master!$A$2:$A$49,0)),"UNMATCHED")</f>
        <v>South</v>
      </c>
      <c r="G711" s="42" t="str">
        <f aca="false">IFERROR(INDEX(Customer_Master!$D$2:$D$49,MATCH(D711,Customer_Master!$A$2:$A$49,0)),"UNMATCHED")</f>
        <v>Modern Trade</v>
      </c>
      <c r="H711" s="42" t="str">
        <f aca="false">IFERROR(INDEX(Product_Master!$C$2:$C$9,MATCH(E711,Product_Master!$A$2:$A$9,0)),"UNMATCHED")</f>
        <v>Home Care</v>
      </c>
      <c r="I711" s="42" t="str">
        <f aca="false">IFERROR(INDEX(Product_Master!$B$2:$B$9,MATCH(E711,Product_Master!$A$2:$A$9,0)),"UNMATCHED")</f>
        <v>Detergent 1kg</v>
      </c>
      <c r="J711" s="42" t="n">
        <f aca="false">IFERROR(INDEX(Calendar!$B$2:$B$25,MATCH(B711,Calendar!$A$2:$A$25,0)),0)</f>
        <v>2026</v>
      </c>
      <c r="K711" s="42" t="n">
        <f aca="false">IFERROR(VALUE(RIGHT(B711,2)),0)</f>
        <v>8</v>
      </c>
      <c r="L711" s="42" t="str">
        <f aca="false">IFERROR(INDEX(Calendar!$E$2:$E$25,MATCH(B711,Calendar!$A$2:$A$25,0)),"UNMATCHED")</f>
        <v>Actual</v>
      </c>
      <c r="M711" s="42" t="n">
        <f aca="false">Sales_Transactions!F711</f>
        <v>436</v>
      </c>
      <c r="N711" s="52" t="n">
        <f aca="false">Sales_Transactions!I711</f>
        <v>87470.32</v>
      </c>
      <c r="O711" s="52" t="n">
        <f aca="false">Sales_Transactions!J711</f>
        <v>61432.4</v>
      </c>
      <c r="P711" s="52" t="n">
        <f aca="false">Sales_Transactions!K711</f>
        <v>26037.92</v>
      </c>
      <c r="Q711" s="42" t="n">
        <f aca="false">IF(ISNUMBER(MATCH(E711,Product_Master!$A$2:$A$9,0)),0,1)</f>
        <v>0</v>
      </c>
      <c r="R711" s="42" t="n">
        <f aca="false">IF(ISNUMBER(MATCH(D711,Customer_Master!$A$2:$A$49,0)),0,1)</f>
        <v>0</v>
      </c>
      <c r="S711" s="42" t="n">
        <f aca="false">IF(ISNUMBER(MATCH(B711,Calendar!$A$2:$A$25,0)),0,1)</f>
        <v>0</v>
      </c>
      <c r="T711" s="42" t="n">
        <f aca="false">IF(COUNTIF(Sales_Transactions!$A$2:$A$865,A711)&gt;1,1,0)</f>
        <v>0</v>
      </c>
      <c r="U711" s="42" t="n">
        <f aca="false">IF(OR(ABS(Sales_Transactions!F711*Sales_Transactions!G711-Sales_Transactions!I711)&gt;0.01,ABS(Sales_Transactions!F711*Sales_Transactions!H711-Sales_Transactions!J711)&gt;0.01,ABS(Sales_Transactions!I711-Sales_Transactions!J711-Sales_Transactions!K711)&gt;0.01),1,0)</f>
        <v>0</v>
      </c>
      <c r="V711" s="42" t="n">
        <f aca="false">IF(C711&lt;&gt;L711,1,0)</f>
        <v>0</v>
      </c>
      <c r="W711" s="42" t="n">
        <f aca="false">IF(SUM(Q711:V711)&gt;0,1,0)</f>
        <v>0</v>
      </c>
    </row>
    <row r="712" customFormat="false" ht="15" hidden="false" customHeight="false" outlineLevel="0" collapsed="false">
      <c r="A712" s="42" t="str">
        <f aca="false">Sales_Transactions!A712</f>
        <v>INV-20-027</v>
      </c>
      <c r="B712" s="42" t="str">
        <f aca="false">Sales_Transactions!B712</f>
        <v>2026-08</v>
      </c>
      <c r="C712" s="42" t="str">
        <f aca="false">Sales_Transactions!C712</f>
        <v>Actual</v>
      </c>
      <c r="D712" s="42" t="str">
        <f aca="false">Sales_Transactions!D712</f>
        <v>C048</v>
      </c>
      <c r="E712" s="42" t="str">
        <f aca="false">Sales_Transactions!E712</f>
        <v>P006</v>
      </c>
      <c r="F712" s="42" t="str">
        <f aca="false">IFERROR(INDEX(Customer_Master!$C$2:$C$49,MATCH(D712,Customer_Master!$A$2:$A$49,0)),"UNMATCHED")</f>
        <v>East</v>
      </c>
      <c r="G712" s="42" t="str">
        <f aca="false">IFERROR(INDEX(Customer_Master!$D$2:$D$49,MATCH(D712,Customer_Master!$A$2:$A$49,0)),"UNMATCHED")</f>
        <v>Retail</v>
      </c>
      <c r="H712" s="42" t="str">
        <f aca="false">IFERROR(INDEX(Product_Master!$C$2:$C$9,MATCH(E712,Product_Master!$A$2:$A$9,0)),"UNMATCHED")</f>
        <v>Foods</v>
      </c>
      <c r="I712" s="42" t="str">
        <f aca="false">IFERROR(INDEX(Product_Master!$B$2:$B$9,MATCH(E712,Product_Master!$A$2:$A$9,0)),"UNMATCHED")</f>
        <v>Breakfast Cereal</v>
      </c>
      <c r="J712" s="42" t="n">
        <f aca="false">IFERROR(INDEX(Calendar!$B$2:$B$25,MATCH(B712,Calendar!$A$2:$A$25,0)),0)</f>
        <v>2026</v>
      </c>
      <c r="K712" s="42" t="n">
        <f aca="false">IFERROR(VALUE(RIGHT(B712,2)),0)</f>
        <v>8</v>
      </c>
      <c r="L712" s="42" t="str">
        <f aca="false">IFERROR(INDEX(Calendar!$E$2:$E$25,MATCH(B712,Calendar!$A$2:$A$25,0)),"UNMATCHED")</f>
        <v>Actual</v>
      </c>
      <c r="M712" s="42" t="n">
        <f aca="false">Sales_Transactions!F712</f>
        <v>445</v>
      </c>
      <c r="N712" s="52" t="n">
        <f aca="false">Sales_Transactions!I712</f>
        <v>112349.15</v>
      </c>
      <c r="O712" s="52" t="n">
        <f aca="false">Sales_Transactions!J712</f>
        <v>72392.6</v>
      </c>
      <c r="P712" s="52" t="n">
        <f aca="false">Sales_Transactions!K712</f>
        <v>39956.55</v>
      </c>
      <c r="Q712" s="42" t="n">
        <f aca="false">IF(ISNUMBER(MATCH(E712,Product_Master!$A$2:$A$9,0)),0,1)</f>
        <v>0</v>
      </c>
      <c r="R712" s="42" t="n">
        <f aca="false">IF(ISNUMBER(MATCH(D712,Customer_Master!$A$2:$A$49,0)),0,1)</f>
        <v>0</v>
      </c>
      <c r="S712" s="42" t="n">
        <f aca="false">IF(ISNUMBER(MATCH(B712,Calendar!$A$2:$A$25,0)),0,1)</f>
        <v>0</v>
      </c>
      <c r="T712" s="42" t="n">
        <f aca="false">IF(COUNTIF(Sales_Transactions!$A$2:$A$865,A712)&gt;1,1,0)</f>
        <v>0</v>
      </c>
      <c r="U712" s="42" t="n">
        <f aca="false">IF(OR(ABS(Sales_Transactions!F712*Sales_Transactions!G712-Sales_Transactions!I712)&gt;0.01,ABS(Sales_Transactions!F712*Sales_Transactions!H712-Sales_Transactions!J712)&gt;0.01,ABS(Sales_Transactions!I712-Sales_Transactions!J712-Sales_Transactions!K712)&gt;0.01),1,0)</f>
        <v>0</v>
      </c>
      <c r="V712" s="42" t="n">
        <f aca="false">IF(C712&lt;&gt;L712,1,0)</f>
        <v>0</v>
      </c>
      <c r="W712" s="42" t="n">
        <f aca="false">IF(SUM(Q712:V712)&gt;0,1,0)</f>
        <v>0</v>
      </c>
    </row>
    <row r="713" customFormat="false" ht="15" hidden="false" customHeight="false" outlineLevel="0" collapsed="false">
      <c r="A713" s="42" t="str">
        <f aca="false">Sales_Transactions!A713</f>
        <v>INV-20-028</v>
      </c>
      <c r="B713" s="42" t="str">
        <f aca="false">Sales_Transactions!B713</f>
        <v>2026-08</v>
      </c>
      <c r="C713" s="42" t="str">
        <f aca="false">Sales_Transactions!C713</f>
        <v>Actual</v>
      </c>
      <c r="D713" s="42" t="str">
        <f aca="false">Sales_Transactions!D713</f>
        <v>C007</v>
      </c>
      <c r="E713" s="42" t="str">
        <f aca="false">Sales_Transactions!E713</f>
        <v>P003</v>
      </c>
      <c r="F713" s="42" t="str">
        <f aca="false">IFERROR(INDEX(Customer_Master!$C$2:$C$49,MATCH(D713,Customer_Master!$A$2:$A$49,0)),"UNMATCHED")</f>
        <v>West</v>
      </c>
      <c r="G713" s="42" t="str">
        <f aca="false">IFERROR(INDEX(Customer_Master!$D$2:$D$49,MATCH(D713,Customer_Master!$A$2:$A$49,0)),"UNMATCHED")</f>
        <v>Distributor</v>
      </c>
      <c r="H713" s="42" t="str">
        <f aca="false">IFERROR(INDEX(Product_Master!$C$2:$C$9,MATCH(E713,Product_Master!$A$2:$A$9,0)),"UNMATCHED")</f>
        <v>Personal Care</v>
      </c>
      <c r="I713" s="42" t="str">
        <f aca="false">IFERROR(INDEX(Product_Master!$B$2:$B$9,MATCH(E713,Product_Master!$A$2:$A$9,0)),"UNMATCHED")</f>
        <v>Shampoo 400ml</v>
      </c>
      <c r="J713" s="42" t="n">
        <f aca="false">IFERROR(INDEX(Calendar!$B$2:$B$25,MATCH(B713,Calendar!$A$2:$A$25,0)),0)</f>
        <v>2026</v>
      </c>
      <c r="K713" s="42" t="n">
        <f aca="false">IFERROR(VALUE(RIGHT(B713,2)),0)</f>
        <v>8</v>
      </c>
      <c r="L713" s="42" t="str">
        <f aca="false">IFERROR(INDEX(Calendar!$E$2:$E$25,MATCH(B713,Calendar!$A$2:$A$25,0)),"UNMATCHED")</f>
        <v>Actual</v>
      </c>
      <c r="M713" s="42" t="n">
        <f aca="false">Sales_Transactions!F713</f>
        <v>412</v>
      </c>
      <c r="N713" s="52" t="n">
        <f aca="false">Sales_Transactions!I713</f>
        <v>116410.6</v>
      </c>
      <c r="O713" s="52" t="n">
        <f aca="false">Sales_Transactions!J713</f>
        <v>70126.52</v>
      </c>
      <c r="P713" s="52" t="n">
        <f aca="false">Sales_Transactions!K713</f>
        <v>46284.08</v>
      </c>
      <c r="Q713" s="42" t="n">
        <f aca="false">IF(ISNUMBER(MATCH(E713,Product_Master!$A$2:$A$9,0)),0,1)</f>
        <v>0</v>
      </c>
      <c r="R713" s="42" t="n">
        <f aca="false">IF(ISNUMBER(MATCH(D713,Customer_Master!$A$2:$A$49,0)),0,1)</f>
        <v>0</v>
      </c>
      <c r="S713" s="42" t="n">
        <f aca="false">IF(ISNUMBER(MATCH(B713,Calendar!$A$2:$A$25,0)),0,1)</f>
        <v>0</v>
      </c>
      <c r="T713" s="42" t="n">
        <f aca="false">IF(COUNTIF(Sales_Transactions!$A$2:$A$865,A713)&gt;1,1,0)</f>
        <v>0</v>
      </c>
      <c r="U713" s="42" t="n">
        <f aca="false">IF(OR(ABS(Sales_Transactions!F713*Sales_Transactions!G713-Sales_Transactions!I713)&gt;0.01,ABS(Sales_Transactions!F713*Sales_Transactions!H713-Sales_Transactions!J713)&gt;0.01,ABS(Sales_Transactions!I713-Sales_Transactions!J713-Sales_Transactions!K713)&gt;0.01),1,0)</f>
        <v>0</v>
      </c>
      <c r="V713" s="42" t="n">
        <f aca="false">IF(C713&lt;&gt;L713,1,0)</f>
        <v>0</v>
      </c>
      <c r="W713" s="42" t="n">
        <f aca="false">IF(SUM(Q713:V713)&gt;0,1,0)</f>
        <v>0</v>
      </c>
    </row>
    <row r="714" customFormat="false" ht="15" hidden="false" customHeight="false" outlineLevel="0" collapsed="false">
      <c r="A714" s="42" t="str">
        <f aca="false">Sales_Transactions!A714</f>
        <v>INV-20-029</v>
      </c>
      <c r="B714" s="42" t="str">
        <f aca="false">Sales_Transactions!B714</f>
        <v>2026-08</v>
      </c>
      <c r="C714" s="42" t="str">
        <f aca="false">Sales_Transactions!C714</f>
        <v>Actual</v>
      </c>
      <c r="D714" s="42" t="str">
        <f aca="false">Sales_Transactions!D714</f>
        <v>C014</v>
      </c>
      <c r="E714" s="42" t="str">
        <f aca="false">Sales_Transactions!E714</f>
        <v>P008</v>
      </c>
      <c r="F714" s="42" t="str">
        <f aca="false">IFERROR(INDEX(Customer_Master!$C$2:$C$49,MATCH(D714,Customer_Master!$A$2:$A$49,0)),"UNMATCHED")</f>
        <v>North</v>
      </c>
      <c r="G714" s="42" t="str">
        <f aca="false">IFERROR(INDEX(Customer_Master!$D$2:$D$49,MATCH(D714,Customer_Master!$A$2:$A$49,0)),"UNMATCHED")</f>
        <v>Modern Trade</v>
      </c>
      <c r="H714" s="42" t="str">
        <f aca="false">IFERROR(INDEX(Product_Master!$C$2:$C$9,MATCH(E714,Product_Master!$A$2:$A$9,0)),"UNMATCHED")</f>
        <v>Personal Care</v>
      </c>
      <c r="I714" s="42" t="str">
        <f aca="false">IFERROR(INDEX(Product_Master!$B$2:$B$9,MATCH(E714,Product_Master!$A$2:$A$9,0)),"UNMATCHED")</f>
        <v>Body Lotion</v>
      </c>
      <c r="J714" s="42" t="n">
        <f aca="false">IFERROR(INDEX(Calendar!$B$2:$B$25,MATCH(B714,Calendar!$A$2:$A$25,0)),0)</f>
        <v>2026</v>
      </c>
      <c r="K714" s="42" t="n">
        <f aca="false">IFERROR(VALUE(RIGHT(B714,2)),0)</f>
        <v>8</v>
      </c>
      <c r="L714" s="42" t="str">
        <f aca="false">IFERROR(INDEX(Calendar!$E$2:$E$25,MATCH(B714,Calendar!$A$2:$A$25,0)),"UNMATCHED")</f>
        <v>Actual</v>
      </c>
      <c r="M714" s="42" t="n">
        <f aca="false">Sales_Transactions!F714</f>
        <v>399</v>
      </c>
      <c r="N714" s="52" t="n">
        <f aca="false">Sales_Transactions!I714</f>
        <v>119133.42</v>
      </c>
      <c r="O714" s="52" t="n">
        <f aca="false">Sales_Transactions!J714</f>
        <v>86634.87</v>
      </c>
      <c r="P714" s="52" t="n">
        <f aca="false">Sales_Transactions!K714</f>
        <v>32498.55</v>
      </c>
      <c r="Q714" s="42" t="n">
        <f aca="false">IF(ISNUMBER(MATCH(E714,Product_Master!$A$2:$A$9,0)),0,1)</f>
        <v>0</v>
      </c>
      <c r="R714" s="42" t="n">
        <f aca="false">IF(ISNUMBER(MATCH(D714,Customer_Master!$A$2:$A$49,0)),0,1)</f>
        <v>0</v>
      </c>
      <c r="S714" s="42" t="n">
        <f aca="false">IF(ISNUMBER(MATCH(B714,Calendar!$A$2:$A$25,0)),0,1)</f>
        <v>0</v>
      </c>
      <c r="T714" s="42" t="n">
        <f aca="false">IF(COUNTIF(Sales_Transactions!$A$2:$A$865,A714)&gt;1,1,0)</f>
        <v>0</v>
      </c>
      <c r="U714" s="42" t="n">
        <f aca="false">IF(OR(ABS(Sales_Transactions!F714*Sales_Transactions!G714-Sales_Transactions!I714)&gt;0.01,ABS(Sales_Transactions!F714*Sales_Transactions!H714-Sales_Transactions!J714)&gt;0.01,ABS(Sales_Transactions!I714-Sales_Transactions!J714-Sales_Transactions!K714)&gt;0.01),1,0)</f>
        <v>0</v>
      </c>
      <c r="V714" s="42" t="n">
        <f aca="false">IF(C714&lt;&gt;L714,1,0)</f>
        <v>0</v>
      </c>
      <c r="W714" s="42" t="n">
        <f aca="false">IF(SUM(Q714:V714)&gt;0,1,0)</f>
        <v>0</v>
      </c>
    </row>
    <row r="715" customFormat="false" ht="15" hidden="false" customHeight="false" outlineLevel="0" collapsed="false">
      <c r="A715" s="42" t="str">
        <f aca="false">Sales_Transactions!A715</f>
        <v>INV-20-030</v>
      </c>
      <c r="B715" s="42" t="str">
        <f aca="false">Sales_Transactions!B715</f>
        <v>2026-08</v>
      </c>
      <c r="C715" s="42" t="str">
        <f aca="false">Sales_Transactions!C715</f>
        <v>Actual</v>
      </c>
      <c r="D715" s="42" t="str">
        <f aca="false">Sales_Transactions!D715</f>
        <v>C021</v>
      </c>
      <c r="E715" s="42" t="str">
        <f aca="false">Sales_Transactions!E715</f>
        <v>P005</v>
      </c>
      <c r="F715" s="42" t="str">
        <f aca="false">IFERROR(INDEX(Customer_Master!$C$2:$C$49,MATCH(D715,Customer_Master!$A$2:$A$49,0)),"UNMATCHED")</f>
        <v>South</v>
      </c>
      <c r="G715" s="42" t="str">
        <f aca="false">IFERROR(INDEX(Customer_Master!$D$2:$D$49,MATCH(D715,Customer_Master!$A$2:$A$49,0)),"UNMATCHED")</f>
        <v>Retail</v>
      </c>
      <c r="H715" s="42" t="str">
        <f aca="false">IFERROR(INDEX(Product_Master!$C$2:$C$9,MATCH(E715,Product_Master!$A$2:$A$9,0)),"UNMATCHED")</f>
        <v>Foods</v>
      </c>
      <c r="I715" s="42" t="str">
        <f aca="false">IFERROR(INDEX(Product_Master!$B$2:$B$9,MATCH(E715,Product_Master!$A$2:$A$9,0)),"UNMATCHED")</f>
        <v>Biscuits 500g</v>
      </c>
      <c r="J715" s="42" t="n">
        <f aca="false">IFERROR(INDEX(Calendar!$B$2:$B$25,MATCH(B715,Calendar!$A$2:$A$25,0)),0)</f>
        <v>2026</v>
      </c>
      <c r="K715" s="42" t="n">
        <f aca="false">IFERROR(VALUE(RIGHT(B715,2)),0)</f>
        <v>8</v>
      </c>
      <c r="L715" s="42" t="str">
        <f aca="false">IFERROR(INDEX(Calendar!$E$2:$E$25,MATCH(B715,Calendar!$A$2:$A$25,0)),"UNMATCHED")</f>
        <v>Actual</v>
      </c>
      <c r="M715" s="42" t="n">
        <f aca="false">Sales_Transactions!F715</f>
        <v>329</v>
      </c>
      <c r="N715" s="52" t="n">
        <f aca="false">Sales_Transactions!I715</f>
        <v>32929.61</v>
      </c>
      <c r="O715" s="52" t="n">
        <f aca="false">Sales_Transactions!J715</f>
        <v>23138.57</v>
      </c>
      <c r="P715" s="52" t="n">
        <f aca="false">Sales_Transactions!K715</f>
        <v>9791.04</v>
      </c>
      <c r="Q715" s="42" t="n">
        <f aca="false">IF(ISNUMBER(MATCH(E715,Product_Master!$A$2:$A$9,0)),0,1)</f>
        <v>0</v>
      </c>
      <c r="R715" s="42" t="n">
        <f aca="false">IF(ISNUMBER(MATCH(D715,Customer_Master!$A$2:$A$49,0)),0,1)</f>
        <v>0</v>
      </c>
      <c r="S715" s="42" t="n">
        <f aca="false">IF(ISNUMBER(MATCH(B715,Calendar!$A$2:$A$25,0)),0,1)</f>
        <v>0</v>
      </c>
      <c r="T715" s="42" t="n">
        <f aca="false">IF(COUNTIF(Sales_Transactions!$A$2:$A$865,A715)&gt;1,1,0)</f>
        <v>0</v>
      </c>
      <c r="U715" s="42" t="n">
        <f aca="false">IF(OR(ABS(Sales_Transactions!F715*Sales_Transactions!G715-Sales_Transactions!I715)&gt;0.01,ABS(Sales_Transactions!F715*Sales_Transactions!H715-Sales_Transactions!J715)&gt;0.01,ABS(Sales_Transactions!I715-Sales_Transactions!J715-Sales_Transactions!K715)&gt;0.01),1,0)</f>
        <v>0</v>
      </c>
      <c r="V715" s="42" t="n">
        <f aca="false">IF(C715&lt;&gt;L715,1,0)</f>
        <v>0</v>
      </c>
      <c r="W715" s="42" t="n">
        <f aca="false">IF(SUM(Q715:V715)&gt;0,1,0)</f>
        <v>0</v>
      </c>
    </row>
    <row r="716" customFormat="false" ht="15" hidden="false" customHeight="false" outlineLevel="0" collapsed="false">
      <c r="A716" s="42" t="str">
        <f aca="false">Sales_Transactions!A716</f>
        <v>INV-20-031</v>
      </c>
      <c r="B716" s="42" t="str">
        <f aca="false">Sales_Transactions!B716</f>
        <v>2026-08</v>
      </c>
      <c r="C716" s="42" t="str">
        <f aca="false">Sales_Transactions!C716</f>
        <v>Actual</v>
      </c>
      <c r="D716" s="42" t="str">
        <f aca="false">Sales_Transactions!D716</f>
        <v>C028</v>
      </c>
      <c r="E716" s="42" t="str">
        <f aca="false">Sales_Transactions!E716</f>
        <v>P002</v>
      </c>
      <c r="F716" s="42" t="str">
        <f aca="false">IFERROR(INDEX(Customer_Master!$C$2:$C$49,MATCH(D716,Customer_Master!$A$2:$A$49,0)),"UNMATCHED")</f>
        <v>East</v>
      </c>
      <c r="G716" s="42" t="str">
        <f aca="false">IFERROR(INDEX(Customer_Master!$D$2:$D$49,MATCH(D716,Customer_Master!$A$2:$A$49,0)),"UNMATCHED")</f>
        <v>Distributor</v>
      </c>
      <c r="H716" s="42" t="str">
        <f aca="false">IFERROR(INDEX(Product_Master!$C$2:$C$9,MATCH(E716,Product_Master!$A$2:$A$9,0)),"UNMATCHED")</f>
        <v>Home Care</v>
      </c>
      <c r="I716" s="42" t="str">
        <f aca="false">IFERROR(INDEX(Product_Master!$B$2:$B$9,MATCH(E716,Product_Master!$A$2:$A$9,0)),"UNMATCHED")</f>
        <v>Dishwash Gel</v>
      </c>
      <c r="J716" s="42" t="n">
        <f aca="false">IFERROR(INDEX(Calendar!$B$2:$B$25,MATCH(B716,Calendar!$A$2:$A$25,0)),0)</f>
        <v>2026</v>
      </c>
      <c r="K716" s="42" t="n">
        <f aca="false">IFERROR(VALUE(RIGHT(B716,2)),0)</f>
        <v>8</v>
      </c>
      <c r="L716" s="42" t="str">
        <f aca="false">IFERROR(INDEX(Calendar!$E$2:$E$25,MATCH(B716,Calendar!$A$2:$A$25,0)),"UNMATCHED")</f>
        <v>Actual</v>
      </c>
      <c r="M716" s="42" t="n">
        <f aca="false">Sales_Transactions!F716</f>
        <v>395</v>
      </c>
      <c r="N716" s="52" t="n">
        <f aca="false">Sales_Transactions!I716</f>
        <v>53755.55</v>
      </c>
      <c r="O716" s="52" t="n">
        <f aca="false">Sales_Transactions!J716</f>
        <v>33823.85</v>
      </c>
      <c r="P716" s="52" t="n">
        <f aca="false">Sales_Transactions!K716</f>
        <v>19931.7</v>
      </c>
      <c r="Q716" s="42" t="n">
        <f aca="false">IF(ISNUMBER(MATCH(E716,Product_Master!$A$2:$A$9,0)),0,1)</f>
        <v>0</v>
      </c>
      <c r="R716" s="42" t="n">
        <f aca="false">IF(ISNUMBER(MATCH(D716,Customer_Master!$A$2:$A$49,0)),0,1)</f>
        <v>0</v>
      </c>
      <c r="S716" s="42" t="n">
        <f aca="false">IF(ISNUMBER(MATCH(B716,Calendar!$A$2:$A$25,0)),0,1)</f>
        <v>0</v>
      </c>
      <c r="T716" s="42" t="n">
        <f aca="false">IF(COUNTIF(Sales_Transactions!$A$2:$A$865,A716)&gt;1,1,0)</f>
        <v>0</v>
      </c>
      <c r="U716" s="42" t="n">
        <f aca="false">IF(OR(ABS(Sales_Transactions!F716*Sales_Transactions!G716-Sales_Transactions!I716)&gt;0.01,ABS(Sales_Transactions!F716*Sales_Transactions!H716-Sales_Transactions!J716)&gt;0.01,ABS(Sales_Transactions!I716-Sales_Transactions!J716-Sales_Transactions!K716)&gt;0.01),1,0)</f>
        <v>0</v>
      </c>
      <c r="V716" s="42" t="n">
        <f aca="false">IF(C716&lt;&gt;L716,1,0)</f>
        <v>0</v>
      </c>
      <c r="W716" s="42" t="n">
        <f aca="false">IF(SUM(Q716:V716)&gt;0,1,0)</f>
        <v>0</v>
      </c>
    </row>
    <row r="717" customFormat="false" ht="15" hidden="false" customHeight="false" outlineLevel="0" collapsed="false">
      <c r="A717" s="42" t="str">
        <f aca="false">Sales_Transactions!A717</f>
        <v>INV-20-032</v>
      </c>
      <c r="B717" s="42" t="str">
        <f aca="false">Sales_Transactions!B717</f>
        <v>2026-08</v>
      </c>
      <c r="C717" s="42" t="str">
        <f aca="false">Sales_Transactions!C717</f>
        <v>Actual</v>
      </c>
      <c r="D717" s="42" t="str">
        <f aca="false">Sales_Transactions!D717</f>
        <v>C035</v>
      </c>
      <c r="E717" s="42" t="str">
        <f aca="false">Sales_Transactions!E717</f>
        <v>P007</v>
      </c>
      <c r="F717" s="42" t="str">
        <f aca="false">IFERROR(INDEX(Customer_Master!$C$2:$C$49,MATCH(D717,Customer_Master!$A$2:$A$49,0)),"UNMATCHED")</f>
        <v>West</v>
      </c>
      <c r="G717" s="42" t="str">
        <f aca="false">IFERROR(INDEX(Customer_Master!$D$2:$D$49,MATCH(D717,Customer_Master!$A$2:$A$49,0)),"UNMATCHED")</f>
        <v>Modern Trade</v>
      </c>
      <c r="H717" s="42" t="str">
        <f aca="false">IFERROR(INDEX(Product_Master!$C$2:$C$9,MATCH(E717,Product_Master!$A$2:$A$9,0)),"UNMATCHED")</f>
        <v>Home Care</v>
      </c>
      <c r="I717" s="42" t="str">
        <f aca="false">IFERROR(INDEX(Product_Master!$B$2:$B$9,MATCH(E717,Product_Master!$A$2:$A$9,0)),"UNMATCHED")</f>
        <v>Floor Cleaner</v>
      </c>
      <c r="J717" s="42" t="n">
        <f aca="false">IFERROR(INDEX(Calendar!$B$2:$B$25,MATCH(B717,Calendar!$A$2:$A$25,0)),0)</f>
        <v>2026</v>
      </c>
      <c r="K717" s="42" t="n">
        <f aca="false">IFERROR(VALUE(RIGHT(B717,2)),0)</f>
        <v>8</v>
      </c>
      <c r="L717" s="42" t="str">
        <f aca="false">IFERROR(INDEX(Calendar!$E$2:$E$25,MATCH(B717,Calendar!$A$2:$A$25,0)),"UNMATCHED")</f>
        <v>Actual</v>
      </c>
      <c r="M717" s="42" t="n">
        <f aca="false">Sales_Transactions!F717</f>
        <v>326</v>
      </c>
      <c r="N717" s="52" t="n">
        <f aca="false">Sales_Transactions!I717</f>
        <v>61226.06</v>
      </c>
      <c r="O717" s="52" t="n">
        <f aca="false">Sales_Transactions!J717</f>
        <v>38565.8</v>
      </c>
      <c r="P717" s="52" t="n">
        <f aca="false">Sales_Transactions!K717</f>
        <v>22660.26</v>
      </c>
      <c r="Q717" s="42" t="n">
        <f aca="false">IF(ISNUMBER(MATCH(E717,Product_Master!$A$2:$A$9,0)),0,1)</f>
        <v>0</v>
      </c>
      <c r="R717" s="42" t="n">
        <f aca="false">IF(ISNUMBER(MATCH(D717,Customer_Master!$A$2:$A$49,0)),0,1)</f>
        <v>0</v>
      </c>
      <c r="S717" s="42" t="n">
        <f aca="false">IF(ISNUMBER(MATCH(B717,Calendar!$A$2:$A$25,0)),0,1)</f>
        <v>0</v>
      </c>
      <c r="T717" s="42" t="n">
        <f aca="false">IF(COUNTIF(Sales_Transactions!$A$2:$A$865,A717)&gt;1,1,0)</f>
        <v>0</v>
      </c>
      <c r="U717" s="42" t="n">
        <f aca="false">IF(OR(ABS(Sales_Transactions!F717*Sales_Transactions!G717-Sales_Transactions!I717)&gt;0.01,ABS(Sales_Transactions!F717*Sales_Transactions!H717-Sales_Transactions!J717)&gt;0.01,ABS(Sales_Transactions!I717-Sales_Transactions!J717-Sales_Transactions!K717)&gt;0.01),1,0)</f>
        <v>0</v>
      </c>
      <c r="V717" s="42" t="n">
        <f aca="false">IF(C717&lt;&gt;L717,1,0)</f>
        <v>0</v>
      </c>
      <c r="W717" s="42" t="n">
        <f aca="false">IF(SUM(Q717:V717)&gt;0,1,0)</f>
        <v>0</v>
      </c>
    </row>
    <row r="718" customFormat="false" ht="15" hidden="false" customHeight="false" outlineLevel="0" collapsed="false">
      <c r="A718" s="42" t="str">
        <f aca="false">Sales_Transactions!A718</f>
        <v>INV-20-033</v>
      </c>
      <c r="B718" s="42" t="str">
        <f aca="false">Sales_Transactions!B718</f>
        <v>2026-08</v>
      </c>
      <c r="C718" s="42" t="str">
        <f aca="false">Sales_Transactions!C718</f>
        <v>Actual</v>
      </c>
      <c r="D718" s="42" t="str">
        <f aca="false">Sales_Transactions!D718</f>
        <v>C042</v>
      </c>
      <c r="E718" s="42" t="str">
        <f aca="false">Sales_Transactions!E718</f>
        <v>P004</v>
      </c>
      <c r="F718" s="42" t="str">
        <f aca="false">IFERROR(INDEX(Customer_Master!$C$2:$C$49,MATCH(D718,Customer_Master!$A$2:$A$49,0)),"UNMATCHED")</f>
        <v>North</v>
      </c>
      <c r="G718" s="42" t="str">
        <f aca="false">IFERROR(INDEX(Customer_Master!$D$2:$D$49,MATCH(D718,Customer_Master!$A$2:$A$49,0)),"UNMATCHED")</f>
        <v>Retail</v>
      </c>
      <c r="H718" s="42" t="str">
        <f aca="false">IFERROR(INDEX(Product_Master!$C$2:$C$9,MATCH(E718,Product_Master!$A$2:$A$9,0)),"UNMATCHED")</f>
        <v>Personal Care</v>
      </c>
      <c r="I718" s="42" t="str">
        <f aca="false">IFERROR(INDEX(Product_Master!$B$2:$B$9,MATCH(E718,Product_Master!$A$2:$A$9,0)),"UNMATCHED")</f>
        <v>Soap 4-pack</v>
      </c>
      <c r="J718" s="42" t="n">
        <f aca="false">IFERROR(INDEX(Calendar!$B$2:$B$25,MATCH(B718,Calendar!$A$2:$A$25,0)),0)</f>
        <v>2026</v>
      </c>
      <c r="K718" s="42" t="n">
        <f aca="false">IFERROR(VALUE(RIGHT(B718,2)),0)</f>
        <v>8</v>
      </c>
      <c r="L718" s="42" t="str">
        <f aca="false">IFERROR(INDEX(Calendar!$E$2:$E$25,MATCH(B718,Calendar!$A$2:$A$25,0)),"UNMATCHED")</f>
        <v>Actual</v>
      </c>
      <c r="M718" s="42" t="n">
        <f aca="false">Sales_Transactions!F718</f>
        <v>196</v>
      </c>
      <c r="N718" s="52" t="n">
        <f aca="false">Sales_Transactions!I718</f>
        <v>33923.68</v>
      </c>
      <c r="O718" s="52" t="n">
        <f aca="false">Sales_Transactions!J718</f>
        <v>19600</v>
      </c>
      <c r="P718" s="52" t="n">
        <f aca="false">Sales_Transactions!K718</f>
        <v>14323.68</v>
      </c>
      <c r="Q718" s="42" t="n">
        <f aca="false">IF(ISNUMBER(MATCH(E718,Product_Master!$A$2:$A$9,0)),0,1)</f>
        <v>0</v>
      </c>
      <c r="R718" s="42" t="n">
        <f aca="false">IF(ISNUMBER(MATCH(D718,Customer_Master!$A$2:$A$49,0)),0,1)</f>
        <v>0</v>
      </c>
      <c r="S718" s="42" t="n">
        <f aca="false">IF(ISNUMBER(MATCH(B718,Calendar!$A$2:$A$25,0)),0,1)</f>
        <v>0</v>
      </c>
      <c r="T718" s="42" t="n">
        <f aca="false">IF(COUNTIF(Sales_Transactions!$A$2:$A$865,A718)&gt;1,1,0)</f>
        <v>0</v>
      </c>
      <c r="U718" s="42" t="n">
        <f aca="false">IF(OR(ABS(Sales_Transactions!F718*Sales_Transactions!G718-Sales_Transactions!I718)&gt;0.01,ABS(Sales_Transactions!F718*Sales_Transactions!H718-Sales_Transactions!J718)&gt;0.01,ABS(Sales_Transactions!I718-Sales_Transactions!J718-Sales_Transactions!K718)&gt;0.01),1,0)</f>
        <v>0</v>
      </c>
      <c r="V718" s="42" t="n">
        <f aca="false">IF(C718&lt;&gt;L718,1,0)</f>
        <v>0</v>
      </c>
      <c r="W718" s="42" t="n">
        <f aca="false">IF(SUM(Q718:V718)&gt;0,1,0)</f>
        <v>0</v>
      </c>
    </row>
    <row r="719" customFormat="false" ht="15" hidden="false" customHeight="false" outlineLevel="0" collapsed="false">
      <c r="A719" s="42" t="str">
        <f aca="false">Sales_Transactions!A719</f>
        <v>INV-20-034</v>
      </c>
      <c r="B719" s="42" t="str">
        <f aca="false">Sales_Transactions!B719</f>
        <v>2026-08</v>
      </c>
      <c r="C719" s="42" t="str">
        <f aca="false">Sales_Transactions!C719</f>
        <v>Actual</v>
      </c>
      <c r="D719" s="42" t="str">
        <f aca="false">Sales_Transactions!D719</f>
        <v>C001</v>
      </c>
      <c r="E719" s="42" t="str">
        <f aca="false">Sales_Transactions!E719</f>
        <v>P001</v>
      </c>
      <c r="F719" s="42" t="str">
        <f aca="false">IFERROR(INDEX(Customer_Master!$C$2:$C$49,MATCH(D719,Customer_Master!$A$2:$A$49,0)),"UNMATCHED")</f>
        <v>South</v>
      </c>
      <c r="G719" s="42" t="str">
        <f aca="false">IFERROR(INDEX(Customer_Master!$D$2:$D$49,MATCH(D719,Customer_Master!$A$2:$A$49,0)),"UNMATCHED")</f>
        <v>Distributor</v>
      </c>
      <c r="H719" s="42" t="str">
        <f aca="false">IFERROR(INDEX(Product_Master!$C$2:$C$9,MATCH(E719,Product_Master!$A$2:$A$9,0)),"UNMATCHED")</f>
        <v>Home Care</v>
      </c>
      <c r="I719" s="42" t="str">
        <f aca="false">IFERROR(INDEX(Product_Master!$B$2:$B$9,MATCH(E719,Product_Master!$A$2:$A$9,0)),"UNMATCHED")</f>
        <v>Detergent 1kg</v>
      </c>
      <c r="J719" s="42" t="n">
        <f aca="false">IFERROR(INDEX(Calendar!$B$2:$B$25,MATCH(B719,Calendar!$A$2:$A$25,0)),0)</f>
        <v>2026</v>
      </c>
      <c r="K719" s="42" t="n">
        <f aca="false">IFERROR(VALUE(RIGHT(B719,2)),0)</f>
        <v>8</v>
      </c>
      <c r="L719" s="42" t="str">
        <f aca="false">IFERROR(INDEX(Calendar!$E$2:$E$25,MATCH(B719,Calendar!$A$2:$A$25,0)),"UNMATCHED")</f>
        <v>Actual</v>
      </c>
      <c r="M719" s="42" t="n">
        <f aca="false">Sales_Transactions!F719</f>
        <v>390</v>
      </c>
      <c r="N719" s="52" t="n">
        <f aca="false">Sales_Transactions!I719</f>
        <v>82188.6</v>
      </c>
      <c r="O719" s="52" t="n">
        <f aca="false">Sales_Transactions!J719</f>
        <v>49927.8</v>
      </c>
      <c r="P719" s="52" t="n">
        <f aca="false">Sales_Transactions!K719</f>
        <v>32260.8</v>
      </c>
      <c r="Q719" s="42" t="n">
        <f aca="false">IF(ISNUMBER(MATCH(E719,Product_Master!$A$2:$A$9,0)),0,1)</f>
        <v>0</v>
      </c>
      <c r="R719" s="42" t="n">
        <f aca="false">IF(ISNUMBER(MATCH(D719,Customer_Master!$A$2:$A$49,0)),0,1)</f>
        <v>0</v>
      </c>
      <c r="S719" s="42" t="n">
        <f aca="false">IF(ISNUMBER(MATCH(B719,Calendar!$A$2:$A$25,0)),0,1)</f>
        <v>0</v>
      </c>
      <c r="T719" s="42" t="n">
        <f aca="false">IF(COUNTIF(Sales_Transactions!$A$2:$A$865,A719)&gt;1,1,0)</f>
        <v>0</v>
      </c>
      <c r="U719" s="42" t="n">
        <f aca="false">IF(OR(ABS(Sales_Transactions!F719*Sales_Transactions!G719-Sales_Transactions!I719)&gt;0.01,ABS(Sales_Transactions!F719*Sales_Transactions!H719-Sales_Transactions!J719)&gt;0.01,ABS(Sales_Transactions!I719-Sales_Transactions!J719-Sales_Transactions!K719)&gt;0.01),1,0)</f>
        <v>0</v>
      </c>
      <c r="V719" s="42" t="n">
        <f aca="false">IF(C719&lt;&gt;L719,1,0)</f>
        <v>0</v>
      </c>
      <c r="W719" s="42" t="n">
        <f aca="false">IF(SUM(Q719:V719)&gt;0,1,0)</f>
        <v>0</v>
      </c>
    </row>
    <row r="720" customFormat="false" ht="15" hidden="false" customHeight="false" outlineLevel="0" collapsed="false">
      <c r="A720" s="42" t="str">
        <f aca="false">Sales_Transactions!A720</f>
        <v>INV-20-035</v>
      </c>
      <c r="B720" s="42" t="str">
        <f aca="false">Sales_Transactions!B720</f>
        <v>2026-08</v>
      </c>
      <c r="C720" s="42" t="str">
        <f aca="false">Sales_Transactions!C720</f>
        <v>Actual</v>
      </c>
      <c r="D720" s="42" t="str">
        <f aca="false">Sales_Transactions!D720</f>
        <v>C008</v>
      </c>
      <c r="E720" s="42" t="str">
        <f aca="false">Sales_Transactions!E720</f>
        <v>P006</v>
      </c>
      <c r="F720" s="42" t="str">
        <f aca="false">IFERROR(INDEX(Customer_Master!$C$2:$C$49,MATCH(D720,Customer_Master!$A$2:$A$49,0)),"UNMATCHED")</f>
        <v>East</v>
      </c>
      <c r="G720" s="42" t="str">
        <f aca="false">IFERROR(INDEX(Customer_Master!$D$2:$D$49,MATCH(D720,Customer_Master!$A$2:$A$49,0)),"UNMATCHED")</f>
        <v>Modern Trade</v>
      </c>
      <c r="H720" s="42" t="str">
        <f aca="false">IFERROR(INDEX(Product_Master!$C$2:$C$9,MATCH(E720,Product_Master!$A$2:$A$9,0)),"UNMATCHED")</f>
        <v>Foods</v>
      </c>
      <c r="I720" s="42" t="str">
        <f aca="false">IFERROR(INDEX(Product_Master!$B$2:$B$9,MATCH(E720,Product_Master!$A$2:$A$9,0)),"UNMATCHED")</f>
        <v>Breakfast Cereal</v>
      </c>
      <c r="J720" s="42" t="n">
        <f aca="false">IFERROR(INDEX(Calendar!$B$2:$B$25,MATCH(B720,Calendar!$A$2:$A$25,0)),0)</f>
        <v>2026</v>
      </c>
      <c r="K720" s="42" t="n">
        <f aca="false">IFERROR(VALUE(RIGHT(B720,2)),0)</f>
        <v>8</v>
      </c>
      <c r="L720" s="42" t="str">
        <f aca="false">IFERROR(INDEX(Calendar!$E$2:$E$25,MATCH(B720,Calendar!$A$2:$A$25,0)),"UNMATCHED")</f>
        <v>Actual</v>
      </c>
      <c r="M720" s="42" t="n">
        <f aca="false">Sales_Transactions!F720</f>
        <v>313</v>
      </c>
      <c r="N720" s="52" t="n">
        <f aca="false">Sales_Transactions!I720</f>
        <v>76515.98</v>
      </c>
      <c r="O720" s="52" t="n">
        <f aca="false">Sales_Transactions!J720</f>
        <v>48993.89</v>
      </c>
      <c r="P720" s="52" t="n">
        <f aca="false">Sales_Transactions!K720</f>
        <v>27522.09</v>
      </c>
      <c r="Q720" s="42" t="n">
        <f aca="false">IF(ISNUMBER(MATCH(E720,Product_Master!$A$2:$A$9,0)),0,1)</f>
        <v>0</v>
      </c>
      <c r="R720" s="42" t="n">
        <f aca="false">IF(ISNUMBER(MATCH(D720,Customer_Master!$A$2:$A$49,0)),0,1)</f>
        <v>0</v>
      </c>
      <c r="S720" s="42" t="n">
        <f aca="false">IF(ISNUMBER(MATCH(B720,Calendar!$A$2:$A$25,0)),0,1)</f>
        <v>0</v>
      </c>
      <c r="T720" s="42" t="n">
        <f aca="false">IF(COUNTIF(Sales_Transactions!$A$2:$A$865,A720)&gt;1,1,0)</f>
        <v>0</v>
      </c>
      <c r="U720" s="42" t="n">
        <f aca="false">IF(OR(ABS(Sales_Transactions!F720*Sales_Transactions!G720-Sales_Transactions!I720)&gt;0.01,ABS(Sales_Transactions!F720*Sales_Transactions!H720-Sales_Transactions!J720)&gt;0.01,ABS(Sales_Transactions!I720-Sales_Transactions!J720-Sales_Transactions!K720)&gt;0.01),1,0)</f>
        <v>0</v>
      </c>
      <c r="V720" s="42" t="n">
        <f aca="false">IF(C720&lt;&gt;L720,1,0)</f>
        <v>0</v>
      </c>
      <c r="W720" s="42" t="n">
        <f aca="false">IF(SUM(Q720:V720)&gt;0,1,0)</f>
        <v>0</v>
      </c>
    </row>
    <row r="721" customFormat="false" ht="15" hidden="false" customHeight="false" outlineLevel="0" collapsed="false">
      <c r="A721" s="42" t="str">
        <f aca="false">Sales_Transactions!A721</f>
        <v>INV-20-036</v>
      </c>
      <c r="B721" s="42" t="str">
        <f aca="false">Sales_Transactions!B721</f>
        <v>2026-08</v>
      </c>
      <c r="C721" s="42" t="str">
        <f aca="false">Sales_Transactions!C721</f>
        <v>Actual</v>
      </c>
      <c r="D721" s="42" t="str">
        <f aca="false">Sales_Transactions!D721</f>
        <v>C015</v>
      </c>
      <c r="E721" s="42" t="str">
        <f aca="false">Sales_Transactions!E721</f>
        <v>P003</v>
      </c>
      <c r="F721" s="42" t="str">
        <f aca="false">IFERROR(INDEX(Customer_Master!$C$2:$C$49,MATCH(D721,Customer_Master!$A$2:$A$49,0)),"UNMATCHED")</f>
        <v>West</v>
      </c>
      <c r="G721" s="42" t="str">
        <f aca="false">IFERROR(INDEX(Customer_Master!$D$2:$D$49,MATCH(D721,Customer_Master!$A$2:$A$49,0)),"UNMATCHED")</f>
        <v>Retail</v>
      </c>
      <c r="H721" s="42" t="str">
        <f aca="false">IFERROR(INDEX(Product_Master!$C$2:$C$9,MATCH(E721,Product_Master!$A$2:$A$9,0)),"UNMATCHED")</f>
        <v>Personal Care</v>
      </c>
      <c r="I721" s="42" t="str">
        <f aca="false">IFERROR(INDEX(Product_Master!$B$2:$B$9,MATCH(E721,Product_Master!$A$2:$A$9,0)),"UNMATCHED")</f>
        <v>Shampoo 400ml</v>
      </c>
      <c r="J721" s="42" t="n">
        <f aca="false">IFERROR(INDEX(Calendar!$B$2:$B$25,MATCH(B721,Calendar!$A$2:$A$25,0)),0)</f>
        <v>2026</v>
      </c>
      <c r="K721" s="42" t="n">
        <f aca="false">IFERROR(VALUE(RIGHT(B721,2)),0)</f>
        <v>8</v>
      </c>
      <c r="L721" s="42" t="str">
        <f aca="false">IFERROR(INDEX(Calendar!$E$2:$E$25,MATCH(B721,Calendar!$A$2:$A$25,0)),"UNMATCHED")</f>
        <v>Actual</v>
      </c>
      <c r="M721" s="42" t="n">
        <f aca="false">Sales_Transactions!F721</f>
        <v>373</v>
      </c>
      <c r="N721" s="52" t="n">
        <f aca="false">Sales_Transactions!I721</f>
        <v>94473.44</v>
      </c>
      <c r="O721" s="52" t="n">
        <f aca="false">Sales_Transactions!J721</f>
        <v>67576.41</v>
      </c>
      <c r="P721" s="52" t="n">
        <f aca="false">Sales_Transactions!K721</f>
        <v>26897.03</v>
      </c>
      <c r="Q721" s="42" t="n">
        <f aca="false">IF(ISNUMBER(MATCH(E721,Product_Master!$A$2:$A$9,0)),0,1)</f>
        <v>0</v>
      </c>
      <c r="R721" s="42" t="n">
        <f aca="false">IF(ISNUMBER(MATCH(D721,Customer_Master!$A$2:$A$49,0)),0,1)</f>
        <v>0</v>
      </c>
      <c r="S721" s="42" t="n">
        <f aca="false">IF(ISNUMBER(MATCH(B721,Calendar!$A$2:$A$25,0)),0,1)</f>
        <v>0</v>
      </c>
      <c r="T721" s="42" t="n">
        <f aca="false">IF(COUNTIF(Sales_Transactions!$A$2:$A$865,A721)&gt;1,1,0)</f>
        <v>0</v>
      </c>
      <c r="U721" s="42" t="n">
        <f aca="false">IF(OR(ABS(Sales_Transactions!F721*Sales_Transactions!G721-Sales_Transactions!I721)&gt;0.01,ABS(Sales_Transactions!F721*Sales_Transactions!H721-Sales_Transactions!J721)&gt;0.01,ABS(Sales_Transactions!I721-Sales_Transactions!J721-Sales_Transactions!K721)&gt;0.01),1,0)</f>
        <v>0</v>
      </c>
      <c r="V721" s="42" t="n">
        <f aca="false">IF(C721&lt;&gt;L721,1,0)</f>
        <v>0</v>
      </c>
      <c r="W721" s="42" t="n">
        <f aca="false">IF(SUM(Q721:V721)&gt;0,1,0)</f>
        <v>0</v>
      </c>
    </row>
    <row r="722" customFormat="false" ht="15" hidden="false" customHeight="false" outlineLevel="0" collapsed="false">
      <c r="A722" s="42" t="str">
        <f aca="false">Sales_Transactions!A722</f>
        <v>INV-21-001</v>
      </c>
      <c r="B722" s="42" t="str">
        <f aca="false">Sales_Transactions!B722</f>
        <v>2026-09</v>
      </c>
      <c r="C722" s="42" t="str">
        <f aca="false">Sales_Transactions!C722</f>
        <v>Actual</v>
      </c>
      <c r="D722" s="42" t="str">
        <f aca="false">Sales_Transactions!D722</f>
        <v>C013</v>
      </c>
      <c r="E722" s="42" t="str">
        <f aca="false">Sales_Transactions!E722</f>
        <v>P005</v>
      </c>
      <c r="F722" s="42" t="str">
        <f aca="false">IFERROR(INDEX(Customer_Master!$C$2:$C$49,MATCH(D722,Customer_Master!$A$2:$A$49,0)),"UNMATCHED")</f>
        <v>South</v>
      </c>
      <c r="G722" s="42" t="str">
        <f aca="false">IFERROR(INDEX(Customer_Master!$D$2:$D$49,MATCH(D722,Customer_Master!$A$2:$A$49,0)),"UNMATCHED")</f>
        <v>Distributor</v>
      </c>
      <c r="H722" s="42" t="str">
        <f aca="false">IFERROR(INDEX(Product_Master!$C$2:$C$9,MATCH(E722,Product_Master!$A$2:$A$9,0)),"UNMATCHED")</f>
        <v>Foods</v>
      </c>
      <c r="I722" s="42" t="str">
        <f aca="false">IFERROR(INDEX(Product_Master!$B$2:$B$9,MATCH(E722,Product_Master!$A$2:$A$9,0)),"UNMATCHED")</f>
        <v>Biscuits 500g</v>
      </c>
      <c r="J722" s="42" t="n">
        <f aca="false">IFERROR(INDEX(Calendar!$B$2:$B$25,MATCH(B722,Calendar!$A$2:$A$25,0)),0)</f>
        <v>2026</v>
      </c>
      <c r="K722" s="42" t="n">
        <f aca="false">IFERROR(VALUE(RIGHT(B722,2)),0)</f>
        <v>9</v>
      </c>
      <c r="L722" s="42" t="str">
        <f aca="false">IFERROR(INDEX(Calendar!$E$2:$E$25,MATCH(B722,Calendar!$A$2:$A$25,0)),"UNMATCHED")</f>
        <v>Actual</v>
      </c>
      <c r="M722" s="42" t="n">
        <f aca="false">Sales_Transactions!F722</f>
        <v>343</v>
      </c>
      <c r="N722" s="52" t="n">
        <f aca="false">Sales_Transactions!I722</f>
        <v>34570.97</v>
      </c>
      <c r="O722" s="52" t="n">
        <f aca="false">Sales_Transactions!J722</f>
        <v>23540.09</v>
      </c>
      <c r="P722" s="52" t="n">
        <f aca="false">Sales_Transactions!K722</f>
        <v>11030.88</v>
      </c>
      <c r="Q722" s="42" t="n">
        <f aca="false">IF(ISNUMBER(MATCH(E722,Product_Master!$A$2:$A$9,0)),0,1)</f>
        <v>0</v>
      </c>
      <c r="R722" s="42" t="n">
        <f aca="false">IF(ISNUMBER(MATCH(D722,Customer_Master!$A$2:$A$49,0)),0,1)</f>
        <v>0</v>
      </c>
      <c r="S722" s="42" t="n">
        <f aca="false">IF(ISNUMBER(MATCH(B722,Calendar!$A$2:$A$25,0)),0,1)</f>
        <v>0</v>
      </c>
      <c r="T722" s="42" t="n">
        <f aca="false">IF(COUNTIF(Sales_Transactions!$A$2:$A$865,A722)&gt;1,1,0)</f>
        <v>0</v>
      </c>
      <c r="U722" s="42" t="n">
        <f aca="false">IF(OR(ABS(Sales_Transactions!F722*Sales_Transactions!G722-Sales_Transactions!I722)&gt;0.01,ABS(Sales_Transactions!F722*Sales_Transactions!H722-Sales_Transactions!J722)&gt;0.01,ABS(Sales_Transactions!I722-Sales_Transactions!J722-Sales_Transactions!K722)&gt;0.01),1,0)</f>
        <v>0</v>
      </c>
      <c r="V722" s="42" t="n">
        <f aca="false">IF(C722&lt;&gt;L722,1,0)</f>
        <v>0</v>
      </c>
      <c r="W722" s="42" t="n">
        <f aca="false">IF(SUM(Q722:V722)&gt;0,1,0)</f>
        <v>0</v>
      </c>
    </row>
    <row r="723" customFormat="false" ht="15" hidden="false" customHeight="false" outlineLevel="0" collapsed="false">
      <c r="A723" s="42" t="str">
        <f aca="false">Sales_Transactions!A723</f>
        <v>INV-21-002</v>
      </c>
      <c r="B723" s="42" t="str">
        <f aca="false">Sales_Transactions!B723</f>
        <v>2026-09</v>
      </c>
      <c r="C723" s="42" t="str">
        <f aca="false">Sales_Transactions!C723</f>
        <v>Actual</v>
      </c>
      <c r="D723" s="42" t="str">
        <f aca="false">Sales_Transactions!D723</f>
        <v>C020</v>
      </c>
      <c r="E723" s="42" t="str">
        <f aca="false">Sales_Transactions!E723</f>
        <v>P002</v>
      </c>
      <c r="F723" s="42" t="str">
        <f aca="false">IFERROR(INDEX(Customer_Master!$C$2:$C$49,MATCH(D723,Customer_Master!$A$2:$A$49,0)),"UNMATCHED")</f>
        <v>East</v>
      </c>
      <c r="G723" s="42" t="str">
        <f aca="false">IFERROR(INDEX(Customer_Master!$D$2:$D$49,MATCH(D723,Customer_Master!$A$2:$A$49,0)),"UNMATCHED")</f>
        <v>Modern Trade</v>
      </c>
      <c r="H723" s="42" t="str">
        <f aca="false">IFERROR(INDEX(Product_Master!$C$2:$C$9,MATCH(E723,Product_Master!$A$2:$A$9,0)),"UNMATCHED")</f>
        <v>Home Care</v>
      </c>
      <c r="I723" s="42" t="str">
        <f aca="false">IFERROR(INDEX(Product_Master!$B$2:$B$9,MATCH(E723,Product_Master!$A$2:$A$9,0)),"UNMATCHED")</f>
        <v>Dishwash Gel</v>
      </c>
      <c r="J723" s="42" t="n">
        <f aca="false">IFERROR(INDEX(Calendar!$B$2:$B$25,MATCH(B723,Calendar!$A$2:$A$25,0)),0)</f>
        <v>2026</v>
      </c>
      <c r="K723" s="42" t="n">
        <f aca="false">IFERROR(VALUE(RIGHT(B723,2)),0)</f>
        <v>9</v>
      </c>
      <c r="L723" s="42" t="str">
        <f aca="false">IFERROR(INDEX(Calendar!$E$2:$E$25,MATCH(B723,Calendar!$A$2:$A$25,0)),"UNMATCHED")</f>
        <v>Actual</v>
      </c>
      <c r="M723" s="42" t="n">
        <f aca="false">Sales_Transactions!F723</f>
        <v>169</v>
      </c>
      <c r="N723" s="52" t="n">
        <f aca="false">Sales_Transactions!I723</f>
        <v>22855.56</v>
      </c>
      <c r="O723" s="52" t="n">
        <f aca="false">Sales_Transactions!J723</f>
        <v>14168.96</v>
      </c>
      <c r="P723" s="52" t="n">
        <f aca="false">Sales_Transactions!K723</f>
        <v>8686.6</v>
      </c>
      <c r="Q723" s="42" t="n">
        <f aca="false">IF(ISNUMBER(MATCH(E723,Product_Master!$A$2:$A$9,0)),0,1)</f>
        <v>0</v>
      </c>
      <c r="R723" s="42" t="n">
        <f aca="false">IF(ISNUMBER(MATCH(D723,Customer_Master!$A$2:$A$49,0)),0,1)</f>
        <v>0</v>
      </c>
      <c r="S723" s="42" t="n">
        <f aca="false">IF(ISNUMBER(MATCH(B723,Calendar!$A$2:$A$25,0)),0,1)</f>
        <v>0</v>
      </c>
      <c r="T723" s="42" t="n">
        <f aca="false">IF(COUNTIF(Sales_Transactions!$A$2:$A$865,A723)&gt;1,1,0)</f>
        <v>0</v>
      </c>
      <c r="U723" s="42" t="n">
        <f aca="false">IF(OR(ABS(Sales_Transactions!F723*Sales_Transactions!G723-Sales_Transactions!I723)&gt;0.01,ABS(Sales_Transactions!F723*Sales_Transactions!H723-Sales_Transactions!J723)&gt;0.01,ABS(Sales_Transactions!I723-Sales_Transactions!J723-Sales_Transactions!K723)&gt;0.01),1,0)</f>
        <v>0</v>
      </c>
      <c r="V723" s="42" t="n">
        <f aca="false">IF(C723&lt;&gt;L723,1,0)</f>
        <v>0</v>
      </c>
      <c r="W723" s="42" t="n">
        <f aca="false">IF(SUM(Q723:V723)&gt;0,1,0)</f>
        <v>0</v>
      </c>
    </row>
    <row r="724" customFormat="false" ht="15" hidden="false" customHeight="false" outlineLevel="0" collapsed="false">
      <c r="A724" s="42" t="str">
        <f aca="false">Sales_Transactions!A724</f>
        <v>INV-21-003</v>
      </c>
      <c r="B724" s="42" t="str">
        <f aca="false">Sales_Transactions!B724</f>
        <v>2026-09</v>
      </c>
      <c r="C724" s="42" t="str">
        <f aca="false">Sales_Transactions!C724</f>
        <v>Actual</v>
      </c>
      <c r="D724" s="42" t="str">
        <f aca="false">Sales_Transactions!D724</f>
        <v>C027</v>
      </c>
      <c r="E724" s="42" t="str">
        <f aca="false">Sales_Transactions!E724</f>
        <v>P007</v>
      </c>
      <c r="F724" s="42" t="str">
        <f aca="false">IFERROR(INDEX(Customer_Master!$C$2:$C$49,MATCH(D724,Customer_Master!$A$2:$A$49,0)),"UNMATCHED")</f>
        <v>West</v>
      </c>
      <c r="G724" s="42" t="str">
        <f aca="false">IFERROR(INDEX(Customer_Master!$D$2:$D$49,MATCH(D724,Customer_Master!$A$2:$A$49,0)),"UNMATCHED")</f>
        <v>Retail</v>
      </c>
      <c r="H724" s="42" t="str">
        <f aca="false">IFERROR(INDEX(Product_Master!$C$2:$C$9,MATCH(E724,Product_Master!$A$2:$A$9,0)),"UNMATCHED")</f>
        <v>Home Care</v>
      </c>
      <c r="I724" s="42" t="str">
        <f aca="false">IFERROR(INDEX(Product_Master!$B$2:$B$9,MATCH(E724,Product_Master!$A$2:$A$9,0)),"UNMATCHED")</f>
        <v>Floor Cleaner</v>
      </c>
      <c r="J724" s="42" t="n">
        <f aca="false">IFERROR(INDEX(Calendar!$B$2:$B$25,MATCH(B724,Calendar!$A$2:$A$25,0)),0)</f>
        <v>2026</v>
      </c>
      <c r="K724" s="42" t="n">
        <f aca="false">IFERROR(VALUE(RIGHT(B724,2)),0)</f>
        <v>9</v>
      </c>
      <c r="L724" s="42" t="str">
        <f aca="false">IFERROR(INDEX(Calendar!$E$2:$E$25,MATCH(B724,Calendar!$A$2:$A$25,0)),"UNMATCHED")</f>
        <v>Actual</v>
      </c>
      <c r="M724" s="42" t="n">
        <f aca="false">Sales_Transactions!F724</f>
        <v>144</v>
      </c>
      <c r="N724" s="52" t="n">
        <f aca="false">Sales_Transactions!I724</f>
        <v>26769.6</v>
      </c>
      <c r="O724" s="52" t="n">
        <f aca="false">Sales_Transactions!J724</f>
        <v>16871.04</v>
      </c>
      <c r="P724" s="52" t="n">
        <f aca="false">Sales_Transactions!K724</f>
        <v>9898.56</v>
      </c>
      <c r="Q724" s="42" t="n">
        <f aca="false">IF(ISNUMBER(MATCH(E724,Product_Master!$A$2:$A$9,0)),0,1)</f>
        <v>0</v>
      </c>
      <c r="R724" s="42" t="n">
        <f aca="false">IF(ISNUMBER(MATCH(D724,Customer_Master!$A$2:$A$49,0)),0,1)</f>
        <v>0</v>
      </c>
      <c r="S724" s="42" t="n">
        <f aca="false">IF(ISNUMBER(MATCH(B724,Calendar!$A$2:$A$25,0)),0,1)</f>
        <v>0</v>
      </c>
      <c r="T724" s="42" t="n">
        <f aca="false">IF(COUNTIF(Sales_Transactions!$A$2:$A$865,A724)&gt;1,1,0)</f>
        <v>0</v>
      </c>
      <c r="U724" s="42" t="n">
        <f aca="false">IF(OR(ABS(Sales_Transactions!F724*Sales_Transactions!G724-Sales_Transactions!I724)&gt;0.01,ABS(Sales_Transactions!F724*Sales_Transactions!H724-Sales_Transactions!J724)&gt;0.01,ABS(Sales_Transactions!I724-Sales_Transactions!J724-Sales_Transactions!K724)&gt;0.01),1,0)</f>
        <v>0</v>
      </c>
      <c r="V724" s="42" t="n">
        <f aca="false">IF(C724&lt;&gt;L724,1,0)</f>
        <v>0</v>
      </c>
      <c r="W724" s="42" t="n">
        <f aca="false">IF(SUM(Q724:V724)&gt;0,1,0)</f>
        <v>0</v>
      </c>
    </row>
    <row r="725" customFormat="false" ht="15" hidden="false" customHeight="false" outlineLevel="0" collapsed="false">
      <c r="A725" s="42" t="str">
        <f aca="false">Sales_Transactions!A725</f>
        <v>INV-21-004</v>
      </c>
      <c r="B725" s="42" t="str">
        <f aca="false">Sales_Transactions!B725</f>
        <v>2026-09</v>
      </c>
      <c r="C725" s="42" t="str">
        <f aca="false">Sales_Transactions!C725</f>
        <v>Actual</v>
      </c>
      <c r="D725" s="42" t="str">
        <f aca="false">Sales_Transactions!D725</f>
        <v>C034</v>
      </c>
      <c r="E725" s="42" t="str">
        <f aca="false">Sales_Transactions!E725</f>
        <v>P004</v>
      </c>
      <c r="F725" s="42" t="str">
        <f aca="false">IFERROR(INDEX(Customer_Master!$C$2:$C$49,MATCH(D725,Customer_Master!$A$2:$A$49,0)),"UNMATCHED")</f>
        <v>North</v>
      </c>
      <c r="G725" s="42" t="str">
        <f aca="false">IFERROR(INDEX(Customer_Master!$D$2:$D$49,MATCH(D725,Customer_Master!$A$2:$A$49,0)),"UNMATCHED")</f>
        <v>Distributor</v>
      </c>
      <c r="H725" s="42" t="str">
        <f aca="false">IFERROR(INDEX(Product_Master!$C$2:$C$9,MATCH(E725,Product_Master!$A$2:$A$9,0)),"UNMATCHED")</f>
        <v>Personal Care</v>
      </c>
      <c r="I725" s="42" t="str">
        <f aca="false">IFERROR(INDEX(Product_Master!$B$2:$B$9,MATCH(E725,Product_Master!$A$2:$A$9,0)),"UNMATCHED")</f>
        <v>Soap 4-pack</v>
      </c>
      <c r="J725" s="42" t="n">
        <f aca="false">IFERROR(INDEX(Calendar!$B$2:$B$25,MATCH(B725,Calendar!$A$2:$A$25,0)),0)</f>
        <v>2026</v>
      </c>
      <c r="K725" s="42" t="n">
        <f aca="false">IFERROR(VALUE(RIGHT(B725,2)),0)</f>
        <v>9</v>
      </c>
      <c r="L725" s="42" t="str">
        <f aca="false">IFERROR(INDEX(Calendar!$E$2:$E$25,MATCH(B725,Calendar!$A$2:$A$25,0)),"UNMATCHED")</f>
        <v>Actual</v>
      </c>
      <c r="M725" s="42" t="n">
        <f aca="false">Sales_Transactions!F725</f>
        <v>335</v>
      </c>
      <c r="N725" s="52" t="n">
        <f aca="false">Sales_Transactions!I725</f>
        <v>52869.7</v>
      </c>
      <c r="O725" s="52" t="n">
        <f aca="false">Sales_Transactions!J725</f>
        <v>32843.4</v>
      </c>
      <c r="P725" s="52" t="n">
        <f aca="false">Sales_Transactions!K725</f>
        <v>20026.3</v>
      </c>
      <c r="Q725" s="42" t="n">
        <f aca="false">IF(ISNUMBER(MATCH(E725,Product_Master!$A$2:$A$9,0)),0,1)</f>
        <v>0</v>
      </c>
      <c r="R725" s="42" t="n">
        <f aca="false">IF(ISNUMBER(MATCH(D725,Customer_Master!$A$2:$A$49,0)),0,1)</f>
        <v>0</v>
      </c>
      <c r="S725" s="42" t="n">
        <f aca="false">IF(ISNUMBER(MATCH(B725,Calendar!$A$2:$A$25,0)),0,1)</f>
        <v>0</v>
      </c>
      <c r="T725" s="42" t="n">
        <f aca="false">IF(COUNTIF(Sales_Transactions!$A$2:$A$865,A725)&gt;1,1,0)</f>
        <v>0</v>
      </c>
      <c r="U725" s="42" t="n">
        <f aca="false">IF(OR(ABS(Sales_Transactions!F725*Sales_Transactions!G725-Sales_Transactions!I725)&gt;0.01,ABS(Sales_Transactions!F725*Sales_Transactions!H725-Sales_Transactions!J725)&gt;0.01,ABS(Sales_Transactions!I725-Sales_Transactions!J725-Sales_Transactions!K725)&gt;0.01),1,0)</f>
        <v>0</v>
      </c>
      <c r="V725" s="42" t="n">
        <f aca="false">IF(C725&lt;&gt;L725,1,0)</f>
        <v>0</v>
      </c>
      <c r="W725" s="42" t="n">
        <f aca="false">IF(SUM(Q725:V725)&gt;0,1,0)</f>
        <v>0</v>
      </c>
    </row>
    <row r="726" customFormat="false" ht="15" hidden="false" customHeight="false" outlineLevel="0" collapsed="false">
      <c r="A726" s="42" t="str">
        <f aca="false">Sales_Transactions!A726</f>
        <v>INV-21-005</v>
      </c>
      <c r="B726" s="42" t="str">
        <f aca="false">Sales_Transactions!B726</f>
        <v>2026-09</v>
      </c>
      <c r="C726" s="42" t="str">
        <f aca="false">Sales_Transactions!C726</f>
        <v>Actual</v>
      </c>
      <c r="D726" s="42" t="str">
        <f aca="false">Sales_Transactions!D726</f>
        <v>C041</v>
      </c>
      <c r="E726" s="42" t="str">
        <f aca="false">Sales_Transactions!E726</f>
        <v>P001</v>
      </c>
      <c r="F726" s="42" t="str">
        <f aca="false">IFERROR(INDEX(Customer_Master!$C$2:$C$49,MATCH(D726,Customer_Master!$A$2:$A$49,0)),"UNMATCHED")</f>
        <v>South</v>
      </c>
      <c r="G726" s="42" t="str">
        <f aca="false">IFERROR(INDEX(Customer_Master!$D$2:$D$49,MATCH(D726,Customer_Master!$A$2:$A$49,0)),"UNMATCHED")</f>
        <v>Modern Trade</v>
      </c>
      <c r="H726" s="42" t="str">
        <f aca="false">IFERROR(INDEX(Product_Master!$C$2:$C$9,MATCH(E726,Product_Master!$A$2:$A$9,0)),"UNMATCHED")</f>
        <v>Home Care</v>
      </c>
      <c r="I726" s="42" t="str">
        <f aca="false">IFERROR(INDEX(Product_Master!$B$2:$B$9,MATCH(E726,Product_Master!$A$2:$A$9,0)),"UNMATCHED")</f>
        <v>Detergent 1kg</v>
      </c>
      <c r="J726" s="42" t="n">
        <f aca="false">IFERROR(INDEX(Calendar!$B$2:$B$25,MATCH(B726,Calendar!$A$2:$A$25,0)),0)</f>
        <v>2026</v>
      </c>
      <c r="K726" s="42" t="n">
        <f aca="false">IFERROR(VALUE(RIGHT(B726,2)),0)</f>
        <v>9</v>
      </c>
      <c r="L726" s="42" t="str">
        <f aca="false">IFERROR(INDEX(Calendar!$E$2:$E$25,MATCH(B726,Calendar!$A$2:$A$25,0)),"UNMATCHED")</f>
        <v>Actual</v>
      </c>
      <c r="M726" s="42" t="n">
        <f aca="false">Sales_Transactions!F726</f>
        <v>113</v>
      </c>
      <c r="N726" s="52" t="n">
        <f aca="false">Sales_Transactions!I726</f>
        <v>22518.64</v>
      </c>
      <c r="O726" s="52" t="n">
        <f aca="false">Sales_Transactions!J726</f>
        <v>15238.05</v>
      </c>
      <c r="P726" s="52" t="n">
        <f aca="false">Sales_Transactions!K726</f>
        <v>7280.59</v>
      </c>
      <c r="Q726" s="42" t="n">
        <f aca="false">IF(ISNUMBER(MATCH(E726,Product_Master!$A$2:$A$9,0)),0,1)</f>
        <v>0</v>
      </c>
      <c r="R726" s="42" t="n">
        <f aca="false">IF(ISNUMBER(MATCH(D726,Customer_Master!$A$2:$A$49,0)),0,1)</f>
        <v>0</v>
      </c>
      <c r="S726" s="42" t="n">
        <f aca="false">IF(ISNUMBER(MATCH(B726,Calendar!$A$2:$A$25,0)),0,1)</f>
        <v>0</v>
      </c>
      <c r="T726" s="42" t="n">
        <f aca="false">IF(COUNTIF(Sales_Transactions!$A$2:$A$865,A726)&gt;1,1,0)</f>
        <v>0</v>
      </c>
      <c r="U726" s="42" t="n">
        <f aca="false">IF(OR(ABS(Sales_Transactions!F726*Sales_Transactions!G726-Sales_Transactions!I726)&gt;0.01,ABS(Sales_Transactions!F726*Sales_Transactions!H726-Sales_Transactions!J726)&gt;0.01,ABS(Sales_Transactions!I726-Sales_Transactions!J726-Sales_Transactions!K726)&gt;0.01),1,0)</f>
        <v>0</v>
      </c>
      <c r="V726" s="42" t="n">
        <f aca="false">IF(C726&lt;&gt;L726,1,0)</f>
        <v>0</v>
      </c>
      <c r="W726" s="42" t="n">
        <f aca="false">IF(SUM(Q726:V726)&gt;0,1,0)</f>
        <v>0</v>
      </c>
    </row>
    <row r="727" customFormat="false" ht="15" hidden="false" customHeight="false" outlineLevel="0" collapsed="false">
      <c r="A727" s="42" t="str">
        <f aca="false">Sales_Transactions!A727</f>
        <v>INV-21-006</v>
      </c>
      <c r="B727" s="42" t="str">
        <f aca="false">Sales_Transactions!B727</f>
        <v>2026-09</v>
      </c>
      <c r="C727" s="42" t="str">
        <f aca="false">Sales_Transactions!C727</f>
        <v>Actual</v>
      </c>
      <c r="D727" s="42" t="str">
        <f aca="false">Sales_Transactions!D727</f>
        <v>C048</v>
      </c>
      <c r="E727" s="42" t="str">
        <f aca="false">Sales_Transactions!E727</f>
        <v>P006</v>
      </c>
      <c r="F727" s="42" t="str">
        <f aca="false">IFERROR(INDEX(Customer_Master!$C$2:$C$49,MATCH(D727,Customer_Master!$A$2:$A$49,0)),"UNMATCHED")</f>
        <v>East</v>
      </c>
      <c r="G727" s="42" t="str">
        <f aca="false">IFERROR(INDEX(Customer_Master!$D$2:$D$49,MATCH(D727,Customer_Master!$A$2:$A$49,0)),"UNMATCHED")</f>
        <v>Retail</v>
      </c>
      <c r="H727" s="42" t="str">
        <f aca="false">IFERROR(INDEX(Product_Master!$C$2:$C$9,MATCH(E727,Product_Master!$A$2:$A$9,0)),"UNMATCHED")</f>
        <v>Foods</v>
      </c>
      <c r="I727" s="42" t="str">
        <f aca="false">IFERROR(INDEX(Product_Master!$B$2:$B$9,MATCH(E727,Product_Master!$A$2:$A$9,0)),"UNMATCHED")</f>
        <v>Breakfast Cereal</v>
      </c>
      <c r="J727" s="42" t="n">
        <f aca="false">IFERROR(INDEX(Calendar!$B$2:$B$25,MATCH(B727,Calendar!$A$2:$A$25,0)),0)</f>
        <v>2026</v>
      </c>
      <c r="K727" s="42" t="n">
        <f aca="false">IFERROR(VALUE(RIGHT(B727,2)),0)</f>
        <v>9</v>
      </c>
      <c r="L727" s="42" t="str">
        <f aca="false">IFERROR(INDEX(Calendar!$E$2:$E$25,MATCH(B727,Calendar!$A$2:$A$25,0)),"UNMATCHED")</f>
        <v>Actual</v>
      </c>
      <c r="M727" s="42" t="n">
        <f aca="false">Sales_Transactions!F727</f>
        <v>318</v>
      </c>
      <c r="N727" s="52" t="n">
        <f aca="false">Sales_Transactions!I727</f>
        <v>78113.52</v>
      </c>
      <c r="O727" s="52" t="n">
        <f aca="false">Sales_Transactions!J727</f>
        <v>50949.96</v>
      </c>
      <c r="P727" s="52" t="n">
        <f aca="false">Sales_Transactions!K727</f>
        <v>27163.56</v>
      </c>
      <c r="Q727" s="42" t="n">
        <f aca="false">IF(ISNUMBER(MATCH(E727,Product_Master!$A$2:$A$9,0)),0,1)</f>
        <v>0</v>
      </c>
      <c r="R727" s="42" t="n">
        <f aca="false">IF(ISNUMBER(MATCH(D727,Customer_Master!$A$2:$A$49,0)),0,1)</f>
        <v>0</v>
      </c>
      <c r="S727" s="42" t="n">
        <f aca="false">IF(ISNUMBER(MATCH(B727,Calendar!$A$2:$A$25,0)),0,1)</f>
        <v>0</v>
      </c>
      <c r="T727" s="42" t="n">
        <f aca="false">IF(COUNTIF(Sales_Transactions!$A$2:$A$865,A727)&gt;1,1,0)</f>
        <v>0</v>
      </c>
      <c r="U727" s="42" t="n">
        <f aca="false">IF(OR(ABS(Sales_Transactions!F727*Sales_Transactions!G727-Sales_Transactions!I727)&gt;0.01,ABS(Sales_Transactions!F727*Sales_Transactions!H727-Sales_Transactions!J727)&gt;0.01,ABS(Sales_Transactions!I727-Sales_Transactions!J727-Sales_Transactions!K727)&gt;0.01),1,0)</f>
        <v>0</v>
      </c>
      <c r="V727" s="42" t="n">
        <f aca="false">IF(C727&lt;&gt;L727,1,0)</f>
        <v>0</v>
      </c>
      <c r="W727" s="42" t="n">
        <f aca="false">IF(SUM(Q727:V727)&gt;0,1,0)</f>
        <v>0</v>
      </c>
    </row>
    <row r="728" customFormat="false" ht="15" hidden="false" customHeight="false" outlineLevel="0" collapsed="false">
      <c r="A728" s="42" t="str">
        <f aca="false">Sales_Transactions!A728</f>
        <v>INV-21-007</v>
      </c>
      <c r="B728" s="42" t="str">
        <f aca="false">Sales_Transactions!B728</f>
        <v>2026-09</v>
      </c>
      <c r="C728" s="42" t="str">
        <f aca="false">Sales_Transactions!C728</f>
        <v>Actual</v>
      </c>
      <c r="D728" s="42" t="str">
        <f aca="false">Sales_Transactions!D728</f>
        <v>C007</v>
      </c>
      <c r="E728" s="42" t="str">
        <f aca="false">Sales_Transactions!E728</f>
        <v>P003</v>
      </c>
      <c r="F728" s="42" t="str">
        <f aca="false">IFERROR(INDEX(Customer_Master!$C$2:$C$49,MATCH(D728,Customer_Master!$A$2:$A$49,0)),"UNMATCHED")</f>
        <v>West</v>
      </c>
      <c r="G728" s="42" t="str">
        <f aca="false">IFERROR(INDEX(Customer_Master!$D$2:$D$49,MATCH(D728,Customer_Master!$A$2:$A$49,0)),"UNMATCHED")</f>
        <v>Distributor</v>
      </c>
      <c r="H728" s="42" t="str">
        <f aca="false">IFERROR(INDEX(Product_Master!$C$2:$C$9,MATCH(E728,Product_Master!$A$2:$A$9,0)),"UNMATCHED")</f>
        <v>Personal Care</v>
      </c>
      <c r="I728" s="42" t="str">
        <f aca="false">IFERROR(INDEX(Product_Master!$B$2:$B$9,MATCH(E728,Product_Master!$A$2:$A$9,0)),"UNMATCHED")</f>
        <v>Shampoo 400ml</v>
      </c>
      <c r="J728" s="42" t="n">
        <f aca="false">IFERROR(INDEX(Calendar!$B$2:$B$25,MATCH(B728,Calendar!$A$2:$A$25,0)),0)</f>
        <v>2026</v>
      </c>
      <c r="K728" s="42" t="n">
        <f aca="false">IFERROR(VALUE(RIGHT(B728,2)),0)</f>
        <v>9</v>
      </c>
      <c r="L728" s="42" t="str">
        <f aca="false">IFERROR(INDEX(Calendar!$E$2:$E$25,MATCH(B728,Calendar!$A$2:$A$25,0)),"UNMATCHED")</f>
        <v>Actual</v>
      </c>
      <c r="M728" s="42" t="n">
        <f aca="false">Sales_Transactions!F728</f>
        <v>429</v>
      </c>
      <c r="N728" s="52" t="n">
        <f aca="false">Sales_Transactions!I728</f>
        <v>119506.53</v>
      </c>
      <c r="O728" s="52" t="n">
        <f aca="false">Sales_Transactions!J728</f>
        <v>76791</v>
      </c>
      <c r="P728" s="52" t="n">
        <f aca="false">Sales_Transactions!K728</f>
        <v>42715.53</v>
      </c>
      <c r="Q728" s="42" t="n">
        <f aca="false">IF(ISNUMBER(MATCH(E728,Product_Master!$A$2:$A$9,0)),0,1)</f>
        <v>0</v>
      </c>
      <c r="R728" s="42" t="n">
        <f aca="false">IF(ISNUMBER(MATCH(D728,Customer_Master!$A$2:$A$49,0)),0,1)</f>
        <v>0</v>
      </c>
      <c r="S728" s="42" t="n">
        <f aca="false">IF(ISNUMBER(MATCH(B728,Calendar!$A$2:$A$25,0)),0,1)</f>
        <v>0</v>
      </c>
      <c r="T728" s="42" t="n">
        <f aca="false">IF(COUNTIF(Sales_Transactions!$A$2:$A$865,A728)&gt;1,1,0)</f>
        <v>0</v>
      </c>
      <c r="U728" s="42" t="n">
        <f aca="false">IF(OR(ABS(Sales_Transactions!F728*Sales_Transactions!G728-Sales_Transactions!I728)&gt;0.01,ABS(Sales_Transactions!F728*Sales_Transactions!H728-Sales_Transactions!J728)&gt;0.01,ABS(Sales_Transactions!I728-Sales_Transactions!J728-Sales_Transactions!K728)&gt;0.01),1,0)</f>
        <v>0</v>
      </c>
      <c r="V728" s="42" t="n">
        <f aca="false">IF(C728&lt;&gt;L728,1,0)</f>
        <v>0</v>
      </c>
      <c r="W728" s="42" t="n">
        <f aca="false">IF(SUM(Q728:V728)&gt;0,1,0)</f>
        <v>0</v>
      </c>
    </row>
    <row r="729" customFormat="false" ht="15" hidden="false" customHeight="false" outlineLevel="0" collapsed="false">
      <c r="A729" s="42" t="str">
        <f aca="false">Sales_Transactions!A729</f>
        <v>INV-21-008</v>
      </c>
      <c r="B729" s="42" t="str">
        <f aca="false">Sales_Transactions!B729</f>
        <v>2026-09</v>
      </c>
      <c r="C729" s="42" t="str">
        <f aca="false">Sales_Transactions!C729</f>
        <v>Actual</v>
      </c>
      <c r="D729" s="42" t="str">
        <f aca="false">Sales_Transactions!D729</f>
        <v>C014</v>
      </c>
      <c r="E729" s="42" t="str">
        <f aca="false">Sales_Transactions!E729</f>
        <v>P008</v>
      </c>
      <c r="F729" s="42" t="str">
        <f aca="false">IFERROR(INDEX(Customer_Master!$C$2:$C$49,MATCH(D729,Customer_Master!$A$2:$A$49,0)),"UNMATCHED")</f>
        <v>North</v>
      </c>
      <c r="G729" s="42" t="str">
        <f aca="false">IFERROR(INDEX(Customer_Master!$D$2:$D$49,MATCH(D729,Customer_Master!$A$2:$A$49,0)),"UNMATCHED")</f>
        <v>Modern Trade</v>
      </c>
      <c r="H729" s="42" t="str">
        <f aca="false">IFERROR(INDEX(Product_Master!$C$2:$C$9,MATCH(E729,Product_Master!$A$2:$A$9,0)),"UNMATCHED")</f>
        <v>Personal Care</v>
      </c>
      <c r="I729" s="42" t="str">
        <f aca="false">IFERROR(INDEX(Product_Master!$B$2:$B$9,MATCH(E729,Product_Master!$A$2:$A$9,0)),"UNMATCHED")</f>
        <v>Body Lotion</v>
      </c>
      <c r="J729" s="42" t="n">
        <f aca="false">IFERROR(INDEX(Calendar!$B$2:$B$25,MATCH(B729,Calendar!$A$2:$A$25,0)),0)</f>
        <v>2026</v>
      </c>
      <c r="K729" s="42" t="n">
        <f aca="false">IFERROR(VALUE(RIGHT(B729,2)),0)</f>
        <v>9</v>
      </c>
      <c r="L729" s="42" t="str">
        <f aca="false">IFERROR(INDEX(Calendar!$E$2:$E$25,MATCH(B729,Calendar!$A$2:$A$25,0)),"UNMATCHED")</f>
        <v>Actual</v>
      </c>
      <c r="M729" s="42" t="n">
        <f aca="false">Sales_Transactions!F729</f>
        <v>287</v>
      </c>
      <c r="N729" s="52" t="n">
        <f aca="false">Sales_Transactions!I729</f>
        <v>86100</v>
      </c>
      <c r="O729" s="52" t="n">
        <f aca="false">Sales_Transactions!J729</f>
        <v>55675.13</v>
      </c>
      <c r="P729" s="52" t="n">
        <f aca="false">Sales_Transactions!K729</f>
        <v>30424.87</v>
      </c>
      <c r="Q729" s="42" t="n">
        <f aca="false">IF(ISNUMBER(MATCH(E729,Product_Master!$A$2:$A$9,0)),0,1)</f>
        <v>0</v>
      </c>
      <c r="R729" s="42" t="n">
        <f aca="false">IF(ISNUMBER(MATCH(D729,Customer_Master!$A$2:$A$49,0)),0,1)</f>
        <v>0</v>
      </c>
      <c r="S729" s="42" t="n">
        <f aca="false">IF(ISNUMBER(MATCH(B729,Calendar!$A$2:$A$25,0)),0,1)</f>
        <v>0</v>
      </c>
      <c r="T729" s="42" t="n">
        <f aca="false">IF(COUNTIF(Sales_Transactions!$A$2:$A$865,A729)&gt;1,1,0)</f>
        <v>0</v>
      </c>
      <c r="U729" s="42" t="n">
        <f aca="false">IF(OR(ABS(Sales_Transactions!F729*Sales_Transactions!G729-Sales_Transactions!I729)&gt;0.01,ABS(Sales_Transactions!F729*Sales_Transactions!H729-Sales_Transactions!J729)&gt;0.01,ABS(Sales_Transactions!I729-Sales_Transactions!J729-Sales_Transactions!K729)&gt;0.01),1,0)</f>
        <v>0</v>
      </c>
      <c r="V729" s="42" t="n">
        <f aca="false">IF(C729&lt;&gt;L729,1,0)</f>
        <v>0</v>
      </c>
      <c r="W729" s="42" t="n">
        <f aca="false">IF(SUM(Q729:V729)&gt;0,1,0)</f>
        <v>0</v>
      </c>
    </row>
    <row r="730" customFormat="false" ht="15" hidden="false" customHeight="false" outlineLevel="0" collapsed="false">
      <c r="A730" s="42" t="str">
        <f aca="false">Sales_Transactions!A730</f>
        <v>INV-21-009</v>
      </c>
      <c r="B730" s="42" t="str">
        <f aca="false">Sales_Transactions!B730</f>
        <v>2026-09</v>
      </c>
      <c r="C730" s="42" t="str">
        <f aca="false">Sales_Transactions!C730</f>
        <v>Actual</v>
      </c>
      <c r="D730" s="42" t="str">
        <f aca="false">Sales_Transactions!D730</f>
        <v>C021</v>
      </c>
      <c r="E730" s="42" t="str">
        <f aca="false">Sales_Transactions!E730</f>
        <v>P005</v>
      </c>
      <c r="F730" s="42" t="str">
        <f aca="false">IFERROR(INDEX(Customer_Master!$C$2:$C$49,MATCH(D730,Customer_Master!$A$2:$A$49,0)),"UNMATCHED")</f>
        <v>South</v>
      </c>
      <c r="G730" s="42" t="str">
        <f aca="false">IFERROR(INDEX(Customer_Master!$D$2:$D$49,MATCH(D730,Customer_Master!$A$2:$A$49,0)),"UNMATCHED")</f>
        <v>Retail</v>
      </c>
      <c r="H730" s="42" t="str">
        <f aca="false">IFERROR(INDEX(Product_Master!$C$2:$C$9,MATCH(E730,Product_Master!$A$2:$A$9,0)),"UNMATCHED")</f>
        <v>Foods</v>
      </c>
      <c r="I730" s="42" t="str">
        <f aca="false">IFERROR(INDEX(Product_Master!$B$2:$B$9,MATCH(E730,Product_Master!$A$2:$A$9,0)),"UNMATCHED")</f>
        <v>Biscuits 500g</v>
      </c>
      <c r="J730" s="42" t="n">
        <f aca="false">IFERROR(INDEX(Calendar!$B$2:$B$25,MATCH(B730,Calendar!$A$2:$A$25,0)),0)</f>
        <v>2026</v>
      </c>
      <c r="K730" s="42" t="n">
        <f aca="false">IFERROR(VALUE(RIGHT(B730,2)),0)</f>
        <v>9</v>
      </c>
      <c r="L730" s="42" t="str">
        <f aca="false">IFERROR(INDEX(Calendar!$E$2:$E$25,MATCH(B730,Calendar!$A$2:$A$25,0)),"UNMATCHED")</f>
        <v>Actual</v>
      </c>
      <c r="M730" s="42" t="n">
        <f aca="false">Sales_Transactions!F730</f>
        <v>196</v>
      </c>
      <c r="N730" s="52" t="n">
        <f aca="false">Sales_Transactions!I730</f>
        <v>20809.32</v>
      </c>
      <c r="O730" s="52" t="n">
        <f aca="false">Sales_Transactions!J730</f>
        <v>12677.28</v>
      </c>
      <c r="P730" s="52" t="n">
        <f aca="false">Sales_Transactions!K730</f>
        <v>8132.04</v>
      </c>
      <c r="Q730" s="42" t="n">
        <f aca="false">IF(ISNUMBER(MATCH(E730,Product_Master!$A$2:$A$9,0)),0,1)</f>
        <v>0</v>
      </c>
      <c r="R730" s="42" t="n">
        <f aca="false">IF(ISNUMBER(MATCH(D730,Customer_Master!$A$2:$A$49,0)),0,1)</f>
        <v>0</v>
      </c>
      <c r="S730" s="42" t="n">
        <f aca="false">IF(ISNUMBER(MATCH(B730,Calendar!$A$2:$A$25,0)),0,1)</f>
        <v>0</v>
      </c>
      <c r="T730" s="42" t="n">
        <f aca="false">IF(COUNTIF(Sales_Transactions!$A$2:$A$865,A730)&gt;1,1,0)</f>
        <v>0</v>
      </c>
      <c r="U730" s="42" t="n">
        <f aca="false">IF(OR(ABS(Sales_Transactions!F730*Sales_Transactions!G730-Sales_Transactions!I730)&gt;0.01,ABS(Sales_Transactions!F730*Sales_Transactions!H730-Sales_Transactions!J730)&gt;0.01,ABS(Sales_Transactions!I730-Sales_Transactions!J730-Sales_Transactions!K730)&gt;0.01),1,0)</f>
        <v>0</v>
      </c>
      <c r="V730" s="42" t="n">
        <f aca="false">IF(C730&lt;&gt;L730,1,0)</f>
        <v>0</v>
      </c>
      <c r="W730" s="42" t="n">
        <f aca="false">IF(SUM(Q730:V730)&gt;0,1,0)</f>
        <v>0</v>
      </c>
    </row>
    <row r="731" customFormat="false" ht="15" hidden="false" customHeight="false" outlineLevel="0" collapsed="false">
      <c r="A731" s="42" t="str">
        <f aca="false">Sales_Transactions!A731</f>
        <v>INV-21-010</v>
      </c>
      <c r="B731" s="42" t="str">
        <f aca="false">Sales_Transactions!B731</f>
        <v>2026-09</v>
      </c>
      <c r="C731" s="42" t="str">
        <f aca="false">Sales_Transactions!C731</f>
        <v>Actual</v>
      </c>
      <c r="D731" s="42" t="str">
        <f aca="false">Sales_Transactions!D731</f>
        <v>C028</v>
      </c>
      <c r="E731" s="42" t="str">
        <f aca="false">Sales_Transactions!E731</f>
        <v>P002</v>
      </c>
      <c r="F731" s="42" t="str">
        <f aca="false">IFERROR(INDEX(Customer_Master!$C$2:$C$49,MATCH(D731,Customer_Master!$A$2:$A$49,0)),"UNMATCHED")</f>
        <v>East</v>
      </c>
      <c r="G731" s="42" t="str">
        <f aca="false">IFERROR(INDEX(Customer_Master!$D$2:$D$49,MATCH(D731,Customer_Master!$A$2:$A$49,0)),"UNMATCHED")</f>
        <v>Distributor</v>
      </c>
      <c r="H731" s="42" t="str">
        <f aca="false">IFERROR(INDEX(Product_Master!$C$2:$C$9,MATCH(E731,Product_Master!$A$2:$A$9,0)),"UNMATCHED")</f>
        <v>Home Care</v>
      </c>
      <c r="I731" s="42" t="str">
        <f aca="false">IFERROR(INDEX(Product_Master!$B$2:$B$9,MATCH(E731,Product_Master!$A$2:$A$9,0)),"UNMATCHED")</f>
        <v>Dishwash Gel</v>
      </c>
      <c r="J731" s="42" t="n">
        <f aca="false">IFERROR(INDEX(Calendar!$B$2:$B$25,MATCH(B731,Calendar!$A$2:$A$25,0)),0)</f>
        <v>2026</v>
      </c>
      <c r="K731" s="42" t="n">
        <f aca="false">IFERROR(VALUE(RIGHT(B731,2)),0)</f>
        <v>9</v>
      </c>
      <c r="L731" s="42" t="str">
        <f aca="false">IFERROR(INDEX(Calendar!$E$2:$E$25,MATCH(B731,Calendar!$A$2:$A$25,0)),"UNMATCHED")</f>
        <v>Actual</v>
      </c>
      <c r="M731" s="42" t="n">
        <f aca="false">Sales_Transactions!F731</f>
        <v>261</v>
      </c>
      <c r="N731" s="52" t="n">
        <f aca="false">Sales_Transactions!I731</f>
        <v>37127.25</v>
      </c>
      <c r="O731" s="52" t="n">
        <f aca="false">Sales_Transactions!J731</f>
        <v>21937.05</v>
      </c>
      <c r="P731" s="52" t="n">
        <f aca="false">Sales_Transactions!K731</f>
        <v>15190.2</v>
      </c>
      <c r="Q731" s="42" t="n">
        <f aca="false">IF(ISNUMBER(MATCH(E731,Product_Master!$A$2:$A$9,0)),0,1)</f>
        <v>0</v>
      </c>
      <c r="R731" s="42" t="n">
        <f aca="false">IF(ISNUMBER(MATCH(D731,Customer_Master!$A$2:$A$49,0)),0,1)</f>
        <v>0</v>
      </c>
      <c r="S731" s="42" t="n">
        <f aca="false">IF(ISNUMBER(MATCH(B731,Calendar!$A$2:$A$25,0)),0,1)</f>
        <v>0</v>
      </c>
      <c r="T731" s="42" t="n">
        <f aca="false">IF(COUNTIF(Sales_Transactions!$A$2:$A$865,A731)&gt;1,1,0)</f>
        <v>0</v>
      </c>
      <c r="U731" s="42" t="n">
        <f aca="false">IF(OR(ABS(Sales_Transactions!F731*Sales_Transactions!G731-Sales_Transactions!I731)&gt;0.01,ABS(Sales_Transactions!F731*Sales_Transactions!H731-Sales_Transactions!J731)&gt;0.01,ABS(Sales_Transactions!I731-Sales_Transactions!J731-Sales_Transactions!K731)&gt;0.01),1,0)</f>
        <v>0</v>
      </c>
      <c r="V731" s="42" t="n">
        <f aca="false">IF(C731&lt;&gt;L731,1,0)</f>
        <v>0</v>
      </c>
      <c r="W731" s="42" t="n">
        <f aca="false">IF(SUM(Q731:V731)&gt;0,1,0)</f>
        <v>0</v>
      </c>
    </row>
    <row r="732" customFormat="false" ht="15" hidden="false" customHeight="false" outlineLevel="0" collapsed="false">
      <c r="A732" s="42" t="str">
        <f aca="false">Sales_Transactions!A732</f>
        <v>INV-21-011</v>
      </c>
      <c r="B732" s="42" t="str">
        <f aca="false">Sales_Transactions!B732</f>
        <v>2026-09</v>
      </c>
      <c r="C732" s="42" t="str">
        <f aca="false">Sales_Transactions!C732</f>
        <v>Actual</v>
      </c>
      <c r="D732" s="42" t="str">
        <f aca="false">Sales_Transactions!D732</f>
        <v>C035</v>
      </c>
      <c r="E732" s="42" t="str">
        <f aca="false">Sales_Transactions!E732</f>
        <v>P007</v>
      </c>
      <c r="F732" s="42" t="str">
        <f aca="false">IFERROR(INDEX(Customer_Master!$C$2:$C$49,MATCH(D732,Customer_Master!$A$2:$A$49,0)),"UNMATCHED")</f>
        <v>West</v>
      </c>
      <c r="G732" s="42" t="str">
        <f aca="false">IFERROR(INDEX(Customer_Master!$D$2:$D$49,MATCH(D732,Customer_Master!$A$2:$A$49,0)),"UNMATCHED")</f>
        <v>Modern Trade</v>
      </c>
      <c r="H732" s="42" t="str">
        <f aca="false">IFERROR(INDEX(Product_Master!$C$2:$C$9,MATCH(E732,Product_Master!$A$2:$A$9,0)),"UNMATCHED")</f>
        <v>Home Care</v>
      </c>
      <c r="I732" s="42" t="str">
        <f aca="false">IFERROR(INDEX(Product_Master!$B$2:$B$9,MATCH(E732,Product_Master!$A$2:$A$9,0)),"UNMATCHED")</f>
        <v>Floor Cleaner</v>
      </c>
      <c r="J732" s="42" t="n">
        <f aca="false">IFERROR(INDEX(Calendar!$B$2:$B$25,MATCH(B732,Calendar!$A$2:$A$25,0)),0)</f>
        <v>2026</v>
      </c>
      <c r="K732" s="42" t="n">
        <f aca="false">IFERROR(VALUE(RIGHT(B732,2)),0)</f>
        <v>9</v>
      </c>
      <c r="L732" s="42" t="str">
        <f aca="false">IFERROR(INDEX(Calendar!$E$2:$E$25,MATCH(B732,Calendar!$A$2:$A$25,0)),"UNMATCHED")</f>
        <v>Actual</v>
      </c>
      <c r="M732" s="42" t="n">
        <f aca="false">Sales_Transactions!F732</f>
        <v>115</v>
      </c>
      <c r="N732" s="52" t="n">
        <f aca="false">Sales_Transactions!I732</f>
        <v>22100.7</v>
      </c>
      <c r="O732" s="52" t="n">
        <f aca="false">Sales_Transactions!J732</f>
        <v>12471.75</v>
      </c>
      <c r="P732" s="52" t="n">
        <f aca="false">Sales_Transactions!K732</f>
        <v>9628.95</v>
      </c>
      <c r="Q732" s="42" t="n">
        <f aca="false">IF(ISNUMBER(MATCH(E732,Product_Master!$A$2:$A$9,0)),0,1)</f>
        <v>0</v>
      </c>
      <c r="R732" s="42" t="n">
        <f aca="false">IF(ISNUMBER(MATCH(D732,Customer_Master!$A$2:$A$49,0)),0,1)</f>
        <v>0</v>
      </c>
      <c r="S732" s="42" t="n">
        <f aca="false">IF(ISNUMBER(MATCH(B732,Calendar!$A$2:$A$25,0)),0,1)</f>
        <v>0</v>
      </c>
      <c r="T732" s="42" t="n">
        <f aca="false">IF(COUNTIF(Sales_Transactions!$A$2:$A$865,A732)&gt;1,1,0)</f>
        <v>0</v>
      </c>
      <c r="U732" s="42" t="n">
        <f aca="false">IF(OR(ABS(Sales_Transactions!F732*Sales_Transactions!G732-Sales_Transactions!I732)&gt;0.01,ABS(Sales_Transactions!F732*Sales_Transactions!H732-Sales_Transactions!J732)&gt;0.01,ABS(Sales_Transactions!I732-Sales_Transactions!J732-Sales_Transactions!K732)&gt;0.01),1,0)</f>
        <v>0</v>
      </c>
      <c r="V732" s="42" t="n">
        <f aca="false">IF(C732&lt;&gt;L732,1,0)</f>
        <v>0</v>
      </c>
      <c r="W732" s="42" t="n">
        <f aca="false">IF(SUM(Q732:V732)&gt;0,1,0)</f>
        <v>0</v>
      </c>
    </row>
    <row r="733" customFormat="false" ht="15" hidden="false" customHeight="false" outlineLevel="0" collapsed="false">
      <c r="A733" s="42" t="str">
        <f aca="false">Sales_Transactions!A733</f>
        <v>INV-21-012</v>
      </c>
      <c r="B733" s="42" t="str">
        <f aca="false">Sales_Transactions!B733</f>
        <v>2026-09</v>
      </c>
      <c r="C733" s="42" t="str">
        <f aca="false">Sales_Transactions!C733</f>
        <v>Actual</v>
      </c>
      <c r="D733" s="42" t="str">
        <f aca="false">Sales_Transactions!D733</f>
        <v>C042</v>
      </c>
      <c r="E733" s="42" t="str">
        <f aca="false">Sales_Transactions!E733</f>
        <v>P004</v>
      </c>
      <c r="F733" s="42" t="str">
        <f aca="false">IFERROR(INDEX(Customer_Master!$C$2:$C$49,MATCH(D733,Customer_Master!$A$2:$A$49,0)),"UNMATCHED")</f>
        <v>North</v>
      </c>
      <c r="G733" s="42" t="str">
        <f aca="false">IFERROR(INDEX(Customer_Master!$D$2:$D$49,MATCH(D733,Customer_Master!$A$2:$A$49,0)),"UNMATCHED")</f>
        <v>Retail</v>
      </c>
      <c r="H733" s="42" t="str">
        <f aca="false">IFERROR(INDEX(Product_Master!$C$2:$C$9,MATCH(E733,Product_Master!$A$2:$A$9,0)),"UNMATCHED")</f>
        <v>Personal Care</v>
      </c>
      <c r="I733" s="42" t="str">
        <f aca="false">IFERROR(INDEX(Product_Master!$B$2:$B$9,MATCH(E733,Product_Master!$A$2:$A$9,0)),"UNMATCHED")</f>
        <v>Soap 4-pack</v>
      </c>
      <c r="J733" s="42" t="n">
        <f aca="false">IFERROR(INDEX(Calendar!$B$2:$B$25,MATCH(B733,Calendar!$A$2:$A$25,0)),0)</f>
        <v>2026</v>
      </c>
      <c r="K733" s="42" t="n">
        <f aca="false">IFERROR(VALUE(RIGHT(B733,2)),0)</f>
        <v>9</v>
      </c>
      <c r="L733" s="42" t="str">
        <f aca="false">IFERROR(INDEX(Calendar!$E$2:$E$25,MATCH(B733,Calendar!$A$2:$A$25,0)),"UNMATCHED")</f>
        <v>Actual</v>
      </c>
      <c r="M733" s="42" t="n">
        <f aca="false">Sales_Transactions!F733</f>
        <v>326</v>
      </c>
      <c r="N733" s="52" t="n">
        <f aca="false">Sales_Transactions!I733</f>
        <v>51009.22</v>
      </c>
      <c r="O733" s="52" t="n">
        <f aca="false">Sales_Transactions!J733</f>
        <v>31579.62</v>
      </c>
      <c r="P733" s="52" t="n">
        <f aca="false">Sales_Transactions!K733</f>
        <v>19429.6</v>
      </c>
      <c r="Q733" s="42" t="n">
        <f aca="false">IF(ISNUMBER(MATCH(E733,Product_Master!$A$2:$A$9,0)),0,1)</f>
        <v>0</v>
      </c>
      <c r="R733" s="42" t="n">
        <f aca="false">IF(ISNUMBER(MATCH(D733,Customer_Master!$A$2:$A$49,0)),0,1)</f>
        <v>0</v>
      </c>
      <c r="S733" s="42" t="n">
        <f aca="false">IF(ISNUMBER(MATCH(B733,Calendar!$A$2:$A$25,0)),0,1)</f>
        <v>0</v>
      </c>
      <c r="T733" s="42" t="n">
        <f aca="false">IF(COUNTIF(Sales_Transactions!$A$2:$A$865,A733)&gt;1,1,0)</f>
        <v>0</v>
      </c>
      <c r="U733" s="42" t="n">
        <f aca="false">IF(OR(ABS(Sales_Transactions!F733*Sales_Transactions!G733-Sales_Transactions!I733)&gt;0.01,ABS(Sales_Transactions!F733*Sales_Transactions!H733-Sales_Transactions!J733)&gt;0.01,ABS(Sales_Transactions!I733-Sales_Transactions!J733-Sales_Transactions!K733)&gt;0.01),1,0)</f>
        <v>0</v>
      </c>
      <c r="V733" s="42" t="n">
        <f aca="false">IF(C733&lt;&gt;L733,1,0)</f>
        <v>0</v>
      </c>
      <c r="W733" s="42" t="n">
        <f aca="false">IF(SUM(Q733:V733)&gt;0,1,0)</f>
        <v>0</v>
      </c>
    </row>
    <row r="734" customFormat="false" ht="15" hidden="false" customHeight="false" outlineLevel="0" collapsed="false">
      <c r="A734" s="42" t="str">
        <f aca="false">Sales_Transactions!A734</f>
        <v>INV-21-013</v>
      </c>
      <c r="B734" s="42" t="str">
        <f aca="false">Sales_Transactions!B734</f>
        <v>2026-09</v>
      </c>
      <c r="C734" s="42" t="str">
        <f aca="false">Sales_Transactions!C734</f>
        <v>Actual</v>
      </c>
      <c r="D734" s="42" t="str">
        <f aca="false">Sales_Transactions!D734</f>
        <v>C001</v>
      </c>
      <c r="E734" s="42" t="str">
        <f aca="false">Sales_Transactions!E734</f>
        <v>P001</v>
      </c>
      <c r="F734" s="42" t="str">
        <f aca="false">IFERROR(INDEX(Customer_Master!$C$2:$C$49,MATCH(D734,Customer_Master!$A$2:$A$49,0)),"UNMATCHED")</f>
        <v>South</v>
      </c>
      <c r="G734" s="42" t="str">
        <f aca="false">IFERROR(INDEX(Customer_Master!$D$2:$D$49,MATCH(D734,Customer_Master!$A$2:$A$49,0)),"UNMATCHED")</f>
        <v>Distributor</v>
      </c>
      <c r="H734" s="42" t="str">
        <f aca="false">IFERROR(INDEX(Product_Master!$C$2:$C$9,MATCH(E734,Product_Master!$A$2:$A$9,0)),"UNMATCHED")</f>
        <v>Home Care</v>
      </c>
      <c r="I734" s="42" t="str">
        <f aca="false">IFERROR(INDEX(Product_Master!$B$2:$B$9,MATCH(E734,Product_Master!$A$2:$A$9,0)),"UNMATCHED")</f>
        <v>Detergent 1kg</v>
      </c>
      <c r="J734" s="42" t="n">
        <f aca="false">IFERROR(INDEX(Calendar!$B$2:$B$25,MATCH(B734,Calendar!$A$2:$A$25,0)),0)</f>
        <v>2026</v>
      </c>
      <c r="K734" s="42" t="n">
        <f aca="false">IFERROR(VALUE(RIGHT(B734,2)),0)</f>
        <v>9</v>
      </c>
      <c r="L734" s="42" t="str">
        <f aca="false">IFERROR(INDEX(Calendar!$E$2:$E$25,MATCH(B734,Calendar!$A$2:$A$25,0)),"UNMATCHED")</f>
        <v>Actual</v>
      </c>
      <c r="M734" s="42" t="n">
        <f aca="false">Sales_Transactions!F734</f>
        <v>154</v>
      </c>
      <c r="N734" s="52" t="n">
        <f aca="false">Sales_Transactions!I734</f>
        <v>32002.74</v>
      </c>
      <c r="O734" s="52" t="n">
        <f aca="false">Sales_Transactions!J734</f>
        <v>21901.88</v>
      </c>
      <c r="P734" s="52" t="n">
        <f aca="false">Sales_Transactions!K734</f>
        <v>10100.86</v>
      </c>
      <c r="Q734" s="42" t="n">
        <f aca="false">IF(ISNUMBER(MATCH(E734,Product_Master!$A$2:$A$9,0)),0,1)</f>
        <v>0</v>
      </c>
      <c r="R734" s="42" t="n">
        <f aca="false">IF(ISNUMBER(MATCH(D734,Customer_Master!$A$2:$A$49,0)),0,1)</f>
        <v>0</v>
      </c>
      <c r="S734" s="42" t="n">
        <f aca="false">IF(ISNUMBER(MATCH(B734,Calendar!$A$2:$A$25,0)),0,1)</f>
        <v>0</v>
      </c>
      <c r="T734" s="42" t="n">
        <f aca="false">IF(COUNTIF(Sales_Transactions!$A$2:$A$865,A734)&gt;1,1,0)</f>
        <v>0</v>
      </c>
      <c r="U734" s="42" t="n">
        <f aca="false">IF(OR(ABS(Sales_Transactions!F734*Sales_Transactions!G734-Sales_Transactions!I734)&gt;0.01,ABS(Sales_Transactions!F734*Sales_Transactions!H734-Sales_Transactions!J734)&gt;0.01,ABS(Sales_Transactions!I734-Sales_Transactions!J734-Sales_Transactions!K734)&gt;0.01),1,0)</f>
        <v>0</v>
      </c>
      <c r="V734" s="42" t="n">
        <f aca="false">IF(C734&lt;&gt;L734,1,0)</f>
        <v>0</v>
      </c>
      <c r="W734" s="42" t="n">
        <f aca="false">IF(SUM(Q734:V734)&gt;0,1,0)</f>
        <v>0</v>
      </c>
    </row>
    <row r="735" customFormat="false" ht="15" hidden="false" customHeight="false" outlineLevel="0" collapsed="false">
      <c r="A735" s="42" t="str">
        <f aca="false">Sales_Transactions!A735</f>
        <v>INV-21-014</v>
      </c>
      <c r="B735" s="42" t="str">
        <f aca="false">Sales_Transactions!B735</f>
        <v>2026-09</v>
      </c>
      <c r="C735" s="42" t="str">
        <f aca="false">Sales_Transactions!C735</f>
        <v>Actual</v>
      </c>
      <c r="D735" s="42" t="str">
        <f aca="false">Sales_Transactions!D735</f>
        <v>C008</v>
      </c>
      <c r="E735" s="42" t="str">
        <f aca="false">Sales_Transactions!E735</f>
        <v>P006</v>
      </c>
      <c r="F735" s="42" t="str">
        <f aca="false">IFERROR(INDEX(Customer_Master!$C$2:$C$49,MATCH(D735,Customer_Master!$A$2:$A$49,0)),"UNMATCHED")</f>
        <v>East</v>
      </c>
      <c r="G735" s="42" t="str">
        <f aca="false">IFERROR(INDEX(Customer_Master!$D$2:$D$49,MATCH(D735,Customer_Master!$A$2:$A$49,0)),"UNMATCHED")</f>
        <v>Modern Trade</v>
      </c>
      <c r="H735" s="42" t="str">
        <f aca="false">IFERROR(INDEX(Product_Master!$C$2:$C$9,MATCH(E735,Product_Master!$A$2:$A$9,0)),"UNMATCHED")</f>
        <v>Foods</v>
      </c>
      <c r="I735" s="42" t="str">
        <f aca="false">IFERROR(INDEX(Product_Master!$B$2:$B$9,MATCH(E735,Product_Master!$A$2:$A$9,0)),"UNMATCHED")</f>
        <v>Breakfast Cereal</v>
      </c>
      <c r="J735" s="42" t="n">
        <f aca="false">IFERROR(INDEX(Calendar!$B$2:$B$25,MATCH(B735,Calendar!$A$2:$A$25,0)),0)</f>
        <v>2026</v>
      </c>
      <c r="K735" s="42" t="n">
        <f aca="false">IFERROR(VALUE(RIGHT(B735,2)),0)</f>
        <v>9</v>
      </c>
      <c r="L735" s="42" t="str">
        <f aca="false">IFERROR(INDEX(Calendar!$E$2:$E$25,MATCH(B735,Calendar!$A$2:$A$25,0)),"UNMATCHED")</f>
        <v>Actual</v>
      </c>
      <c r="M735" s="42" t="n">
        <f aca="false">Sales_Transactions!F735</f>
        <v>415</v>
      </c>
      <c r="N735" s="52" t="n">
        <f aca="false">Sales_Transactions!I735</f>
        <v>107443.5</v>
      </c>
      <c r="O735" s="52" t="n">
        <f aca="false">Sales_Transactions!J735</f>
        <v>65059.55</v>
      </c>
      <c r="P735" s="52" t="n">
        <f aca="false">Sales_Transactions!K735</f>
        <v>42383.95</v>
      </c>
      <c r="Q735" s="42" t="n">
        <f aca="false">IF(ISNUMBER(MATCH(E735,Product_Master!$A$2:$A$9,0)),0,1)</f>
        <v>0</v>
      </c>
      <c r="R735" s="42" t="n">
        <f aca="false">IF(ISNUMBER(MATCH(D735,Customer_Master!$A$2:$A$49,0)),0,1)</f>
        <v>0</v>
      </c>
      <c r="S735" s="42" t="n">
        <f aca="false">IF(ISNUMBER(MATCH(B735,Calendar!$A$2:$A$25,0)),0,1)</f>
        <v>0</v>
      </c>
      <c r="T735" s="42" t="n">
        <f aca="false">IF(COUNTIF(Sales_Transactions!$A$2:$A$865,A735)&gt;1,1,0)</f>
        <v>0</v>
      </c>
      <c r="U735" s="42" t="n">
        <f aca="false">IF(OR(ABS(Sales_Transactions!F735*Sales_Transactions!G735-Sales_Transactions!I735)&gt;0.01,ABS(Sales_Transactions!F735*Sales_Transactions!H735-Sales_Transactions!J735)&gt;0.01,ABS(Sales_Transactions!I735-Sales_Transactions!J735-Sales_Transactions!K735)&gt;0.01),1,0)</f>
        <v>0</v>
      </c>
      <c r="V735" s="42" t="n">
        <f aca="false">IF(C735&lt;&gt;L735,1,0)</f>
        <v>0</v>
      </c>
      <c r="W735" s="42" t="n">
        <f aca="false">IF(SUM(Q735:V735)&gt;0,1,0)</f>
        <v>0</v>
      </c>
    </row>
    <row r="736" customFormat="false" ht="15" hidden="false" customHeight="false" outlineLevel="0" collapsed="false">
      <c r="A736" s="42" t="str">
        <f aca="false">Sales_Transactions!A736</f>
        <v>INV-21-015</v>
      </c>
      <c r="B736" s="42" t="str">
        <f aca="false">Sales_Transactions!B736</f>
        <v>2026-09</v>
      </c>
      <c r="C736" s="42" t="str">
        <f aca="false">Sales_Transactions!C736</f>
        <v>Actual</v>
      </c>
      <c r="D736" s="42" t="str">
        <f aca="false">Sales_Transactions!D736</f>
        <v>C015</v>
      </c>
      <c r="E736" s="42" t="str">
        <f aca="false">Sales_Transactions!E736</f>
        <v>P003</v>
      </c>
      <c r="F736" s="42" t="str">
        <f aca="false">IFERROR(INDEX(Customer_Master!$C$2:$C$49,MATCH(D736,Customer_Master!$A$2:$A$49,0)),"UNMATCHED")</f>
        <v>West</v>
      </c>
      <c r="G736" s="42" t="str">
        <f aca="false">IFERROR(INDEX(Customer_Master!$D$2:$D$49,MATCH(D736,Customer_Master!$A$2:$A$49,0)),"UNMATCHED")</f>
        <v>Retail</v>
      </c>
      <c r="H736" s="42" t="str">
        <f aca="false">IFERROR(INDEX(Product_Master!$C$2:$C$9,MATCH(E736,Product_Master!$A$2:$A$9,0)),"UNMATCHED")</f>
        <v>Personal Care</v>
      </c>
      <c r="I736" s="42" t="str">
        <f aca="false">IFERROR(INDEX(Product_Master!$B$2:$B$9,MATCH(E736,Product_Master!$A$2:$A$9,0)),"UNMATCHED")</f>
        <v>Shampoo 400ml</v>
      </c>
      <c r="J736" s="42" t="n">
        <f aca="false">IFERROR(INDEX(Calendar!$B$2:$B$25,MATCH(B736,Calendar!$A$2:$A$25,0)),0)</f>
        <v>2026</v>
      </c>
      <c r="K736" s="42" t="n">
        <f aca="false">IFERROR(VALUE(RIGHT(B736,2)),0)</f>
        <v>9</v>
      </c>
      <c r="L736" s="42" t="str">
        <f aca="false">IFERROR(INDEX(Calendar!$E$2:$E$25,MATCH(B736,Calendar!$A$2:$A$25,0)),"UNMATCHED")</f>
        <v>Actual</v>
      </c>
      <c r="M736" s="42" t="n">
        <f aca="false">Sales_Transactions!F736</f>
        <v>280</v>
      </c>
      <c r="N736" s="52" t="n">
        <f aca="false">Sales_Transactions!I736</f>
        <v>74348.4</v>
      </c>
      <c r="O736" s="52" t="n">
        <f aca="false">Sales_Transactions!J736</f>
        <v>51234.4</v>
      </c>
      <c r="P736" s="52" t="n">
        <f aca="false">Sales_Transactions!K736</f>
        <v>23114</v>
      </c>
      <c r="Q736" s="42" t="n">
        <f aca="false">IF(ISNUMBER(MATCH(E736,Product_Master!$A$2:$A$9,0)),0,1)</f>
        <v>0</v>
      </c>
      <c r="R736" s="42" t="n">
        <f aca="false">IF(ISNUMBER(MATCH(D736,Customer_Master!$A$2:$A$49,0)),0,1)</f>
        <v>0</v>
      </c>
      <c r="S736" s="42" t="n">
        <f aca="false">IF(ISNUMBER(MATCH(B736,Calendar!$A$2:$A$25,0)),0,1)</f>
        <v>0</v>
      </c>
      <c r="T736" s="42" t="n">
        <f aca="false">IF(COUNTIF(Sales_Transactions!$A$2:$A$865,A736)&gt;1,1,0)</f>
        <v>0</v>
      </c>
      <c r="U736" s="42" t="n">
        <f aca="false">IF(OR(ABS(Sales_Transactions!F736*Sales_Transactions!G736-Sales_Transactions!I736)&gt;0.01,ABS(Sales_Transactions!F736*Sales_Transactions!H736-Sales_Transactions!J736)&gt;0.01,ABS(Sales_Transactions!I736-Sales_Transactions!J736-Sales_Transactions!K736)&gt;0.01),1,0)</f>
        <v>0</v>
      </c>
      <c r="V736" s="42" t="n">
        <f aca="false">IF(C736&lt;&gt;L736,1,0)</f>
        <v>0</v>
      </c>
      <c r="W736" s="42" t="n">
        <f aca="false">IF(SUM(Q736:V736)&gt;0,1,0)</f>
        <v>0</v>
      </c>
    </row>
    <row r="737" customFormat="false" ht="15" hidden="false" customHeight="false" outlineLevel="0" collapsed="false">
      <c r="A737" s="42" t="str">
        <f aca="false">Sales_Transactions!A737</f>
        <v>INV-21-016</v>
      </c>
      <c r="B737" s="42" t="str">
        <f aca="false">Sales_Transactions!B737</f>
        <v>2026-09</v>
      </c>
      <c r="C737" s="42" t="str">
        <f aca="false">Sales_Transactions!C737</f>
        <v>Actual</v>
      </c>
      <c r="D737" s="42" t="str">
        <f aca="false">Sales_Transactions!D737</f>
        <v>C022</v>
      </c>
      <c r="E737" s="42" t="str">
        <f aca="false">Sales_Transactions!E737</f>
        <v>P008</v>
      </c>
      <c r="F737" s="42" t="str">
        <f aca="false">IFERROR(INDEX(Customer_Master!$C$2:$C$49,MATCH(D737,Customer_Master!$A$2:$A$49,0)),"UNMATCHED")</f>
        <v>North</v>
      </c>
      <c r="G737" s="42" t="str">
        <f aca="false">IFERROR(INDEX(Customer_Master!$D$2:$D$49,MATCH(D737,Customer_Master!$A$2:$A$49,0)),"UNMATCHED")</f>
        <v>Distributor</v>
      </c>
      <c r="H737" s="42" t="str">
        <f aca="false">IFERROR(INDEX(Product_Master!$C$2:$C$9,MATCH(E737,Product_Master!$A$2:$A$9,0)),"UNMATCHED")</f>
        <v>Personal Care</v>
      </c>
      <c r="I737" s="42" t="str">
        <f aca="false">IFERROR(INDEX(Product_Master!$B$2:$B$9,MATCH(E737,Product_Master!$A$2:$A$9,0)),"UNMATCHED")</f>
        <v>Body Lotion</v>
      </c>
      <c r="J737" s="42" t="n">
        <f aca="false">IFERROR(INDEX(Calendar!$B$2:$B$25,MATCH(B737,Calendar!$A$2:$A$25,0)),0)</f>
        <v>2026</v>
      </c>
      <c r="K737" s="42" t="n">
        <f aca="false">IFERROR(VALUE(RIGHT(B737,2)),0)</f>
        <v>9</v>
      </c>
      <c r="L737" s="42" t="str">
        <f aca="false">IFERROR(INDEX(Calendar!$E$2:$E$25,MATCH(B737,Calendar!$A$2:$A$25,0)),"UNMATCHED")</f>
        <v>Actual</v>
      </c>
      <c r="M737" s="42" t="n">
        <f aca="false">Sales_Transactions!F737</f>
        <v>278</v>
      </c>
      <c r="N737" s="52" t="n">
        <f aca="false">Sales_Transactions!I737</f>
        <v>84823.36</v>
      </c>
      <c r="O737" s="52" t="n">
        <f aca="false">Sales_Transactions!J737</f>
        <v>58510.66</v>
      </c>
      <c r="P737" s="52" t="n">
        <f aca="false">Sales_Transactions!K737</f>
        <v>26312.7</v>
      </c>
      <c r="Q737" s="42" t="n">
        <f aca="false">IF(ISNUMBER(MATCH(E737,Product_Master!$A$2:$A$9,0)),0,1)</f>
        <v>0</v>
      </c>
      <c r="R737" s="42" t="n">
        <f aca="false">IF(ISNUMBER(MATCH(D737,Customer_Master!$A$2:$A$49,0)),0,1)</f>
        <v>0</v>
      </c>
      <c r="S737" s="42" t="n">
        <f aca="false">IF(ISNUMBER(MATCH(B737,Calendar!$A$2:$A$25,0)),0,1)</f>
        <v>0</v>
      </c>
      <c r="T737" s="42" t="n">
        <f aca="false">IF(COUNTIF(Sales_Transactions!$A$2:$A$865,A737)&gt;1,1,0)</f>
        <v>0</v>
      </c>
      <c r="U737" s="42" t="n">
        <f aca="false">IF(OR(ABS(Sales_Transactions!F737*Sales_Transactions!G737-Sales_Transactions!I737)&gt;0.01,ABS(Sales_Transactions!F737*Sales_Transactions!H737-Sales_Transactions!J737)&gt;0.01,ABS(Sales_Transactions!I737-Sales_Transactions!J737-Sales_Transactions!K737)&gt;0.01),1,0)</f>
        <v>0</v>
      </c>
      <c r="V737" s="42" t="n">
        <f aca="false">IF(C737&lt;&gt;L737,1,0)</f>
        <v>0</v>
      </c>
      <c r="W737" s="42" t="n">
        <f aca="false">IF(SUM(Q737:V737)&gt;0,1,0)</f>
        <v>0</v>
      </c>
    </row>
    <row r="738" customFormat="false" ht="15" hidden="false" customHeight="false" outlineLevel="0" collapsed="false">
      <c r="A738" s="42" t="str">
        <f aca="false">Sales_Transactions!A738</f>
        <v>INV-21-017</v>
      </c>
      <c r="B738" s="42" t="str">
        <f aca="false">Sales_Transactions!B738</f>
        <v>2026-09</v>
      </c>
      <c r="C738" s="42" t="str">
        <f aca="false">Sales_Transactions!C738</f>
        <v>Actual</v>
      </c>
      <c r="D738" s="42" t="str">
        <f aca="false">Sales_Transactions!D738</f>
        <v>C029</v>
      </c>
      <c r="E738" s="42" t="str">
        <f aca="false">Sales_Transactions!E738</f>
        <v>P005</v>
      </c>
      <c r="F738" s="42" t="str">
        <f aca="false">IFERROR(INDEX(Customer_Master!$C$2:$C$49,MATCH(D738,Customer_Master!$A$2:$A$49,0)),"UNMATCHED")</f>
        <v>South</v>
      </c>
      <c r="G738" s="42" t="str">
        <f aca="false">IFERROR(INDEX(Customer_Master!$D$2:$D$49,MATCH(D738,Customer_Master!$A$2:$A$49,0)),"UNMATCHED")</f>
        <v>Modern Trade</v>
      </c>
      <c r="H738" s="42" t="str">
        <f aca="false">IFERROR(INDEX(Product_Master!$C$2:$C$9,MATCH(E738,Product_Master!$A$2:$A$9,0)),"UNMATCHED")</f>
        <v>Foods</v>
      </c>
      <c r="I738" s="42" t="str">
        <f aca="false">IFERROR(INDEX(Product_Master!$B$2:$B$9,MATCH(E738,Product_Master!$A$2:$A$9,0)),"UNMATCHED")</f>
        <v>Biscuits 500g</v>
      </c>
      <c r="J738" s="42" t="n">
        <f aca="false">IFERROR(INDEX(Calendar!$B$2:$B$25,MATCH(B738,Calendar!$A$2:$A$25,0)),0)</f>
        <v>2026</v>
      </c>
      <c r="K738" s="42" t="n">
        <f aca="false">IFERROR(VALUE(RIGHT(B738,2)),0)</f>
        <v>9</v>
      </c>
      <c r="L738" s="42" t="str">
        <f aca="false">IFERROR(INDEX(Calendar!$E$2:$E$25,MATCH(B738,Calendar!$A$2:$A$25,0)),"UNMATCHED")</f>
        <v>Actual</v>
      </c>
      <c r="M738" s="42" t="n">
        <f aca="false">Sales_Transactions!F738</f>
        <v>423</v>
      </c>
      <c r="N738" s="52" t="n">
        <f aca="false">Sales_Transactions!I738</f>
        <v>46703.43</v>
      </c>
      <c r="O738" s="52" t="n">
        <f aca="false">Sales_Transactions!J738</f>
        <v>27659.97</v>
      </c>
      <c r="P738" s="52" t="n">
        <f aca="false">Sales_Transactions!K738</f>
        <v>19043.46</v>
      </c>
      <c r="Q738" s="42" t="n">
        <f aca="false">IF(ISNUMBER(MATCH(E738,Product_Master!$A$2:$A$9,0)),0,1)</f>
        <v>0</v>
      </c>
      <c r="R738" s="42" t="n">
        <f aca="false">IF(ISNUMBER(MATCH(D738,Customer_Master!$A$2:$A$49,0)),0,1)</f>
        <v>0</v>
      </c>
      <c r="S738" s="42" t="n">
        <f aca="false">IF(ISNUMBER(MATCH(B738,Calendar!$A$2:$A$25,0)),0,1)</f>
        <v>0</v>
      </c>
      <c r="T738" s="42" t="n">
        <f aca="false">IF(COUNTIF(Sales_Transactions!$A$2:$A$865,A738)&gt;1,1,0)</f>
        <v>0</v>
      </c>
      <c r="U738" s="42" t="n">
        <f aca="false">IF(OR(ABS(Sales_Transactions!F738*Sales_Transactions!G738-Sales_Transactions!I738)&gt;0.01,ABS(Sales_Transactions!F738*Sales_Transactions!H738-Sales_Transactions!J738)&gt;0.01,ABS(Sales_Transactions!I738-Sales_Transactions!J738-Sales_Transactions!K738)&gt;0.01),1,0)</f>
        <v>0</v>
      </c>
      <c r="V738" s="42" t="n">
        <f aca="false">IF(C738&lt;&gt;L738,1,0)</f>
        <v>0</v>
      </c>
      <c r="W738" s="42" t="n">
        <f aca="false">IF(SUM(Q738:V738)&gt;0,1,0)</f>
        <v>0</v>
      </c>
    </row>
    <row r="739" customFormat="false" ht="15" hidden="false" customHeight="false" outlineLevel="0" collapsed="false">
      <c r="A739" s="42" t="str">
        <f aca="false">Sales_Transactions!A739</f>
        <v>INV-21-018</v>
      </c>
      <c r="B739" s="42" t="str">
        <f aca="false">Sales_Transactions!B739</f>
        <v>2026-09</v>
      </c>
      <c r="C739" s="42" t="str">
        <f aca="false">Sales_Transactions!C739</f>
        <v>Actual</v>
      </c>
      <c r="D739" s="42" t="str">
        <f aca="false">Sales_Transactions!D739</f>
        <v>C036</v>
      </c>
      <c r="E739" s="42" t="str">
        <f aca="false">Sales_Transactions!E739</f>
        <v>P002</v>
      </c>
      <c r="F739" s="42" t="str">
        <f aca="false">IFERROR(INDEX(Customer_Master!$C$2:$C$49,MATCH(D739,Customer_Master!$A$2:$A$49,0)),"UNMATCHED")</f>
        <v>East</v>
      </c>
      <c r="G739" s="42" t="str">
        <f aca="false">IFERROR(INDEX(Customer_Master!$D$2:$D$49,MATCH(D739,Customer_Master!$A$2:$A$49,0)),"UNMATCHED")</f>
        <v>Retail</v>
      </c>
      <c r="H739" s="42" t="str">
        <f aca="false">IFERROR(INDEX(Product_Master!$C$2:$C$9,MATCH(E739,Product_Master!$A$2:$A$9,0)),"UNMATCHED")</f>
        <v>Home Care</v>
      </c>
      <c r="I739" s="42" t="str">
        <f aca="false">IFERROR(INDEX(Product_Master!$B$2:$B$9,MATCH(E739,Product_Master!$A$2:$A$9,0)),"UNMATCHED")</f>
        <v>Dishwash Gel</v>
      </c>
      <c r="J739" s="42" t="n">
        <f aca="false">IFERROR(INDEX(Calendar!$B$2:$B$25,MATCH(B739,Calendar!$A$2:$A$25,0)),0)</f>
        <v>2026</v>
      </c>
      <c r="K739" s="42" t="n">
        <f aca="false">IFERROR(VALUE(RIGHT(B739,2)),0)</f>
        <v>9</v>
      </c>
      <c r="L739" s="42" t="str">
        <f aca="false">IFERROR(INDEX(Calendar!$E$2:$E$25,MATCH(B739,Calendar!$A$2:$A$25,0)),"UNMATCHED")</f>
        <v>Actual</v>
      </c>
      <c r="M739" s="42" t="n">
        <f aca="false">Sales_Transactions!F739</f>
        <v>263</v>
      </c>
      <c r="N739" s="52" t="n">
        <f aca="false">Sales_Transactions!I739</f>
        <v>34529.27</v>
      </c>
      <c r="O739" s="52" t="n">
        <f aca="false">Sales_Transactions!J739</f>
        <v>23272.87</v>
      </c>
      <c r="P739" s="52" t="n">
        <f aca="false">Sales_Transactions!K739</f>
        <v>11256.4</v>
      </c>
      <c r="Q739" s="42" t="n">
        <f aca="false">IF(ISNUMBER(MATCH(E739,Product_Master!$A$2:$A$9,0)),0,1)</f>
        <v>0</v>
      </c>
      <c r="R739" s="42" t="n">
        <f aca="false">IF(ISNUMBER(MATCH(D739,Customer_Master!$A$2:$A$49,0)),0,1)</f>
        <v>0</v>
      </c>
      <c r="S739" s="42" t="n">
        <f aca="false">IF(ISNUMBER(MATCH(B739,Calendar!$A$2:$A$25,0)),0,1)</f>
        <v>0</v>
      </c>
      <c r="T739" s="42" t="n">
        <f aca="false">IF(COUNTIF(Sales_Transactions!$A$2:$A$865,A739)&gt;1,1,0)</f>
        <v>0</v>
      </c>
      <c r="U739" s="42" t="n">
        <f aca="false">IF(OR(ABS(Sales_Transactions!F739*Sales_Transactions!G739-Sales_Transactions!I739)&gt;0.01,ABS(Sales_Transactions!F739*Sales_Transactions!H739-Sales_Transactions!J739)&gt;0.01,ABS(Sales_Transactions!I739-Sales_Transactions!J739-Sales_Transactions!K739)&gt;0.01),1,0)</f>
        <v>0</v>
      </c>
      <c r="V739" s="42" t="n">
        <f aca="false">IF(C739&lt;&gt;L739,1,0)</f>
        <v>0</v>
      </c>
      <c r="W739" s="42" t="n">
        <f aca="false">IF(SUM(Q739:V739)&gt;0,1,0)</f>
        <v>0</v>
      </c>
    </row>
    <row r="740" customFormat="false" ht="15" hidden="false" customHeight="false" outlineLevel="0" collapsed="false">
      <c r="A740" s="42" t="str">
        <f aca="false">Sales_Transactions!A740</f>
        <v>INV-21-019</v>
      </c>
      <c r="B740" s="42" t="str">
        <f aca="false">Sales_Transactions!B740</f>
        <v>2026-09</v>
      </c>
      <c r="C740" s="42" t="str">
        <f aca="false">Sales_Transactions!C740</f>
        <v>Actual</v>
      </c>
      <c r="D740" s="42" t="str">
        <f aca="false">Sales_Transactions!D740</f>
        <v>C043</v>
      </c>
      <c r="E740" s="42" t="str">
        <f aca="false">Sales_Transactions!E740</f>
        <v>P007</v>
      </c>
      <c r="F740" s="42" t="str">
        <f aca="false">IFERROR(INDEX(Customer_Master!$C$2:$C$49,MATCH(D740,Customer_Master!$A$2:$A$49,0)),"UNMATCHED")</f>
        <v>West</v>
      </c>
      <c r="G740" s="42" t="str">
        <f aca="false">IFERROR(INDEX(Customer_Master!$D$2:$D$49,MATCH(D740,Customer_Master!$A$2:$A$49,0)),"UNMATCHED")</f>
        <v>Distributor</v>
      </c>
      <c r="H740" s="42" t="str">
        <f aca="false">IFERROR(INDEX(Product_Master!$C$2:$C$9,MATCH(E740,Product_Master!$A$2:$A$9,0)),"UNMATCHED")</f>
        <v>Home Care</v>
      </c>
      <c r="I740" s="42" t="str">
        <f aca="false">IFERROR(INDEX(Product_Master!$B$2:$B$9,MATCH(E740,Product_Master!$A$2:$A$9,0)),"UNMATCHED")</f>
        <v>Floor Cleaner</v>
      </c>
      <c r="J740" s="42" t="n">
        <f aca="false">IFERROR(INDEX(Calendar!$B$2:$B$25,MATCH(B740,Calendar!$A$2:$A$25,0)),0)</f>
        <v>2026</v>
      </c>
      <c r="K740" s="42" t="n">
        <f aca="false">IFERROR(VALUE(RIGHT(B740,2)),0)</f>
        <v>9</v>
      </c>
      <c r="L740" s="42" t="str">
        <f aca="false">IFERROR(INDEX(Calendar!$E$2:$E$25,MATCH(B740,Calendar!$A$2:$A$25,0)),"UNMATCHED")</f>
        <v>Actual</v>
      </c>
      <c r="M740" s="42" t="n">
        <f aca="false">Sales_Transactions!F740</f>
        <v>286</v>
      </c>
      <c r="N740" s="52" t="n">
        <f aca="false">Sales_Transactions!I740</f>
        <v>52097.76</v>
      </c>
      <c r="O740" s="52" t="n">
        <f aca="false">Sales_Transactions!J740</f>
        <v>33547.8</v>
      </c>
      <c r="P740" s="52" t="n">
        <f aca="false">Sales_Transactions!K740</f>
        <v>18549.96</v>
      </c>
      <c r="Q740" s="42" t="n">
        <f aca="false">IF(ISNUMBER(MATCH(E740,Product_Master!$A$2:$A$9,0)),0,1)</f>
        <v>0</v>
      </c>
      <c r="R740" s="42" t="n">
        <f aca="false">IF(ISNUMBER(MATCH(D740,Customer_Master!$A$2:$A$49,0)),0,1)</f>
        <v>0</v>
      </c>
      <c r="S740" s="42" t="n">
        <f aca="false">IF(ISNUMBER(MATCH(B740,Calendar!$A$2:$A$25,0)),0,1)</f>
        <v>0</v>
      </c>
      <c r="T740" s="42" t="n">
        <f aca="false">IF(COUNTIF(Sales_Transactions!$A$2:$A$865,A740)&gt;1,1,0)</f>
        <v>0</v>
      </c>
      <c r="U740" s="42" t="n">
        <f aca="false">IF(OR(ABS(Sales_Transactions!F740*Sales_Transactions!G740-Sales_Transactions!I740)&gt;0.01,ABS(Sales_Transactions!F740*Sales_Transactions!H740-Sales_Transactions!J740)&gt;0.01,ABS(Sales_Transactions!I740-Sales_Transactions!J740-Sales_Transactions!K740)&gt;0.01),1,0)</f>
        <v>0</v>
      </c>
      <c r="V740" s="42" t="n">
        <f aca="false">IF(C740&lt;&gt;L740,1,0)</f>
        <v>0</v>
      </c>
      <c r="W740" s="42" t="n">
        <f aca="false">IF(SUM(Q740:V740)&gt;0,1,0)</f>
        <v>0</v>
      </c>
    </row>
    <row r="741" customFormat="false" ht="15" hidden="false" customHeight="false" outlineLevel="0" collapsed="false">
      <c r="A741" s="42" t="str">
        <f aca="false">Sales_Transactions!A741</f>
        <v>INV-21-020</v>
      </c>
      <c r="B741" s="42" t="str">
        <f aca="false">Sales_Transactions!B741</f>
        <v>2026-09</v>
      </c>
      <c r="C741" s="42" t="str">
        <f aca="false">Sales_Transactions!C741</f>
        <v>Actual</v>
      </c>
      <c r="D741" s="42" t="str">
        <f aca="false">Sales_Transactions!D741</f>
        <v>C002</v>
      </c>
      <c r="E741" s="42" t="str">
        <f aca="false">Sales_Transactions!E741</f>
        <v>P004</v>
      </c>
      <c r="F741" s="42" t="str">
        <f aca="false">IFERROR(INDEX(Customer_Master!$C$2:$C$49,MATCH(D741,Customer_Master!$A$2:$A$49,0)),"UNMATCHED")</f>
        <v>North</v>
      </c>
      <c r="G741" s="42" t="str">
        <f aca="false">IFERROR(INDEX(Customer_Master!$D$2:$D$49,MATCH(D741,Customer_Master!$A$2:$A$49,0)),"UNMATCHED")</f>
        <v>Modern Trade</v>
      </c>
      <c r="H741" s="42" t="str">
        <f aca="false">IFERROR(INDEX(Product_Master!$C$2:$C$9,MATCH(E741,Product_Master!$A$2:$A$9,0)),"UNMATCHED")</f>
        <v>Personal Care</v>
      </c>
      <c r="I741" s="42" t="str">
        <f aca="false">IFERROR(INDEX(Product_Master!$B$2:$B$9,MATCH(E741,Product_Master!$A$2:$A$9,0)),"UNMATCHED")</f>
        <v>Soap 4-pack</v>
      </c>
      <c r="J741" s="42" t="n">
        <f aca="false">IFERROR(INDEX(Calendar!$B$2:$B$25,MATCH(B741,Calendar!$A$2:$A$25,0)),0)</f>
        <v>2026</v>
      </c>
      <c r="K741" s="42" t="n">
        <f aca="false">IFERROR(VALUE(RIGHT(B741,2)),0)</f>
        <v>9</v>
      </c>
      <c r="L741" s="42" t="str">
        <f aca="false">IFERROR(INDEX(Calendar!$E$2:$E$25,MATCH(B741,Calendar!$A$2:$A$25,0)),"UNMATCHED")</f>
        <v>Actual</v>
      </c>
      <c r="M741" s="42" t="n">
        <f aca="false">Sales_Transactions!F741</f>
        <v>199</v>
      </c>
      <c r="N741" s="52" t="n">
        <f aca="false">Sales_Transactions!I741</f>
        <v>34773.26</v>
      </c>
      <c r="O741" s="52" t="n">
        <f aca="false">Sales_Transactions!J741</f>
        <v>20073.13</v>
      </c>
      <c r="P741" s="52" t="n">
        <f aca="false">Sales_Transactions!K741</f>
        <v>14700.13</v>
      </c>
      <c r="Q741" s="42" t="n">
        <f aca="false">IF(ISNUMBER(MATCH(E741,Product_Master!$A$2:$A$9,0)),0,1)</f>
        <v>0</v>
      </c>
      <c r="R741" s="42" t="n">
        <f aca="false">IF(ISNUMBER(MATCH(D741,Customer_Master!$A$2:$A$49,0)),0,1)</f>
        <v>0</v>
      </c>
      <c r="S741" s="42" t="n">
        <f aca="false">IF(ISNUMBER(MATCH(B741,Calendar!$A$2:$A$25,0)),0,1)</f>
        <v>0</v>
      </c>
      <c r="T741" s="42" t="n">
        <f aca="false">IF(COUNTIF(Sales_Transactions!$A$2:$A$865,A741)&gt;1,1,0)</f>
        <v>0</v>
      </c>
      <c r="U741" s="42" t="n">
        <f aca="false">IF(OR(ABS(Sales_Transactions!F741*Sales_Transactions!G741-Sales_Transactions!I741)&gt;0.01,ABS(Sales_Transactions!F741*Sales_Transactions!H741-Sales_Transactions!J741)&gt;0.01,ABS(Sales_Transactions!I741-Sales_Transactions!J741-Sales_Transactions!K741)&gt;0.01),1,0)</f>
        <v>0</v>
      </c>
      <c r="V741" s="42" t="n">
        <f aca="false">IF(C741&lt;&gt;L741,1,0)</f>
        <v>0</v>
      </c>
      <c r="W741" s="42" t="n">
        <f aca="false">IF(SUM(Q741:V741)&gt;0,1,0)</f>
        <v>0</v>
      </c>
    </row>
    <row r="742" customFormat="false" ht="15" hidden="false" customHeight="false" outlineLevel="0" collapsed="false">
      <c r="A742" s="42" t="str">
        <f aca="false">Sales_Transactions!A742</f>
        <v>INV-21-021</v>
      </c>
      <c r="B742" s="42" t="str">
        <f aca="false">Sales_Transactions!B742</f>
        <v>2026-09</v>
      </c>
      <c r="C742" s="42" t="str">
        <f aca="false">Sales_Transactions!C742</f>
        <v>Actual</v>
      </c>
      <c r="D742" s="42" t="str">
        <f aca="false">Sales_Transactions!D742</f>
        <v>C009</v>
      </c>
      <c r="E742" s="42" t="str">
        <f aca="false">Sales_Transactions!E742</f>
        <v>P001</v>
      </c>
      <c r="F742" s="42" t="str">
        <f aca="false">IFERROR(INDEX(Customer_Master!$C$2:$C$49,MATCH(D742,Customer_Master!$A$2:$A$49,0)),"UNMATCHED")</f>
        <v>South</v>
      </c>
      <c r="G742" s="42" t="str">
        <f aca="false">IFERROR(INDEX(Customer_Master!$D$2:$D$49,MATCH(D742,Customer_Master!$A$2:$A$49,0)),"UNMATCHED")</f>
        <v>Retail</v>
      </c>
      <c r="H742" s="42" t="str">
        <f aca="false">IFERROR(INDEX(Product_Master!$C$2:$C$9,MATCH(E742,Product_Master!$A$2:$A$9,0)),"UNMATCHED")</f>
        <v>Home Care</v>
      </c>
      <c r="I742" s="42" t="str">
        <f aca="false">IFERROR(INDEX(Product_Master!$B$2:$B$9,MATCH(E742,Product_Master!$A$2:$A$9,0)),"UNMATCHED")</f>
        <v>Detergent 1kg</v>
      </c>
      <c r="J742" s="42" t="n">
        <f aca="false">IFERROR(INDEX(Calendar!$B$2:$B$25,MATCH(B742,Calendar!$A$2:$A$25,0)),0)</f>
        <v>2026</v>
      </c>
      <c r="K742" s="42" t="n">
        <f aca="false">IFERROR(VALUE(RIGHT(B742,2)),0)</f>
        <v>9</v>
      </c>
      <c r="L742" s="42" t="str">
        <f aca="false">IFERROR(INDEX(Calendar!$E$2:$E$25,MATCH(B742,Calendar!$A$2:$A$25,0)),"UNMATCHED")</f>
        <v>Actual</v>
      </c>
      <c r="M742" s="42" t="n">
        <f aca="false">Sales_Transactions!F742</f>
        <v>237</v>
      </c>
      <c r="N742" s="52" t="n">
        <f aca="false">Sales_Transactions!I742</f>
        <v>47290.98</v>
      </c>
      <c r="O742" s="52" t="n">
        <f aca="false">Sales_Transactions!J742</f>
        <v>32732.07</v>
      </c>
      <c r="P742" s="52" t="n">
        <f aca="false">Sales_Transactions!K742</f>
        <v>14558.91</v>
      </c>
      <c r="Q742" s="42" t="n">
        <f aca="false">IF(ISNUMBER(MATCH(E742,Product_Master!$A$2:$A$9,0)),0,1)</f>
        <v>0</v>
      </c>
      <c r="R742" s="42" t="n">
        <f aca="false">IF(ISNUMBER(MATCH(D742,Customer_Master!$A$2:$A$49,0)),0,1)</f>
        <v>0</v>
      </c>
      <c r="S742" s="42" t="n">
        <f aca="false">IF(ISNUMBER(MATCH(B742,Calendar!$A$2:$A$25,0)),0,1)</f>
        <v>0</v>
      </c>
      <c r="T742" s="42" t="n">
        <f aca="false">IF(COUNTIF(Sales_Transactions!$A$2:$A$865,A742)&gt;1,1,0)</f>
        <v>0</v>
      </c>
      <c r="U742" s="42" t="n">
        <f aca="false">IF(OR(ABS(Sales_Transactions!F742*Sales_Transactions!G742-Sales_Transactions!I742)&gt;0.01,ABS(Sales_Transactions!F742*Sales_Transactions!H742-Sales_Transactions!J742)&gt;0.01,ABS(Sales_Transactions!I742-Sales_Transactions!J742-Sales_Transactions!K742)&gt;0.01),1,0)</f>
        <v>0</v>
      </c>
      <c r="V742" s="42" t="n">
        <f aca="false">IF(C742&lt;&gt;L742,1,0)</f>
        <v>0</v>
      </c>
      <c r="W742" s="42" t="n">
        <f aca="false">IF(SUM(Q742:V742)&gt;0,1,0)</f>
        <v>0</v>
      </c>
    </row>
    <row r="743" customFormat="false" ht="15" hidden="false" customHeight="false" outlineLevel="0" collapsed="false">
      <c r="A743" s="42" t="str">
        <f aca="false">Sales_Transactions!A743</f>
        <v>INV-21-022</v>
      </c>
      <c r="B743" s="42" t="str">
        <f aca="false">Sales_Transactions!B743</f>
        <v>2026-09</v>
      </c>
      <c r="C743" s="42" t="str">
        <f aca="false">Sales_Transactions!C743</f>
        <v>Actual</v>
      </c>
      <c r="D743" s="42" t="str">
        <f aca="false">Sales_Transactions!D743</f>
        <v>C016</v>
      </c>
      <c r="E743" s="42" t="str">
        <f aca="false">Sales_Transactions!E743</f>
        <v>P006</v>
      </c>
      <c r="F743" s="42" t="str">
        <f aca="false">IFERROR(INDEX(Customer_Master!$C$2:$C$49,MATCH(D743,Customer_Master!$A$2:$A$49,0)),"UNMATCHED")</f>
        <v>East</v>
      </c>
      <c r="G743" s="42" t="str">
        <f aca="false">IFERROR(INDEX(Customer_Master!$D$2:$D$49,MATCH(D743,Customer_Master!$A$2:$A$49,0)),"UNMATCHED")</f>
        <v>Distributor</v>
      </c>
      <c r="H743" s="42" t="str">
        <f aca="false">IFERROR(INDEX(Product_Master!$C$2:$C$9,MATCH(E743,Product_Master!$A$2:$A$9,0)),"UNMATCHED")</f>
        <v>Foods</v>
      </c>
      <c r="I743" s="42" t="str">
        <f aca="false">IFERROR(INDEX(Product_Master!$B$2:$B$9,MATCH(E743,Product_Master!$A$2:$A$9,0)),"UNMATCHED")</f>
        <v>Breakfast Cereal</v>
      </c>
      <c r="J743" s="42" t="n">
        <f aca="false">IFERROR(INDEX(Calendar!$B$2:$B$25,MATCH(B743,Calendar!$A$2:$A$25,0)),0)</f>
        <v>2026</v>
      </c>
      <c r="K743" s="42" t="n">
        <f aca="false">IFERROR(VALUE(RIGHT(B743,2)),0)</f>
        <v>9</v>
      </c>
      <c r="L743" s="42" t="str">
        <f aca="false">IFERROR(INDEX(Calendar!$E$2:$E$25,MATCH(B743,Calendar!$A$2:$A$25,0)),"UNMATCHED")</f>
        <v>Actual</v>
      </c>
      <c r="M743" s="42" t="n">
        <f aca="false">Sales_Transactions!F743</f>
        <v>302</v>
      </c>
      <c r="N743" s="52" t="n">
        <f aca="false">Sales_Transactions!I743</f>
        <v>73863.16</v>
      </c>
      <c r="O743" s="52" t="n">
        <f aca="false">Sales_Transactions!J743</f>
        <v>49881.34</v>
      </c>
      <c r="P743" s="52" t="n">
        <f aca="false">Sales_Transactions!K743</f>
        <v>23981.82</v>
      </c>
      <c r="Q743" s="42" t="n">
        <f aca="false">IF(ISNUMBER(MATCH(E743,Product_Master!$A$2:$A$9,0)),0,1)</f>
        <v>0</v>
      </c>
      <c r="R743" s="42" t="n">
        <f aca="false">IF(ISNUMBER(MATCH(D743,Customer_Master!$A$2:$A$49,0)),0,1)</f>
        <v>0</v>
      </c>
      <c r="S743" s="42" t="n">
        <f aca="false">IF(ISNUMBER(MATCH(B743,Calendar!$A$2:$A$25,0)),0,1)</f>
        <v>0</v>
      </c>
      <c r="T743" s="42" t="n">
        <f aca="false">IF(COUNTIF(Sales_Transactions!$A$2:$A$865,A743)&gt;1,1,0)</f>
        <v>0</v>
      </c>
      <c r="U743" s="42" t="n">
        <f aca="false">IF(OR(ABS(Sales_Transactions!F743*Sales_Transactions!G743-Sales_Transactions!I743)&gt;0.01,ABS(Sales_Transactions!F743*Sales_Transactions!H743-Sales_Transactions!J743)&gt;0.01,ABS(Sales_Transactions!I743-Sales_Transactions!J743-Sales_Transactions!K743)&gt;0.01),1,0)</f>
        <v>0</v>
      </c>
      <c r="V743" s="42" t="n">
        <f aca="false">IF(C743&lt;&gt;L743,1,0)</f>
        <v>0</v>
      </c>
      <c r="W743" s="42" t="n">
        <f aca="false">IF(SUM(Q743:V743)&gt;0,1,0)</f>
        <v>0</v>
      </c>
    </row>
    <row r="744" customFormat="false" ht="15" hidden="false" customHeight="false" outlineLevel="0" collapsed="false">
      <c r="A744" s="42" t="str">
        <f aca="false">Sales_Transactions!A744</f>
        <v>INV-21-023</v>
      </c>
      <c r="B744" s="42" t="str">
        <f aca="false">Sales_Transactions!B744</f>
        <v>2026-09</v>
      </c>
      <c r="C744" s="42" t="str">
        <f aca="false">Sales_Transactions!C744</f>
        <v>Actual</v>
      </c>
      <c r="D744" s="42" t="str">
        <f aca="false">Sales_Transactions!D744</f>
        <v>C023</v>
      </c>
      <c r="E744" s="42" t="str">
        <f aca="false">Sales_Transactions!E744</f>
        <v>P003</v>
      </c>
      <c r="F744" s="42" t="str">
        <f aca="false">IFERROR(INDEX(Customer_Master!$C$2:$C$49,MATCH(D744,Customer_Master!$A$2:$A$49,0)),"UNMATCHED")</f>
        <v>West</v>
      </c>
      <c r="G744" s="42" t="str">
        <f aca="false">IFERROR(INDEX(Customer_Master!$D$2:$D$49,MATCH(D744,Customer_Master!$A$2:$A$49,0)),"UNMATCHED")</f>
        <v>Modern Trade</v>
      </c>
      <c r="H744" s="42" t="str">
        <f aca="false">IFERROR(INDEX(Product_Master!$C$2:$C$9,MATCH(E744,Product_Master!$A$2:$A$9,0)),"UNMATCHED")</f>
        <v>Personal Care</v>
      </c>
      <c r="I744" s="42" t="str">
        <f aca="false">IFERROR(INDEX(Product_Master!$B$2:$B$9,MATCH(E744,Product_Master!$A$2:$A$9,0)),"UNMATCHED")</f>
        <v>Shampoo 400ml</v>
      </c>
      <c r="J744" s="42" t="n">
        <f aca="false">IFERROR(INDEX(Calendar!$B$2:$B$25,MATCH(B744,Calendar!$A$2:$A$25,0)),0)</f>
        <v>2026</v>
      </c>
      <c r="K744" s="42" t="n">
        <f aca="false">IFERROR(VALUE(RIGHT(B744,2)),0)</f>
        <v>9</v>
      </c>
      <c r="L744" s="42" t="str">
        <f aca="false">IFERROR(INDEX(Calendar!$E$2:$E$25,MATCH(B744,Calendar!$A$2:$A$25,0)),"UNMATCHED")</f>
        <v>Actual</v>
      </c>
      <c r="M744" s="42" t="n">
        <f aca="false">Sales_Transactions!F744</f>
        <v>211</v>
      </c>
      <c r="N744" s="52" t="n">
        <f aca="false">Sales_Transactions!I744</f>
        <v>56119.67</v>
      </c>
      <c r="O744" s="52" t="n">
        <f aca="false">Sales_Transactions!J744</f>
        <v>35308.74</v>
      </c>
      <c r="P744" s="52" t="n">
        <f aca="false">Sales_Transactions!K744</f>
        <v>20810.93</v>
      </c>
      <c r="Q744" s="42" t="n">
        <f aca="false">IF(ISNUMBER(MATCH(E744,Product_Master!$A$2:$A$9,0)),0,1)</f>
        <v>0</v>
      </c>
      <c r="R744" s="42" t="n">
        <f aca="false">IF(ISNUMBER(MATCH(D744,Customer_Master!$A$2:$A$49,0)),0,1)</f>
        <v>0</v>
      </c>
      <c r="S744" s="42" t="n">
        <f aca="false">IF(ISNUMBER(MATCH(B744,Calendar!$A$2:$A$25,0)),0,1)</f>
        <v>0</v>
      </c>
      <c r="T744" s="42" t="n">
        <f aca="false">IF(COUNTIF(Sales_Transactions!$A$2:$A$865,A744)&gt;1,1,0)</f>
        <v>0</v>
      </c>
      <c r="U744" s="42" t="n">
        <f aca="false">IF(OR(ABS(Sales_Transactions!F744*Sales_Transactions!G744-Sales_Transactions!I744)&gt;0.01,ABS(Sales_Transactions!F744*Sales_Transactions!H744-Sales_Transactions!J744)&gt;0.01,ABS(Sales_Transactions!I744-Sales_Transactions!J744-Sales_Transactions!K744)&gt;0.01),1,0)</f>
        <v>0</v>
      </c>
      <c r="V744" s="42" t="n">
        <f aca="false">IF(C744&lt;&gt;L744,1,0)</f>
        <v>0</v>
      </c>
      <c r="W744" s="42" t="n">
        <f aca="false">IF(SUM(Q744:V744)&gt;0,1,0)</f>
        <v>0</v>
      </c>
    </row>
    <row r="745" customFormat="false" ht="15" hidden="false" customHeight="false" outlineLevel="0" collapsed="false">
      <c r="A745" s="42" t="str">
        <f aca="false">Sales_Transactions!A745</f>
        <v>INV-21-024</v>
      </c>
      <c r="B745" s="42" t="str">
        <f aca="false">Sales_Transactions!B745</f>
        <v>2026-09</v>
      </c>
      <c r="C745" s="42" t="str">
        <f aca="false">Sales_Transactions!C745</f>
        <v>Actual</v>
      </c>
      <c r="D745" s="42" t="str">
        <f aca="false">Sales_Transactions!D745</f>
        <v>C030</v>
      </c>
      <c r="E745" s="42" t="str">
        <f aca="false">Sales_Transactions!E745</f>
        <v>P008</v>
      </c>
      <c r="F745" s="42" t="str">
        <f aca="false">IFERROR(INDEX(Customer_Master!$C$2:$C$49,MATCH(D745,Customer_Master!$A$2:$A$49,0)),"UNMATCHED")</f>
        <v>North</v>
      </c>
      <c r="G745" s="42" t="str">
        <f aca="false">IFERROR(INDEX(Customer_Master!$D$2:$D$49,MATCH(D745,Customer_Master!$A$2:$A$49,0)),"UNMATCHED")</f>
        <v>Retail</v>
      </c>
      <c r="H745" s="42" t="str">
        <f aca="false">IFERROR(INDEX(Product_Master!$C$2:$C$9,MATCH(E745,Product_Master!$A$2:$A$9,0)),"UNMATCHED")</f>
        <v>Personal Care</v>
      </c>
      <c r="I745" s="42" t="str">
        <f aca="false">IFERROR(INDEX(Product_Master!$B$2:$B$9,MATCH(E745,Product_Master!$A$2:$A$9,0)),"UNMATCHED")</f>
        <v>Body Lotion</v>
      </c>
      <c r="J745" s="42" t="n">
        <f aca="false">IFERROR(INDEX(Calendar!$B$2:$B$25,MATCH(B745,Calendar!$A$2:$A$25,0)),0)</f>
        <v>2026</v>
      </c>
      <c r="K745" s="42" t="n">
        <f aca="false">IFERROR(VALUE(RIGHT(B745,2)),0)</f>
        <v>9</v>
      </c>
      <c r="L745" s="42" t="str">
        <f aca="false">IFERROR(INDEX(Calendar!$E$2:$E$25,MATCH(B745,Calendar!$A$2:$A$25,0)),"UNMATCHED")</f>
        <v>Actual</v>
      </c>
      <c r="M745" s="42" t="n">
        <f aca="false">Sales_Transactions!F745</f>
        <v>181</v>
      </c>
      <c r="N745" s="52" t="n">
        <f aca="false">Sales_Transactions!I745</f>
        <v>59523.66</v>
      </c>
      <c r="O745" s="52" t="n">
        <f aca="false">Sales_Transactions!J745</f>
        <v>38279.69</v>
      </c>
      <c r="P745" s="52" t="n">
        <f aca="false">Sales_Transactions!K745</f>
        <v>21243.97</v>
      </c>
      <c r="Q745" s="42" t="n">
        <f aca="false">IF(ISNUMBER(MATCH(E745,Product_Master!$A$2:$A$9,0)),0,1)</f>
        <v>0</v>
      </c>
      <c r="R745" s="42" t="n">
        <f aca="false">IF(ISNUMBER(MATCH(D745,Customer_Master!$A$2:$A$49,0)),0,1)</f>
        <v>0</v>
      </c>
      <c r="S745" s="42" t="n">
        <f aca="false">IF(ISNUMBER(MATCH(B745,Calendar!$A$2:$A$25,0)),0,1)</f>
        <v>0</v>
      </c>
      <c r="T745" s="42" t="n">
        <f aca="false">IF(COUNTIF(Sales_Transactions!$A$2:$A$865,A745)&gt;1,1,0)</f>
        <v>0</v>
      </c>
      <c r="U745" s="42" t="n">
        <f aca="false">IF(OR(ABS(Sales_Transactions!F745*Sales_Transactions!G745-Sales_Transactions!I745)&gt;0.01,ABS(Sales_Transactions!F745*Sales_Transactions!H745-Sales_Transactions!J745)&gt;0.01,ABS(Sales_Transactions!I745-Sales_Transactions!J745-Sales_Transactions!K745)&gt;0.01),1,0)</f>
        <v>0</v>
      </c>
      <c r="V745" s="42" t="n">
        <f aca="false">IF(C745&lt;&gt;L745,1,0)</f>
        <v>0</v>
      </c>
      <c r="W745" s="42" t="n">
        <f aca="false">IF(SUM(Q745:V745)&gt;0,1,0)</f>
        <v>0</v>
      </c>
    </row>
    <row r="746" customFormat="false" ht="15" hidden="false" customHeight="false" outlineLevel="0" collapsed="false">
      <c r="A746" s="42" t="str">
        <f aca="false">Sales_Transactions!A746</f>
        <v>INV-21-025</v>
      </c>
      <c r="B746" s="42" t="str">
        <f aca="false">Sales_Transactions!B746</f>
        <v>2026-09</v>
      </c>
      <c r="C746" s="42" t="str">
        <f aca="false">Sales_Transactions!C746</f>
        <v>Actual</v>
      </c>
      <c r="D746" s="42" t="str">
        <f aca="false">Sales_Transactions!D746</f>
        <v>C037</v>
      </c>
      <c r="E746" s="42" t="str">
        <f aca="false">Sales_Transactions!E746</f>
        <v>P005</v>
      </c>
      <c r="F746" s="42" t="str">
        <f aca="false">IFERROR(INDEX(Customer_Master!$C$2:$C$49,MATCH(D746,Customer_Master!$A$2:$A$49,0)),"UNMATCHED")</f>
        <v>South</v>
      </c>
      <c r="G746" s="42" t="str">
        <f aca="false">IFERROR(INDEX(Customer_Master!$D$2:$D$49,MATCH(D746,Customer_Master!$A$2:$A$49,0)),"UNMATCHED")</f>
        <v>Distributor</v>
      </c>
      <c r="H746" s="42" t="str">
        <f aca="false">IFERROR(INDEX(Product_Master!$C$2:$C$9,MATCH(E746,Product_Master!$A$2:$A$9,0)),"UNMATCHED")</f>
        <v>Foods</v>
      </c>
      <c r="I746" s="42" t="str">
        <f aca="false">IFERROR(INDEX(Product_Master!$B$2:$B$9,MATCH(E746,Product_Master!$A$2:$A$9,0)),"UNMATCHED")</f>
        <v>Biscuits 500g</v>
      </c>
      <c r="J746" s="42" t="n">
        <f aca="false">IFERROR(INDEX(Calendar!$B$2:$B$25,MATCH(B746,Calendar!$A$2:$A$25,0)),0)</f>
        <v>2026</v>
      </c>
      <c r="K746" s="42" t="n">
        <f aca="false">IFERROR(VALUE(RIGHT(B746,2)),0)</f>
        <v>9</v>
      </c>
      <c r="L746" s="42" t="str">
        <f aca="false">IFERROR(INDEX(Calendar!$E$2:$E$25,MATCH(B746,Calendar!$A$2:$A$25,0)),"UNMATCHED")</f>
        <v>Actual</v>
      </c>
      <c r="M746" s="42" t="n">
        <f aca="false">Sales_Transactions!F746</f>
        <v>142</v>
      </c>
      <c r="N746" s="52" t="n">
        <f aca="false">Sales_Transactions!I746</f>
        <v>13967.12</v>
      </c>
      <c r="O746" s="52" t="n">
        <f aca="false">Sales_Transactions!J746</f>
        <v>9887.46</v>
      </c>
      <c r="P746" s="52" t="n">
        <f aca="false">Sales_Transactions!K746</f>
        <v>4079.66</v>
      </c>
      <c r="Q746" s="42" t="n">
        <f aca="false">IF(ISNUMBER(MATCH(E746,Product_Master!$A$2:$A$9,0)),0,1)</f>
        <v>0</v>
      </c>
      <c r="R746" s="42" t="n">
        <f aca="false">IF(ISNUMBER(MATCH(D746,Customer_Master!$A$2:$A$49,0)),0,1)</f>
        <v>0</v>
      </c>
      <c r="S746" s="42" t="n">
        <f aca="false">IF(ISNUMBER(MATCH(B746,Calendar!$A$2:$A$25,0)),0,1)</f>
        <v>0</v>
      </c>
      <c r="T746" s="42" t="n">
        <f aca="false">IF(COUNTIF(Sales_Transactions!$A$2:$A$865,A746)&gt;1,1,0)</f>
        <v>0</v>
      </c>
      <c r="U746" s="42" t="n">
        <f aca="false">IF(OR(ABS(Sales_Transactions!F746*Sales_Transactions!G746-Sales_Transactions!I746)&gt;0.01,ABS(Sales_Transactions!F746*Sales_Transactions!H746-Sales_Transactions!J746)&gt;0.01,ABS(Sales_Transactions!I746-Sales_Transactions!J746-Sales_Transactions!K746)&gt;0.01),1,0)</f>
        <v>0</v>
      </c>
      <c r="V746" s="42" t="n">
        <f aca="false">IF(C746&lt;&gt;L746,1,0)</f>
        <v>0</v>
      </c>
      <c r="W746" s="42" t="n">
        <f aca="false">IF(SUM(Q746:V746)&gt;0,1,0)</f>
        <v>0</v>
      </c>
    </row>
    <row r="747" customFormat="false" ht="15" hidden="false" customHeight="false" outlineLevel="0" collapsed="false">
      <c r="A747" s="42" t="str">
        <f aca="false">Sales_Transactions!A747</f>
        <v>INV-21-026</v>
      </c>
      <c r="B747" s="42" t="str">
        <f aca="false">Sales_Transactions!B747</f>
        <v>2026-09</v>
      </c>
      <c r="C747" s="42" t="str">
        <f aca="false">Sales_Transactions!C747</f>
        <v>Actual</v>
      </c>
      <c r="D747" s="42" t="str">
        <f aca="false">Sales_Transactions!D747</f>
        <v>C044</v>
      </c>
      <c r="E747" s="42" t="str">
        <f aca="false">Sales_Transactions!E747</f>
        <v>P002</v>
      </c>
      <c r="F747" s="42" t="str">
        <f aca="false">IFERROR(INDEX(Customer_Master!$C$2:$C$49,MATCH(D747,Customer_Master!$A$2:$A$49,0)),"UNMATCHED")</f>
        <v>East</v>
      </c>
      <c r="G747" s="42" t="str">
        <f aca="false">IFERROR(INDEX(Customer_Master!$D$2:$D$49,MATCH(D747,Customer_Master!$A$2:$A$49,0)),"UNMATCHED")</f>
        <v>Modern Trade</v>
      </c>
      <c r="H747" s="42" t="str">
        <f aca="false">IFERROR(INDEX(Product_Master!$C$2:$C$9,MATCH(E747,Product_Master!$A$2:$A$9,0)),"UNMATCHED")</f>
        <v>Home Care</v>
      </c>
      <c r="I747" s="42" t="str">
        <f aca="false">IFERROR(INDEX(Product_Master!$B$2:$B$9,MATCH(E747,Product_Master!$A$2:$A$9,0)),"UNMATCHED")</f>
        <v>Dishwash Gel</v>
      </c>
      <c r="J747" s="42" t="n">
        <f aca="false">IFERROR(INDEX(Calendar!$B$2:$B$25,MATCH(B747,Calendar!$A$2:$A$25,0)),0)</f>
        <v>2026</v>
      </c>
      <c r="K747" s="42" t="n">
        <f aca="false">IFERROR(VALUE(RIGHT(B747,2)),0)</f>
        <v>9</v>
      </c>
      <c r="L747" s="42" t="str">
        <f aca="false">IFERROR(INDEX(Calendar!$E$2:$E$25,MATCH(B747,Calendar!$A$2:$A$25,0)),"UNMATCHED")</f>
        <v>Actual</v>
      </c>
      <c r="M747" s="42" t="n">
        <f aca="false">Sales_Transactions!F747</f>
        <v>399</v>
      </c>
      <c r="N747" s="52" t="n">
        <f aca="false">Sales_Transactions!I747</f>
        <v>57252.51</v>
      </c>
      <c r="O747" s="52" t="n">
        <f aca="false">Sales_Transactions!J747</f>
        <v>34880.58</v>
      </c>
      <c r="P747" s="52" t="n">
        <f aca="false">Sales_Transactions!K747</f>
        <v>22371.93</v>
      </c>
      <c r="Q747" s="42" t="n">
        <f aca="false">IF(ISNUMBER(MATCH(E747,Product_Master!$A$2:$A$9,0)),0,1)</f>
        <v>0</v>
      </c>
      <c r="R747" s="42" t="n">
        <f aca="false">IF(ISNUMBER(MATCH(D747,Customer_Master!$A$2:$A$49,0)),0,1)</f>
        <v>0</v>
      </c>
      <c r="S747" s="42" t="n">
        <f aca="false">IF(ISNUMBER(MATCH(B747,Calendar!$A$2:$A$25,0)),0,1)</f>
        <v>0</v>
      </c>
      <c r="T747" s="42" t="n">
        <f aca="false">IF(COUNTIF(Sales_Transactions!$A$2:$A$865,A747)&gt;1,1,0)</f>
        <v>0</v>
      </c>
      <c r="U747" s="42" t="n">
        <f aca="false">IF(OR(ABS(Sales_Transactions!F747*Sales_Transactions!G747-Sales_Transactions!I747)&gt;0.01,ABS(Sales_Transactions!F747*Sales_Transactions!H747-Sales_Transactions!J747)&gt;0.01,ABS(Sales_Transactions!I747-Sales_Transactions!J747-Sales_Transactions!K747)&gt;0.01),1,0)</f>
        <v>0</v>
      </c>
      <c r="V747" s="42" t="n">
        <f aca="false">IF(C747&lt;&gt;L747,1,0)</f>
        <v>0</v>
      </c>
      <c r="W747" s="42" t="n">
        <f aca="false">IF(SUM(Q747:V747)&gt;0,1,0)</f>
        <v>0</v>
      </c>
    </row>
    <row r="748" customFormat="false" ht="15" hidden="false" customHeight="false" outlineLevel="0" collapsed="false">
      <c r="A748" s="42" t="str">
        <f aca="false">Sales_Transactions!A748</f>
        <v>INV-21-027</v>
      </c>
      <c r="B748" s="42" t="str">
        <f aca="false">Sales_Transactions!B748</f>
        <v>2026-09</v>
      </c>
      <c r="C748" s="42" t="str">
        <f aca="false">Sales_Transactions!C748</f>
        <v>Actual</v>
      </c>
      <c r="D748" s="42" t="str">
        <f aca="false">Sales_Transactions!D748</f>
        <v>C003</v>
      </c>
      <c r="E748" s="42" t="str">
        <f aca="false">Sales_Transactions!E748</f>
        <v>P007</v>
      </c>
      <c r="F748" s="42" t="str">
        <f aca="false">IFERROR(INDEX(Customer_Master!$C$2:$C$49,MATCH(D748,Customer_Master!$A$2:$A$49,0)),"UNMATCHED")</f>
        <v>West</v>
      </c>
      <c r="G748" s="42" t="str">
        <f aca="false">IFERROR(INDEX(Customer_Master!$D$2:$D$49,MATCH(D748,Customer_Master!$A$2:$A$49,0)),"UNMATCHED")</f>
        <v>Retail</v>
      </c>
      <c r="H748" s="42" t="str">
        <f aca="false">IFERROR(INDEX(Product_Master!$C$2:$C$9,MATCH(E748,Product_Master!$A$2:$A$9,0)),"UNMATCHED")</f>
        <v>Home Care</v>
      </c>
      <c r="I748" s="42" t="str">
        <f aca="false">IFERROR(INDEX(Product_Master!$B$2:$B$9,MATCH(E748,Product_Master!$A$2:$A$9,0)),"UNMATCHED")</f>
        <v>Floor Cleaner</v>
      </c>
      <c r="J748" s="42" t="n">
        <f aca="false">IFERROR(INDEX(Calendar!$B$2:$B$25,MATCH(B748,Calendar!$A$2:$A$25,0)),0)</f>
        <v>2026</v>
      </c>
      <c r="K748" s="42" t="n">
        <f aca="false">IFERROR(VALUE(RIGHT(B748,2)),0)</f>
        <v>9</v>
      </c>
      <c r="L748" s="42" t="str">
        <f aca="false">IFERROR(INDEX(Calendar!$E$2:$E$25,MATCH(B748,Calendar!$A$2:$A$25,0)),"UNMATCHED")</f>
        <v>Actual</v>
      </c>
      <c r="M748" s="42" t="n">
        <f aca="false">Sales_Transactions!F748</f>
        <v>93</v>
      </c>
      <c r="N748" s="52" t="n">
        <f aca="false">Sales_Transactions!I748</f>
        <v>16278.72</v>
      </c>
      <c r="O748" s="52" t="n">
        <f aca="false">Sales_Transactions!J748</f>
        <v>10083.06</v>
      </c>
      <c r="P748" s="52" t="n">
        <f aca="false">Sales_Transactions!K748</f>
        <v>6195.66</v>
      </c>
      <c r="Q748" s="42" t="n">
        <f aca="false">IF(ISNUMBER(MATCH(E748,Product_Master!$A$2:$A$9,0)),0,1)</f>
        <v>0</v>
      </c>
      <c r="R748" s="42" t="n">
        <f aca="false">IF(ISNUMBER(MATCH(D748,Customer_Master!$A$2:$A$49,0)),0,1)</f>
        <v>0</v>
      </c>
      <c r="S748" s="42" t="n">
        <f aca="false">IF(ISNUMBER(MATCH(B748,Calendar!$A$2:$A$25,0)),0,1)</f>
        <v>0</v>
      </c>
      <c r="T748" s="42" t="n">
        <f aca="false">IF(COUNTIF(Sales_Transactions!$A$2:$A$865,A748)&gt;1,1,0)</f>
        <v>0</v>
      </c>
      <c r="U748" s="42" t="n">
        <f aca="false">IF(OR(ABS(Sales_Transactions!F748*Sales_Transactions!G748-Sales_Transactions!I748)&gt;0.01,ABS(Sales_Transactions!F748*Sales_Transactions!H748-Sales_Transactions!J748)&gt;0.01,ABS(Sales_Transactions!I748-Sales_Transactions!J748-Sales_Transactions!K748)&gt;0.01),1,0)</f>
        <v>0</v>
      </c>
      <c r="V748" s="42" t="n">
        <f aca="false">IF(C748&lt;&gt;L748,1,0)</f>
        <v>0</v>
      </c>
      <c r="W748" s="42" t="n">
        <f aca="false">IF(SUM(Q748:V748)&gt;0,1,0)</f>
        <v>0</v>
      </c>
    </row>
    <row r="749" customFormat="false" ht="15" hidden="false" customHeight="false" outlineLevel="0" collapsed="false">
      <c r="A749" s="42" t="str">
        <f aca="false">Sales_Transactions!A749</f>
        <v>INV-21-028</v>
      </c>
      <c r="B749" s="42" t="str">
        <f aca="false">Sales_Transactions!B749</f>
        <v>2026-09</v>
      </c>
      <c r="C749" s="42" t="str">
        <f aca="false">Sales_Transactions!C749</f>
        <v>Actual</v>
      </c>
      <c r="D749" s="42" t="str">
        <f aca="false">Sales_Transactions!D749</f>
        <v>C010</v>
      </c>
      <c r="E749" s="42" t="str">
        <f aca="false">Sales_Transactions!E749</f>
        <v>P004</v>
      </c>
      <c r="F749" s="42" t="str">
        <f aca="false">IFERROR(INDEX(Customer_Master!$C$2:$C$49,MATCH(D749,Customer_Master!$A$2:$A$49,0)),"UNMATCHED")</f>
        <v>North</v>
      </c>
      <c r="G749" s="42" t="str">
        <f aca="false">IFERROR(INDEX(Customer_Master!$D$2:$D$49,MATCH(D749,Customer_Master!$A$2:$A$49,0)),"UNMATCHED")</f>
        <v>Distributor</v>
      </c>
      <c r="H749" s="42" t="str">
        <f aca="false">IFERROR(INDEX(Product_Master!$C$2:$C$9,MATCH(E749,Product_Master!$A$2:$A$9,0)),"UNMATCHED")</f>
        <v>Personal Care</v>
      </c>
      <c r="I749" s="42" t="str">
        <f aca="false">IFERROR(INDEX(Product_Master!$B$2:$B$9,MATCH(E749,Product_Master!$A$2:$A$9,0)),"UNMATCHED")</f>
        <v>Soap 4-pack</v>
      </c>
      <c r="J749" s="42" t="n">
        <f aca="false">IFERROR(INDEX(Calendar!$B$2:$B$25,MATCH(B749,Calendar!$A$2:$A$25,0)),0)</f>
        <v>2026</v>
      </c>
      <c r="K749" s="42" t="n">
        <f aca="false">IFERROR(VALUE(RIGHT(B749,2)),0)</f>
        <v>9</v>
      </c>
      <c r="L749" s="42" t="str">
        <f aca="false">IFERROR(INDEX(Calendar!$E$2:$E$25,MATCH(B749,Calendar!$A$2:$A$25,0)),"UNMATCHED")</f>
        <v>Actual</v>
      </c>
      <c r="M749" s="42" t="n">
        <f aca="false">Sales_Transactions!F749</f>
        <v>389</v>
      </c>
      <c r="N749" s="52" t="n">
        <f aca="false">Sales_Transactions!I749</f>
        <v>60882.39</v>
      </c>
      <c r="O749" s="52" t="n">
        <f aca="false">Sales_Transactions!J749</f>
        <v>38530.45</v>
      </c>
      <c r="P749" s="52" t="n">
        <f aca="false">Sales_Transactions!K749</f>
        <v>22351.94</v>
      </c>
      <c r="Q749" s="42" t="n">
        <f aca="false">IF(ISNUMBER(MATCH(E749,Product_Master!$A$2:$A$9,0)),0,1)</f>
        <v>0</v>
      </c>
      <c r="R749" s="42" t="n">
        <f aca="false">IF(ISNUMBER(MATCH(D749,Customer_Master!$A$2:$A$49,0)),0,1)</f>
        <v>0</v>
      </c>
      <c r="S749" s="42" t="n">
        <f aca="false">IF(ISNUMBER(MATCH(B749,Calendar!$A$2:$A$25,0)),0,1)</f>
        <v>0</v>
      </c>
      <c r="T749" s="42" t="n">
        <f aca="false">IF(COUNTIF(Sales_Transactions!$A$2:$A$865,A749)&gt;1,1,0)</f>
        <v>0</v>
      </c>
      <c r="U749" s="42" t="n">
        <f aca="false">IF(OR(ABS(Sales_Transactions!F749*Sales_Transactions!G749-Sales_Transactions!I749)&gt;0.01,ABS(Sales_Transactions!F749*Sales_Transactions!H749-Sales_Transactions!J749)&gt;0.01,ABS(Sales_Transactions!I749-Sales_Transactions!J749-Sales_Transactions!K749)&gt;0.01),1,0)</f>
        <v>0</v>
      </c>
      <c r="V749" s="42" t="n">
        <f aca="false">IF(C749&lt;&gt;L749,1,0)</f>
        <v>0</v>
      </c>
      <c r="W749" s="42" t="n">
        <f aca="false">IF(SUM(Q749:V749)&gt;0,1,0)</f>
        <v>0</v>
      </c>
    </row>
    <row r="750" customFormat="false" ht="15" hidden="false" customHeight="false" outlineLevel="0" collapsed="false">
      <c r="A750" s="42" t="str">
        <f aca="false">Sales_Transactions!A750</f>
        <v>INV-21-029</v>
      </c>
      <c r="B750" s="42" t="str">
        <f aca="false">Sales_Transactions!B750</f>
        <v>2026-09</v>
      </c>
      <c r="C750" s="42" t="str">
        <f aca="false">Sales_Transactions!C750</f>
        <v>Actual</v>
      </c>
      <c r="D750" s="42" t="str">
        <f aca="false">Sales_Transactions!D750</f>
        <v>C017</v>
      </c>
      <c r="E750" s="42" t="str">
        <f aca="false">Sales_Transactions!E750</f>
        <v>P001</v>
      </c>
      <c r="F750" s="42" t="str">
        <f aca="false">IFERROR(INDEX(Customer_Master!$C$2:$C$49,MATCH(D750,Customer_Master!$A$2:$A$49,0)),"UNMATCHED")</f>
        <v>South</v>
      </c>
      <c r="G750" s="42" t="str">
        <f aca="false">IFERROR(INDEX(Customer_Master!$D$2:$D$49,MATCH(D750,Customer_Master!$A$2:$A$49,0)),"UNMATCHED")</f>
        <v>Modern Trade</v>
      </c>
      <c r="H750" s="42" t="str">
        <f aca="false">IFERROR(INDEX(Product_Master!$C$2:$C$9,MATCH(E750,Product_Master!$A$2:$A$9,0)),"UNMATCHED")</f>
        <v>Home Care</v>
      </c>
      <c r="I750" s="42" t="str">
        <f aca="false">IFERROR(INDEX(Product_Master!$B$2:$B$9,MATCH(E750,Product_Master!$A$2:$A$9,0)),"UNMATCHED")</f>
        <v>Detergent 1kg</v>
      </c>
      <c r="J750" s="42" t="n">
        <f aca="false">IFERROR(INDEX(Calendar!$B$2:$B$25,MATCH(B750,Calendar!$A$2:$A$25,0)),0)</f>
        <v>2026</v>
      </c>
      <c r="K750" s="42" t="n">
        <f aca="false">IFERROR(VALUE(RIGHT(B750,2)),0)</f>
        <v>9</v>
      </c>
      <c r="L750" s="42" t="str">
        <f aca="false">IFERROR(INDEX(Calendar!$E$2:$E$25,MATCH(B750,Calendar!$A$2:$A$25,0)),"UNMATCHED")</f>
        <v>Actual</v>
      </c>
      <c r="M750" s="42" t="n">
        <f aca="false">Sales_Transactions!F750</f>
        <v>445</v>
      </c>
      <c r="N750" s="52" t="n">
        <f aca="false">Sales_Transactions!I750</f>
        <v>93765.95</v>
      </c>
      <c r="O750" s="52" t="n">
        <f aca="false">Sales_Transactions!J750</f>
        <v>58117</v>
      </c>
      <c r="P750" s="52" t="n">
        <f aca="false">Sales_Transactions!K750</f>
        <v>35648.95</v>
      </c>
      <c r="Q750" s="42" t="n">
        <f aca="false">IF(ISNUMBER(MATCH(E750,Product_Master!$A$2:$A$9,0)),0,1)</f>
        <v>0</v>
      </c>
      <c r="R750" s="42" t="n">
        <f aca="false">IF(ISNUMBER(MATCH(D750,Customer_Master!$A$2:$A$49,0)),0,1)</f>
        <v>0</v>
      </c>
      <c r="S750" s="42" t="n">
        <f aca="false">IF(ISNUMBER(MATCH(B750,Calendar!$A$2:$A$25,0)),0,1)</f>
        <v>0</v>
      </c>
      <c r="T750" s="42" t="n">
        <f aca="false">IF(COUNTIF(Sales_Transactions!$A$2:$A$865,A750)&gt;1,1,0)</f>
        <v>0</v>
      </c>
      <c r="U750" s="42" t="n">
        <f aca="false">IF(OR(ABS(Sales_Transactions!F750*Sales_Transactions!G750-Sales_Transactions!I750)&gt;0.01,ABS(Sales_Transactions!F750*Sales_Transactions!H750-Sales_Transactions!J750)&gt;0.01,ABS(Sales_Transactions!I750-Sales_Transactions!J750-Sales_Transactions!K750)&gt;0.01),1,0)</f>
        <v>0</v>
      </c>
      <c r="V750" s="42" t="n">
        <f aca="false">IF(C750&lt;&gt;L750,1,0)</f>
        <v>0</v>
      </c>
      <c r="W750" s="42" t="n">
        <f aca="false">IF(SUM(Q750:V750)&gt;0,1,0)</f>
        <v>0</v>
      </c>
    </row>
    <row r="751" customFormat="false" ht="15" hidden="false" customHeight="false" outlineLevel="0" collapsed="false">
      <c r="A751" s="42" t="str">
        <f aca="false">Sales_Transactions!A751</f>
        <v>INV-21-030</v>
      </c>
      <c r="B751" s="42" t="str">
        <f aca="false">Sales_Transactions!B751</f>
        <v>2026-09</v>
      </c>
      <c r="C751" s="42" t="str">
        <f aca="false">Sales_Transactions!C751</f>
        <v>Actual</v>
      </c>
      <c r="D751" s="42" t="str">
        <f aca="false">Sales_Transactions!D751</f>
        <v>C024</v>
      </c>
      <c r="E751" s="42" t="str">
        <f aca="false">Sales_Transactions!E751</f>
        <v>P006</v>
      </c>
      <c r="F751" s="42" t="str">
        <f aca="false">IFERROR(INDEX(Customer_Master!$C$2:$C$49,MATCH(D751,Customer_Master!$A$2:$A$49,0)),"UNMATCHED")</f>
        <v>East</v>
      </c>
      <c r="G751" s="42" t="str">
        <f aca="false">IFERROR(INDEX(Customer_Master!$D$2:$D$49,MATCH(D751,Customer_Master!$A$2:$A$49,0)),"UNMATCHED")</f>
        <v>Retail</v>
      </c>
      <c r="H751" s="42" t="str">
        <f aca="false">IFERROR(INDEX(Product_Master!$C$2:$C$9,MATCH(E751,Product_Master!$A$2:$A$9,0)),"UNMATCHED")</f>
        <v>Foods</v>
      </c>
      <c r="I751" s="42" t="str">
        <f aca="false">IFERROR(INDEX(Product_Master!$B$2:$B$9,MATCH(E751,Product_Master!$A$2:$A$9,0)),"UNMATCHED")</f>
        <v>Breakfast Cereal</v>
      </c>
      <c r="J751" s="42" t="n">
        <f aca="false">IFERROR(INDEX(Calendar!$B$2:$B$25,MATCH(B751,Calendar!$A$2:$A$25,0)),0)</f>
        <v>2026</v>
      </c>
      <c r="K751" s="42" t="n">
        <f aca="false">IFERROR(VALUE(RIGHT(B751,2)),0)</f>
        <v>9</v>
      </c>
      <c r="L751" s="42" t="str">
        <f aca="false">IFERROR(INDEX(Calendar!$E$2:$E$25,MATCH(B751,Calendar!$A$2:$A$25,0)),"UNMATCHED")</f>
        <v>Actual</v>
      </c>
      <c r="M751" s="42" t="n">
        <f aca="false">Sales_Transactions!F751</f>
        <v>107</v>
      </c>
      <c r="N751" s="52" t="n">
        <f aca="false">Sales_Transactions!I751</f>
        <v>25711.03</v>
      </c>
      <c r="O751" s="52" t="n">
        <f aca="false">Sales_Transactions!J751</f>
        <v>16494.05</v>
      </c>
      <c r="P751" s="52" t="n">
        <f aca="false">Sales_Transactions!K751</f>
        <v>9216.98</v>
      </c>
      <c r="Q751" s="42" t="n">
        <f aca="false">IF(ISNUMBER(MATCH(E751,Product_Master!$A$2:$A$9,0)),0,1)</f>
        <v>0</v>
      </c>
      <c r="R751" s="42" t="n">
        <f aca="false">IF(ISNUMBER(MATCH(D751,Customer_Master!$A$2:$A$49,0)),0,1)</f>
        <v>0</v>
      </c>
      <c r="S751" s="42" t="n">
        <f aca="false">IF(ISNUMBER(MATCH(B751,Calendar!$A$2:$A$25,0)),0,1)</f>
        <v>0</v>
      </c>
      <c r="T751" s="42" t="n">
        <f aca="false">IF(COUNTIF(Sales_Transactions!$A$2:$A$865,A751)&gt;1,1,0)</f>
        <v>0</v>
      </c>
      <c r="U751" s="42" t="n">
        <f aca="false">IF(OR(ABS(Sales_Transactions!F751*Sales_Transactions!G751-Sales_Transactions!I751)&gt;0.01,ABS(Sales_Transactions!F751*Sales_Transactions!H751-Sales_Transactions!J751)&gt;0.01,ABS(Sales_Transactions!I751-Sales_Transactions!J751-Sales_Transactions!K751)&gt;0.01),1,0)</f>
        <v>0</v>
      </c>
      <c r="V751" s="42" t="n">
        <f aca="false">IF(C751&lt;&gt;L751,1,0)</f>
        <v>0</v>
      </c>
      <c r="W751" s="42" t="n">
        <f aca="false">IF(SUM(Q751:V751)&gt;0,1,0)</f>
        <v>0</v>
      </c>
    </row>
    <row r="752" customFormat="false" ht="15" hidden="false" customHeight="false" outlineLevel="0" collapsed="false">
      <c r="A752" s="42" t="str">
        <f aca="false">Sales_Transactions!A752</f>
        <v>INV-21-031</v>
      </c>
      <c r="B752" s="42" t="str">
        <f aca="false">Sales_Transactions!B752</f>
        <v>2026-09</v>
      </c>
      <c r="C752" s="42" t="str">
        <f aca="false">Sales_Transactions!C752</f>
        <v>Actual</v>
      </c>
      <c r="D752" s="42" t="str">
        <f aca="false">Sales_Transactions!D752</f>
        <v>C031</v>
      </c>
      <c r="E752" s="42" t="str">
        <f aca="false">Sales_Transactions!E752</f>
        <v>P003</v>
      </c>
      <c r="F752" s="42" t="str">
        <f aca="false">IFERROR(INDEX(Customer_Master!$C$2:$C$49,MATCH(D752,Customer_Master!$A$2:$A$49,0)),"UNMATCHED")</f>
        <v>West</v>
      </c>
      <c r="G752" s="42" t="str">
        <f aca="false">IFERROR(INDEX(Customer_Master!$D$2:$D$49,MATCH(D752,Customer_Master!$A$2:$A$49,0)),"UNMATCHED")</f>
        <v>Distributor</v>
      </c>
      <c r="H752" s="42" t="str">
        <f aca="false">IFERROR(INDEX(Product_Master!$C$2:$C$9,MATCH(E752,Product_Master!$A$2:$A$9,0)),"UNMATCHED")</f>
        <v>Personal Care</v>
      </c>
      <c r="I752" s="42" t="str">
        <f aca="false">IFERROR(INDEX(Product_Master!$B$2:$B$9,MATCH(E752,Product_Master!$A$2:$A$9,0)),"UNMATCHED")</f>
        <v>Shampoo 400ml</v>
      </c>
      <c r="J752" s="42" t="n">
        <f aca="false">IFERROR(INDEX(Calendar!$B$2:$B$25,MATCH(B752,Calendar!$A$2:$A$25,0)),0)</f>
        <v>2026</v>
      </c>
      <c r="K752" s="42" t="n">
        <f aca="false">IFERROR(VALUE(RIGHT(B752,2)),0)</f>
        <v>9</v>
      </c>
      <c r="L752" s="42" t="str">
        <f aca="false">IFERROR(INDEX(Calendar!$E$2:$E$25,MATCH(B752,Calendar!$A$2:$A$25,0)),"UNMATCHED")</f>
        <v>Actual</v>
      </c>
      <c r="M752" s="42" t="n">
        <f aca="false">Sales_Transactions!F752</f>
        <v>196</v>
      </c>
      <c r="N752" s="52" t="n">
        <f aca="false">Sales_Transactions!I752</f>
        <v>54225.36</v>
      </c>
      <c r="O752" s="52" t="n">
        <f aca="false">Sales_Transactions!J752</f>
        <v>35295.68</v>
      </c>
      <c r="P752" s="52" t="n">
        <f aca="false">Sales_Transactions!K752</f>
        <v>18929.68</v>
      </c>
      <c r="Q752" s="42" t="n">
        <f aca="false">IF(ISNUMBER(MATCH(E752,Product_Master!$A$2:$A$9,0)),0,1)</f>
        <v>0</v>
      </c>
      <c r="R752" s="42" t="n">
        <f aca="false">IF(ISNUMBER(MATCH(D752,Customer_Master!$A$2:$A$49,0)),0,1)</f>
        <v>0</v>
      </c>
      <c r="S752" s="42" t="n">
        <f aca="false">IF(ISNUMBER(MATCH(B752,Calendar!$A$2:$A$25,0)),0,1)</f>
        <v>0</v>
      </c>
      <c r="T752" s="42" t="n">
        <f aca="false">IF(COUNTIF(Sales_Transactions!$A$2:$A$865,A752)&gt;1,1,0)</f>
        <v>0</v>
      </c>
      <c r="U752" s="42" t="n">
        <f aca="false">IF(OR(ABS(Sales_Transactions!F752*Sales_Transactions!G752-Sales_Transactions!I752)&gt;0.01,ABS(Sales_Transactions!F752*Sales_Transactions!H752-Sales_Transactions!J752)&gt;0.01,ABS(Sales_Transactions!I752-Sales_Transactions!J752-Sales_Transactions!K752)&gt;0.01),1,0)</f>
        <v>0</v>
      </c>
      <c r="V752" s="42" t="n">
        <f aca="false">IF(C752&lt;&gt;L752,1,0)</f>
        <v>0</v>
      </c>
      <c r="W752" s="42" t="n">
        <f aca="false">IF(SUM(Q752:V752)&gt;0,1,0)</f>
        <v>0</v>
      </c>
    </row>
    <row r="753" customFormat="false" ht="15" hidden="false" customHeight="false" outlineLevel="0" collapsed="false">
      <c r="A753" s="42" t="str">
        <f aca="false">Sales_Transactions!A753</f>
        <v>INV-21-032</v>
      </c>
      <c r="B753" s="42" t="str">
        <f aca="false">Sales_Transactions!B753</f>
        <v>2026-09</v>
      </c>
      <c r="C753" s="42" t="str">
        <f aca="false">Sales_Transactions!C753</f>
        <v>Actual</v>
      </c>
      <c r="D753" s="42" t="str">
        <f aca="false">Sales_Transactions!D753</f>
        <v>C038</v>
      </c>
      <c r="E753" s="42" t="str">
        <f aca="false">Sales_Transactions!E753</f>
        <v>P008</v>
      </c>
      <c r="F753" s="42" t="str">
        <f aca="false">IFERROR(INDEX(Customer_Master!$C$2:$C$49,MATCH(D753,Customer_Master!$A$2:$A$49,0)),"UNMATCHED")</f>
        <v>North</v>
      </c>
      <c r="G753" s="42" t="str">
        <f aca="false">IFERROR(INDEX(Customer_Master!$D$2:$D$49,MATCH(D753,Customer_Master!$A$2:$A$49,0)),"UNMATCHED")</f>
        <v>Modern Trade</v>
      </c>
      <c r="H753" s="42" t="str">
        <f aca="false">IFERROR(INDEX(Product_Master!$C$2:$C$9,MATCH(E753,Product_Master!$A$2:$A$9,0)),"UNMATCHED")</f>
        <v>Personal Care</v>
      </c>
      <c r="I753" s="42" t="str">
        <f aca="false">IFERROR(INDEX(Product_Master!$B$2:$B$9,MATCH(E753,Product_Master!$A$2:$A$9,0)),"UNMATCHED")</f>
        <v>Body Lotion</v>
      </c>
      <c r="J753" s="42" t="n">
        <f aca="false">IFERROR(INDEX(Calendar!$B$2:$B$25,MATCH(B753,Calendar!$A$2:$A$25,0)),0)</f>
        <v>2026</v>
      </c>
      <c r="K753" s="42" t="n">
        <f aca="false">IFERROR(VALUE(RIGHT(B753,2)),0)</f>
        <v>9</v>
      </c>
      <c r="L753" s="42" t="str">
        <f aca="false">IFERROR(INDEX(Calendar!$E$2:$E$25,MATCH(B753,Calendar!$A$2:$A$25,0)),"UNMATCHED")</f>
        <v>Actual</v>
      </c>
      <c r="M753" s="42" t="n">
        <f aca="false">Sales_Transactions!F753</f>
        <v>156</v>
      </c>
      <c r="N753" s="52" t="n">
        <f aca="false">Sales_Transactions!I753</f>
        <v>48444.24</v>
      </c>
      <c r="O753" s="52" t="n">
        <f aca="false">Sales_Transactions!J753</f>
        <v>31345.08</v>
      </c>
      <c r="P753" s="52" t="n">
        <f aca="false">Sales_Transactions!K753</f>
        <v>17099.16</v>
      </c>
      <c r="Q753" s="42" t="n">
        <f aca="false">IF(ISNUMBER(MATCH(E753,Product_Master!$A$2:$A$9,0)),0,1)</f>
        <v>0</v>
      </c>
      <c r="R753" s="42" t="n">
        <f aca="false">IF(ISNUMBER(MATCH(D753,Customer_Master!$A$2:$A$49,0)),0,1)</f>
        <v>0</v>
      </c>
      <c r="S753" s="42" t="n">
        <f aca="false">IF(ISNUMBER(MATCH(B753,Calendar!$A$2:$A$25,0)),0,1)</f>
        <v>0</v>
      </c>
      <c r="T753" s="42" t="n">
        <f aca="false">IF(COUNTIF(Sales_Transactions!$A$2:$A$865,A753)&gt;1,1,0)</f>
        <v>0</v>
      </c>
      <c r="U753" s="42" t="n">
        <f aca="false">IF(OR(ABS(Sales_Transactions!F753*Sales_Transactions!G753-Sales_Transactions!I753)&gt;0.01,ABS(Sales_Transactions!F753*Sales_Transactions!H753-Sales_Transactions!J753)&gt;0.01,ABS(Sales_Transactions!I753-Sales_Transactions!J753-Sales_Transactions!K753)&gt;0.01),1,0)</f>
        <v>0</v>
      </c>
      <c r="V753" s="42" t="n">
        <f aca="false">IF(C753&lt;&gt;L753,1,0)</f>
        <v>0</v>
      </c>
      <c r="W753" s="42" t="n">
        <f aca="false">IF(SUM(Q753:V753)&gt;0,1,0)</f>
        <v>0</v>
      </c>
    </row>
    <row r="754" customFormat="false" ht="15" hidden="false" customHeight="false" outlineLevel="0" collapsed="false">
      <c r="A754" s="42" t="str">
        <f aca="false">Sales_Transactions!A754</f>
        <v>INV-21-033</v>
      </c>
      <c r="B754" s="42" t="str">
        <f aca="false">Sales_Transactions!B754</f>
        <v>2026-09</v>
      </c>
      <c r="C754" s="42" t="str">
        <f aca="false">Sales_Transactions!C754</f>
        <v>Actual</v>
      </c>
      <c r="D754" s="42" t="str">
        <f aca="false">Sales_Transactions!D754</f>
        <v>C045</v>
      </c>
      <c r="E754" s="42" t="str">
        <f aca="false">Sales_Transactions!E754</f>
        <v>P005</v>
      </c>
      <c r="F754" s="42" t="str">
        <f aca="false">IFERROR(INDEX(Customer_Master!$C$2:$C$49,MATCH(D754,Customer_Master!$A$2:$A$49,0)),"UNMATCHED")</f>
        <v>South</v>
      </c>
      <c r="G754" s="42" t="str">
        <f aca="false">IFERROR(INDEX(Customer_Master!$D$2:$D$49,MATCH(D754,Customer_Master!$A$2:$A$49,0)),"UNMATCHED")</f>
        <v>Retail</v>
      </c>
      <c r="H754" s="42" t="str">
        <f aca="false">IFERROR(INDEX(Product_Master!$C$2:$C$9,MATCH(E754,Product_Master!$A$2:$A$9,0)),"UNMATCHED")</f>
        <v>Foods</v>
      </c>
      <c r="I754" s="42" t="str">
        <f aca="false">IFERROR(INDEX(Product_Master!$B$2:$B$9,MATCH(E754,Product_Master!$A$2:$A$9,0)),"UNMATCHED")</f>
        <v>Biscuits 500g</v>
      </c>
      <c r="J754" s="42" t="n">
        <f aca="false">IFERROR(INDEX(Calendar!$B$2:$B$25,MATCH(B754,Calendar!$A$2:$A$25,0)),0)</f>
        <v>2026</v>
      </c>
      <c r="K754" s="42" t="n">
        <f aca="false">IFERROR(VALUE(RIGHT(B754,2)),0)</f>
        <v>9</v>
      </c>
      <c r="L754" s="42" t="str">
        <f aca="false">IFERROR(INDEX(Calendar!$E$2:$E$25,MATCH(B754,Calendar!$A$2:$A$25,0)),"UNMATCHED")</f>
        <v>Actual</v>
      </c>
      <c r="M754" s="42" t="n">
        <f aca="false">Sales_Transactions!F754</f>
        <v>459</v>
      </c>
      <c r="N754" s="52" t="n">
        <f aca="false">Sales_Transactions!I754</f>
        <v>48718.26</v>
      </c>
      <c r="O754" s="52" t="n">
        <f aca="false">Sales_Transactions!J754</f>
        <v>31652.64</v>
      </c>
      <c r="P754" s="52" t="n">
        <f aca="false">Sales_Transactions!K754</f>
        <v>17065.62</v>
      </c>
      <c r="Q754" s="42" t="n">
        <f aca="false">IF(ISNUMBER(MATCH(E754,Product_Master!$A$2:$A$9,0)),0,1)</f>
        <v>0</v>
      </c>
      <c r="R754" s="42" t="n">
        <f aca="false">IF(ISNUMBER(MATCH(D754,Customer_Master!$A$2:$A$49,0)),0,1)</f>
        <v>0</v>
      </c>
      <c r="S754" s="42" t="n">
        <f aca="false">IF(ISNUMBER(MATCH(B754,Calendar!$A$2:$A$25,0)),0,1)</f>
        <v>0</v>
      </c>
      <c r="T754" s="42" t="n">
        <f aca="false">IF(COUNTIF(Sales_Transactions!$A$2:$A$865,A754)&gt;1,1,0)</f>
        <v>0</v>
      </c>
      <c r="U754" s="42" t="n">
        <f aca="false">IF(OR(ABS(Sales_Transactions!F754*Sales_Transactions!G754-Sales_Transactions!I754)&gt;0.01,ABS(Sales_Transactions!F754*Sales_Transactions!H754-Sales_Transactions!J754)&gt;0.01,ABS(Sales_Transactions!I754-Sales_Transactions!J754-Sales_Transactions!K754)&gt;0.01),1,0)</f>
        <v>0</v>
      </c>
      <c r="V754" s="42" t="n">
        <f aca="false">IF(C754&lt;&gt;L754,1,0)</f>
        <v>0</v>
      </c>
      <c r="W754" s="42" t="n">
        <f aca="false">IF(SUM(Q754:V754)&gt;0,1,0)</f>
        <v>0</v>
      </c>
    </row>
    <row r="755" customFormat="false" ht="15" hidden="false" customHeight="false" outlineLevel="0" collapsed="false">
      <c r="A755" s="42" t="str">
        <f aca="false">Sales_Transactions!A755</f>
        <v>INV-21-034</v>
      </c>
      <c r="B755" s="42" t="str">
        <f aca="false">Sales_Transactions!B755</f>
        <v>2026-09</v>
      </c>
      <c r="C755" s="42" t="str">
        <f aca="false">Sales_Transactions!C755</f>
        <v>Actual</v>
      </c>
      <c r="D755" s="42" t="str">
        <f aca="false">Sales_Transactions!D755</f>
        <v>C004</v>
      </c>
      <c r="E755" s="42" t="str">
        <f aca="false">Sales_Transactions!E755</f>
        <v>P002</v>
      </c>
      <c r="F755" s="42" t="str">
        <f aca="false">IFERROR(INDEX(Customer_Master!$C$2:$C$49,MATCH(D755,Customer_Master!$A$2:$A$49,0)),"UNMATCHED")</f>
        <v>East</v>
      </c>
      <c r="G755" s="42" t="str">
        <f aca="false">IFERROR(INDEX(Customer_Master!$D$2:$D$49,MATCH(D755,Customer_Master!$A$2:$A$49,0)),"UNMATCHED")</f>
        <v>Distributor</v>
      </c>
      <c r="H755" s="42" t="str">
        <f aca="false">IFERROR(INDEX(Product_Master!$C$2:$C$9,MATCH(E755,Product_Master!$A$2:$A$9,0)),"UNMATCHED")</f>
        <v>Home Care</v>
      </c>
      <c r="I755" s="42" t="str">
        <f aca="false">IFERROR(INDEX(Product_Master!$B$2:$B$9,MATCH(E755,Product_Master!$A$2:$A$9,0)),"UNMATCHED")</f>
        <v>Dishwash Gel</v>
      </c>
      <c r="J755" s="42" t="n">
        <f aca="false">IFERROR(INDEX(Calendar!$B$2:$B$25,MATCH(B755,Calendar!$A$2:$A$25,0)),0)</f>
        <v>2026</v>
      </c>
      <c r="K755" s="42" t="n">
        <f aca="false">IFERROR(VALUE(RIGHT(B755,2)),0)</f>
        <v>9</v>
      </c>
      <c r="L755" s="42" t="str">
        <f aca="false">IFERROR(INDEX(Calendar!$E$2:$E$25,MATCH(B755,Calendar!$A$2:$A$25,0)),"UNMATCHED")</f>
        <v>Actual</v>
      </c>
      <c r="M755" s="42" t="n">
        <f aca="false">Sales_Transactions!F755</f>
        <v>429</v>
      </c>
      <c r="N755" s="52" t="n">
        <f aca="false">Sales_Transactions!I755</f>
        <v>61981.92</v>
      </c>
      <c r="O755" s="52" t="n">
        <f aca="false">Sales_Transactions!J755</f>
        <v>34770.45</v>
      </c>
      <c r="P755" s="52" t="n">
        <f aca="false">Sales_Transactions!K755</f>
        <v>27211.47</v>
      </c>
      <c r="Q755" s="42" t="n">
        <f aca="false">IF(ISNUMBER(MATCH(E755,Product_Master!$A$2:$A$9,0)),0,1)</f>
        <v>0</v>
      </c>
      <c r="R755" s="42" t="n">
        <f aca="false">IF(ISNUMBER(MATCH(D755,Customer_Master!$A$2:$A$49,0)),0,1)</f>
        <v>0</v>
      </c>
      <c r="S755" s="42" t="n">
        <f aca="false">IF(ISNUMBER(MATCH(B755,Calendar!$A$2:$A$25,0)),0,1)</f>
        <v>0</v>
      </c>
      <c r="T755" s="42" t="n">
        <f aca="false">IF(COUNTIF(Sales_Transactions!$A$2:$A$865,A755)&gt;1,1,0)</f>
        <v>0</v>
      </c>
      <c r="U755" s="42" t="n">
        <f aca="false">IF(OR(ABS(Sales_Transactions!F755*Sales_Transactions!G755-Sales_Transactions!I755)&gt;0.01,ABS(Sales_Transactions!F755*Sales_Transactions!H755-Sales_Transactions!J755)&gt;0.01,ABS(Sales_Transactions!I755-Sales_Transactions!J755-Sales_Transactions!K755)&gt;0.01),1,0)</f>
        <v>0</v>
      </c>
      <c r="V755" s="42" t="n">
        <f aca="false">IF(C755&lt;&gt;L755,1,0)</f>
        <v>0</v>
      </c>
      <c r="W755" s="42" t="n">
        <f aca="false">IF(SUM(Q755:V755)&gt;0,1,0)</f>
        <v>0</v>
      </c>
    </row>
    <row r="756" customFormat="false" ht="15" hidden="false" customHeight="false" outlineLevel="0" collapsed="false">
      <c r="A756" s="42" t="str">
        <f aca="false">Sales_Transactions!A756</f>
        <v>INV-21-035</v>
      </c>
      <c r="B756" s="42" t="str">
        <f aca="false">Sales_Transactions!B756</f>
        <v>2026-09</v>
      </c>
      <c r="C756" s="42" t="str">
        <f aca="false">Sales_Transactions!C756</f>
        <v>Actual</v>
      </c>
      <c r="D756" s="42" t="str">
        <f aca="false">Sales_Transactions!D756</f>
        <v>C011</v>
      </c>
      <c r="E756" s="42" t="str">
        <f aca="false">Sales_Transactions!E756</f>
        <v>P007</v>
      </c>
      <c r="F756" s="42" t="str">
        <f aca="false">IFERROR(INDEX(Customer_Master!$C$2:$C$49,MATCH(D756,Customer_Master!$A$2:$A$49,0)),"UNMATCHED")</f>
        <v>West</v>
      </c>
      <c r="G756" s="42" t="str">
        <f aca="false">IFERROR(INDEX(Customer_Master!$D$2:$D$49,MATCH(D756,Customer_Master!$A$2:$A$49,0)),"UNMATCHED")</f>
        <v>Modern Trade</v>
      </c>
      <c r="H756" s="42" t="str">
        <f aca="false">IFERROR(INDEX(Product_Master!$C$2:$C$9,MATCH(E756,Product_Master!$A$2:$A$9,0)),"UNMATCHED")</f>
        <v>Home Care</v>
      </c>
      <c r="I756" s="42" t="str">
        <f aca="false">IFERROR(INDEX(Product_Master!$B$2:$B$9,MATCH(E756,Product_Master!$A$2:$A$9,0)),"UNMATCHED")</f>
        <v>Floor Cleaner</v>
      </c>
      <c r="J756" s="42" t="n">
        <f aca="false">IFERROR(INDEX(Calendar!$B$2:$B$25,MATCH(B756,Calendar!$A$2:$A$25,0)),0)</f>
        <v>2026</v>
      </c>
      <c r="K756" s="42" t="n">
        <f aca="false">IFERROR(VALUE(RIGHT(B756,2)),0)</f>
        <v>9</v>
      </c>
      <c r="L756" s="42" t="str">
        <f aca="false">IFERROR(INDEX(Calendar!$E$2:$E$25,MATCH(B756,Calendar!$A$2:$A$25,0)),"UNMATCHED")</f>
        <v>Actual</v>
      </c>
      <c r="M756" s="42" t="n">
        <f aca="false">Sales_Transactions!F756</f>
        <v>158</v>
      </c>
      <c r="N756" s="52" t="n">
        <f aca="false">Sales_Transactions!I756</f>
        <v>30565.1</v>
      </c>
      <c r="O756" s="52" t="n">
        <f aca="false">Sales_Transactions!J756</f>
        <v>18095.74</v>
      </c>
      <c r="P756" s="52" t="n">
        <f aca="false">Sales_Transactions!K756</f>
        <v>12469.36</v>
      </c>
      <c r="Q756" s="42" t="n">
        <f aca="false">IF(ISNUMBER(MATCH(E756,Product_Master!$A$2:$A$9,0)),0,1)</f>
        <v>0</v>
      </c>
      <c r="R756" s="42" t="n">
        <f aca="false">IF(ISNUMBER(MATCH(D756,Customer_Master!$A$2:$A$49,0)),0,1)</f>
        <v>0</v>
      </c>
      <c r="S756" s="42" t="n">
        <f aca="false">IF(ISNUMBER(MATCH(B756,Calendar!$A$2:$A$25,0)),0,1)</f>
        <v>0</v>
      </c>
      <c r="T756" s="42" t="n">
        <f aca="false">IF(COUNTIF(Sales_Transactions!$A$2:$A$865,A756)&gt;1,1,0)</f>
        <v>0</v>
      </c>
      <c r="U756" s="42" t="n">
        <f aca="false">IF(OR(ABS(Sales_Transactions!F756*Sales_Transactions!G756-Sales_Transactions!I756)&gt;0.01,ABS(Sales_Transactions!F756*Sales_Transactions!H756-Sales_Transactions!J756)&gt;0.01,ABS(Sales_Transactions!I756-Sales_Transactions!J756-Sales_Transactions!K756)&gt;0.01),1,0)</f>
        <v>0</v>
      </c>
      <c r="V756" s="42" t="n">
        <f aca="false">IF(C756&lt;&gt;L756,1,0)</f>
        <v>0</v>
      </c>
      <c r="W756" s="42" t="n">
        <f aca="false">IF(SUM(Q756:V756)&gt;0,1,0)</f>
        <v>0</v>
      </c>
    </row>
    <row r="757" customFormat="false" ht="15" hidden="false" customHeight="false" outlineLevel="0" collapsed="false">
      <c r="A757" s="42" t="str">
        <f aca="false">Sales_Transactions!A757</f>
        <v>INV-21-036</v>
      </c>
      <c r="B757" s="42" t="str">
        <f aca="false">Sales_Transactions!B757</f>
        <v>2026-09</v>
      </c>
      <c r="C757" s="42" t="str">
        <f aca="false">Sales_Transactions!C757</f>
        <v>Actual</v>
      </c>
      <c r="D757" s="42" t="str">
        <f aca="false">Sales_Transactions!D757</f>
        <v>C018</v>
      </c>
      <c r="E757" s="42" t="str">
        <f aca="false">Sales_Transactions!E757</f>
        <v>P004</v>
      </c>
      <c r="F757" s="42" t="str">
        <f aca="false">IFERROR(INDEX(Customer_Master!$C$2:$C$49,MATCH(D757,Customer_Master!$A$2:$A$49,0)),"UNMATCHED")</f>
        <v>North</v>
      </c>
      <c r="G757" s="42" t="str">
        <f aca="false">IFERROR(INDEX(Customer_Master!$D$2:$D$49,MATCH(D757,Customer_Master!$A$2:$A$49,0)),"UNMATCHED")</f>
        <v>Retail</v>
      </c>
      <c r="H757" s="42" t="str">
        <f aca="false">IFERROR(INDEX(Product_Master!$C$2:$C$9,MATCH(E757,Product_Master!$A$2:$A$9,0)),"UNMATCHED")</f>
        <v>Personal Care</v>
      </c>
      <c r="I757" s="42" t="str">
        <f aca="false">IFERROR(INDEX(Product_Master!$B$2:$B$9,MATCH(E757,Product_Master!$A$2:$A$9,0)),"UNMATCHED")</f>
        <v>Soap 4-pack</v>
      </c>
      <c r="J757" s="42" t="n">
        <f aca="false">IFERROR(INDEX(Calendar!$B$2:$B$25,MATCH(B757,Calendar!$A$2:$A$25,0)),0)</f>
        <v>2026</v>
      </c>
      <c r="K757" s="42" t="n">
        <f aca="false">IFERROR(VALUE(RIGHT(B757,2)),0)</f>
        <v>9</v>
      </c>
      <c r="L757" s="42" t="str">
        <f aca="false">IFERROR(INDEX(Calendar!$E$2:$E$25,MATCH(B757,Calendar!$A$2:$A$25,0)),"UNMATCHED")</f>
        <v>Actual</v>
      </c>
      <c r="M757" s="42" t="n">
        <f aca="false">Sales_Transactions!F757</f>
        <v>296</v>
      </c>
      <c r="N757" s="52" t="n">
        <f aca="false">Sales_Transactions!I757</f>
        <v>48126.64</v>
      </c>
      <c r="O757" s="52" t="n">
        <f aca="false">Sales_Transactions!J757</f>
        <v>27486.56</v>
      </c>
      <c r="P757" s="52" t="n">
        <f aca="false">Sales_Transactions!K757</f>
        <v>20640.08</v>
      </c>
      <c r="Q757" s="42" t="n">
        <f aca="false">IF(ISNUMBER(MATCH(E757,Product_Master!$A$2:$A$9,0)),0,1)</f>
        <v>0</v>
      </c>
      <c r="R757" s="42" t="n">
        <f aca="false">IF(ISNUMBER(MATCH(D757,Customer_Master!$A$2:$A$49,0)),0,1)</f>
        <v>0</v>
      </c>
      <c r="S757" s="42" t="n">
        <f aca="false">IF(ISNUMBER(MATCH(B757,Calendar!$A$2:$A$25,0)),0,1)</f>
        <v>0</v>
      </c>
      <c r="T757" s="42" t="n">
        <f aca="false">IF(COUNTIF(Sales_Transactions!$A$2:$A$865,A757)&gt;1,1,0)</f>
        <v>0</v>
      </c>
      <c r="U757" s="42" t="n">
        <f aca="false">IF(OR(ABS(Sales_Transactions!F757*Sales_Transactions!G757-Sales_Transactions!I757)&gt;0.01,ABS(Sales_Transactions!F757*Sales_Transactions!H757-Sales_Transactions!J757)&gt;0.01,ABS(Sales_Transactions!I757-Sales_Transactions!J757-Sales_Transactions!K757)&gt;0.01),1,0)</f>
        <v>0</v>
      </c>
      <c r="V757" s="42" t="n">
        <f aca="false">IF(C757&lt;&gt;L757,1,0)</f>
        <v>0</v>
      </c>
      <c r="W757" s="42" t="n">
        <f aca="false">IF(SUM(Q757:V757)&gt;0,1,0)</f>
        <v>0</v>
      </c>
    </row>
    <row r="758" customFormat="false" ht="15" hidden="false" customHeight="false" outlineLevel="0" collapsed="false">
      <c r="A758" s="42" t="str">
        <f aca="false">Sales_Transactions!A758</f>
        <v>INV-22-001</v>
      </c>
      <c r="B758" s="42" t="str">
        <f aca="false">Sales_Transactions!B758</f>
        <v>2026-10</v>
      </c>
      <c r="C758" s="42" t="str">
        <f aca="false">Sales_Transactions!C758</f>
        <v>Forecast</v>
      </c>
      <c r="D758" s="42" t="str">
        <f aca="false">Sales_Transactions!D758</f>
        <v>C016</v>
      </c>
      <c r="E758" s="42" t="str">
        <f aca="false">Sales_Transactions!E758</f>
        <v>P006</v>
      </c>
      <c r="F758" s="42" t="str">
        <f aca="false">IFERROR(INDEX(Customer_Master!$C$2:$C$49,MATCH(D758,Customer_Master!$A$2:$A$49,0)),"UNMATCHED")</f>
        <v>East</v>
      </c>
      <c r="G758" s="42" t="str">
        <f aca="false">IFERROR(INDEX(Customer_Master!$D$2:$D$49,MATCH(D758,Customer_Master!$A$2:$A$49,0)),"UNMATCHED")</f>
        <v>Distributor</v>
      </c>
      <c r="H758" s="42" t="str">
        <f aca="false">IFERROR(INDEX(Product_Master!$C$2:$C$9,MATCH(E758,Product_Master!$A$2:$A$9,0)),"UNMATCHED")</f>
        <v>Foods</v>
      </c>
      <c r="I758" s="42" t="str">
        <f aca="false">IFERROR(INDEX(Product_Master!$B$2:$B$9,MATCH(E758,Product_Master!$A$2:$A$9,0)),"UNMATCHED")</f>
        <v>Breakfast Cereal</v>
      </c>
      <c r="J758" s="42" t="n">
        <f aca="false">IFERROR(INDEX(Calendar!$B$2:$B$25,MATCH(B758,Calendar!$A$2:$A$25,0)),0)</f>
        <v>2026</v>
      </c>
      <c r="K758" s="42" t="n">
        <f aca="false">IFERROR(VALUE(RIGHT(B758,2)),0)</f>
        <v>10</v>
      </c>
      <c r="L758" s="42" t="str">
        <f aca="false">IFERROR(INDEX(Calendar!$E$2:$E$25,MATCH(B758,Calendar!$A$2:$A$25,0)),"UNMATCHED")</f>
        <v>Forecast</v>
      </c>
      <c r="M758" s="42" t="n">
        <f aca="false">Sales_Transactions!F758</f>
        <v>387</v>
      </c>
      <c r="N758" s="52" t="n">
        <f aca="false">Sales_Transactions!I758</f>
        <v>99114.57</v>
      </c>
      <c r="O758" s="52" t="n">
        <f aca="false">Sales_Transactions!J758</f>
        <v>64559.34</v>
      </c>
      <c r="P758" s="52" t="n">
        <f aca="false">Sales_Transactions!K758</f>
        <v>34555.23</v>
      </c>
      <c r="Q758" s="42" t="n">
        <f aca="false">IF(ISNUMBER(MATCH(E758,Product_Master!$A$2:$A$9,0)),0,1)</f>
        <v>0</v>
      </c>
      <c r="R758" s="42" t="n">
        <f aca="false">IF(ISNUMBER(MATCH(D758,Customer_Master!$A$2:$A$49,0)),0,1)</f>
        <v>0</v>
      </c>
      <c r="S758" s="42" t="n">
        <f aca="false">IF(ISNUMBER(MATCH(B758,Calendar!$A$2:$A$25,0)),0,1)</f>
        <v>0</v>
      </c>
      <c r="T758" s="42" t="n">
        <f aca="false">IF(COUNTIF(Sales_Transactions!$A$2:$A$865,A758)&gt;1,1,0)</f>
        <v>0</v>
      </c>
      <c r="U758" s="42" t="n">
        <f aca="false">IF(OR(ABS(Sales_Transactions!F758*Sales_Transactions!G758-Sales_Transactions!I758)&gt;0.01,ABS(Sales_Transactions!F758*Sales_Transactions!H758-Sales_Transactions!J758)&gt;0.01,ABS(Sales_Transactions!I758-Sales_Transactions!J758-Sales_Transactions!K758)&gt;0.01),1,0)</f>
        <v>0</v>
      </c>
      <c r="V758" s="42" t="n">
        <f aca="false">IF(C758&lt;&gt;L758,1,0)</f>
        <v>0</v>
      </c>
      <c r="W758" s="42" t="n">
        <f aca="false">IF(SUM(Q758:V758)&gt;0,1,0)</f>
        <v>0</v>
      </c>
    </row>
    <row r="759" customFormat="false" ht="15" hidden="false" customHeight="false" outlineLevel="0" collapsed="false">
      <c r="A759" s="42" t="str">
        <f aca="false">Sales_Transactions!A759</f>
        <v>INV-22-002</v>
      </c>
      <c r="B759" s="42" t="str">
        <f aca="false">Sales_Transactions!B759</f>
        <v>2026-10</v>
      </c>
      <c r="C759" s="42" t="str">
        <f aca="false">Sales_Transactions!C759</f>
        <v>Forecast</v>
      </c>
      <c r="D759" s="42" t="str">
        <f aca="false">Sales_Transactions!D759</f>
        <v>C023</v>
      </c>
      <c r="E759" s="42" t="str">
        <f aca="false">Sales_Transactions!E759</f>
        <v>P003</v>
      </c>
      <c r="F759" s="42" t="str">
        <f aca="false">IFERROR(INDEX(Customer_Master!$C$2:$C$49,MATCH(D759,Customer_Master!$A$2:$A$49,0)),"UNMATCHED")</f>
        <v>West</v>
      </c>
      <c r="G759" s="42" t="str">
        <f aca="false">IFERROR(INDEX(Customer_Master!$D$2:$D$49,MATCH(D759,Customer_Master!$A$2:$A$49,0)),"UNMATCHED")</f>
        <v>Modern Trade</v>
      </c>
      <c r="H759" s="42" t="str">
        <f aca="false">IFERROR(INDEX(Product_Master!$C$2:$C$9,MATCH(E759,Product_Master!$A$2:$A$9,0)),"UNMATCHED")</f>
        <v>Personal Care</v>
      </c>
      <c r="I759" s="42" t="str">
        <f aca="false">IFERROR(INDEX(Product_Master!$B$2:$B$9,MATCH(E759,Product_Master!$A$2:$A$9,0)),"UNMATCHED")</f>
        <v>Shampoo 400ml</v>
      </c>
      <c r="J759" s="42" t="n">
        <f aca="false">IFERROR(INDEX(Calendar!$B$2:$B$25,MATCH(B759,Calendar!$A$2:$A$25,0)),0)</f>
        <v>2026</v>
      </c>
      <c r="K759" s="42" t="n">
        <f aca="false">IFERROR(VALUE(RIGHT(B759,2)),0)</f>
        <v>10</v>
      </c>
      <c r="L759" s="42" t="str">
        <f aca="false">IFERROR(INDEX(Calendar!$E$2:$E$25,MATCH(B759,Calendar!$A$2:$A$25,0)),"UNMATCHED")</f>
        <v>Forecast</v>
      </c>
      <c r="M759" s="42" t="n">
        <f aca="false">Sales_Transactions!F759</f>
        <v>405</v>
      </c>
      <c r="N759" s="52" t="n">
        <f aca="false">Sales_Transactions!I759</f>
        <v>110933.55</v>
      </c>
      <c r="O759" s="52" t="n">
        <f aca="false">Sales_Transactions!J759</f>
        <v>71105.85</v>
      </c>
      <c r="P759" s="52" t="n">
        <f aca="false">Sales_Transactions!K759</f>
        <v>39827.7</v>
      </c>
      <c r="Q759" s="42" t="n">
        <f aca="false">IF(ISNUMBER(MATCH(E759,Product_Master!$A$2:$A$9,0)),0,1)</f>
        <v>0</v>
      </c>
      <c r="R759" s="42" t="n">
        <f aca="false">IF(ISNUMBER(MATCH(D759,Customer_Master!$A$2:$A$49,0)),0,1)</f>
        <v>0</v>
      </c>
      <c r="S759" s="42" t="n">
        <f aca="false">IF(ISNUMBER(MATCH(B759,Calendar!$A$2:$A$25,0)),0,1)</f>
        <v>0</v>
      </c>
      <c r="T759" s="42" t="n">
        <f aca="false">IF(COUNTIF(Sales_Transactions!$A$2:$A$865,A759)&gt;1,1,0)</f>
        <v>0</v>
      </c>
      <c r="U759" s="42" t="n">
        <f aca="false">IF(OR(ABS(Sales_Transactions!F759*Sales_Transactions!G759-Sales_Transactions!I759)&gt;0.01,ABS(Sales_Transactions!F759*Sales_Transactions!H759-Sales_Transactions!J759)&gt;0.01,ABS(Sales_Transactions!I759-Sales_Transactions!J759-Sales_Transactions!K759)&gt;0.01),1,0)</f>
        <v>0</v>
      </c>
      <c r="V759" s="42" t="n">
        <f aca="false">IF(C759&lt;&gt;L759,1,0)</f>
        <v>0</v>
      </c>
      <c r="W759" s="42" t="n">
        <f aca="false">IF(SUM(Q759:V759)&gt;0,1,0)</f>
        <v>0</v>
      </c>
    </row>
    <row r="760" customFormat="false" ht="15" hidden="false" customHeight="false" outlineLevel="0" collapsed="false">
      <c r="A760" s="42" t="str">
        <f aca="false">Sales_Transactions!A760</f>
        <v>INV-22-003</v>
      </c>
      <c r="B760" s="42" t="str">
        <f aca="false">Sales_Transactions!B760</f>
        <v>2026-10</v>
      </c>
      <c r="C760" s="42" t="str">
        <f aca="false">Sales_Transactions!C760</f>
        <v>Forecast</v>
      </c>
      <c r="D760" s="42" t="str">
        <f aca="false">Sales_Transactions!D760</f>
        <v>C030</v>
      </c>
      <c r="E760" s="42" t="str">
        <f aca="false">Sales_Transactions!E760</f>
        <v>P008</v>
      </c>
      <c r="F760" s="42" t="str">
        <f aca="false">IFERROR(INDEX(Customer_Master!$C$2:$C$49,MATCH(D760,Customer_Master!$A$2:$A$49,0)),"UNMATCHED")</f>
        <v>North</v>
      </c>
      <c r="G760" s="42" t="str">
        <f aca="false">IFERROR(INDEX(Customer_Master!$D$2:$D$49,MATCH(D760,Customer_Master!$A$2:$A$49,0)),"UNMATCHED")</f>
        <v>Retail</v>
      </c>
      <c r="H760" s="42" t="str">
        <f aca="false">IFERROR(INDEX(Product_Master!$C$2:$C$9,MATCH(E760,Product_Master!$A$2:$A$9,0)),"UNMATCHED")</f>
        <v>Personal Care</v>
      </c>
      <c r="I760" s="42" t="str">
        <f aca="false">IFERROR(INDEX(Product_Master!$B$2:$B$9,MATCH(E760,Product_Master!$A$2:$A$9,0)),"UNMATCHED")</f>
        <v>Body Lotion</v>
      </c>
      <c r="J760" s="42" t="n">
        <f aca="false">IFERROR(INDEX(Calendar!$B$2:$B$25,MATCH(B760,Calendar!$A$2:$A$25,0)),0)</f>
        <v>2026</v>
      </c>
      <c r="K760" s="42" t="n">
        <f aca="false">IFERROR(VALUE(RIGHT(B760,2)),0)</f>
        <v>10</v>
      </c>
      <c r="L760" s="42" t="str">
        <f aca="false">IFERROR(INDEX(Calendar!$E$2:$E$25,MATCH(B760,Calendar!$A$2:$A$25,0)),"UNMATCHED")</f>
        <v>Forecast</v>
      </c>
      <c r="M760" s="42" t="n">
        <f aca="false">Sales_Transactions!F760</f>
        <v>109</v>
      </c>
      <c r="N760" s="52" t="n">
        <f aca="false">Sales_Transactions!I760</f>
        <v>36005.97</v>
      </c>
      <c r="O760" s="52" t="n">
        <f aca="false">Sales_Transactions!J760</f>
        <v>23624.66</v>
      </c>
      <c r="P760" s="52" t="n">
        <f aca="false">Sales_Transactions!K760</f>
        <v>12381.31</v>
      </c>
      <c r="Q760" s="42" t="n">
        <f aca="false">IF(ISNUMBER(MATCH(E760,Product_Master!$A$2:$A$9,0)),0,1)</f>
        <v>0</v>
      </c>
      <c r="R760" s="42" t="n">
        <f aca="false">IF(ISNUMBER(MATCH(D760,Customer_Master!$A$2:$A$49,0)),0,1)</f>
        <v>0</v>
      </c>
      <c r="S760" s="42" t="n">
        <f aca="false">IF(ISNUMBER(MATCH(B760,Calendar!$A$2:$A$25,0)),0,1)</f>
        <v>0</v>
      </c>
      <c r="T760" s="42" t="n">
        <f aca="false">IF(COUNTIF(Sales_Transactions!$A$2:$A$865,A760)&gt;1,1,0)</f>
        <v>0</v>
      </c>
      <c r="U760" s="42" t="n">
        <f aca="false">IF(OR(ABS(Sales_Transactions!F760*Sales_Transactions!G760-Sales_Transactions!I760)&gt;0.01,ABS(Sales_Transactions!F760*Sales_Transactions!H760-Sales_Transactions!J760)&gt;0.01,ABS(Sales_Transactions!I760-Sales_Transactions!J760-Sales_Transactions!K760)&gt;0.01),1,0)</f>
        <v>0</v>
      </c>
      <c r="V760" s="42" t="n">
        <f aca="false">IF(C760&lt;&gt;L760,1,0)</f>
        <v>0</v>
      </c>
      <c r="W760" s="42" t="n">
        <f aca="false">IF(SUM(Q760:V760)&gt;0,1,0)</f>
        <v>0</v>
      </c>
    </row>
    <row r="761" customFormat="false" ht="15" hidden="false" customHeight="false" outlineLevel="0" collapsed="false">
      <c r="A761" s="42" t="str">
        <f aca="false">Sales_Transactions!A761</f>
        <v>INV-22-004</v>
      </c>
      <c r="B761" s="42" t="str">
        <f aca="false">Sales_Transactions!B761</f>
        <v>2026-10</v>
      </c>
      <c r="C761" s="42" t="str">
        <f aca="false">Sales_Transactions!C761</f>
        <v>Forecast</v>
      </c>
      <c r="D761" s="42" t="str">
        <f aca="false">Sales_Transactions!D761</f>
        <v>C037</v>
      </c>
      <c r="E761" s="42" t="str">
        <f aca="false">Sales_Transactions!E761</f>
        <v>P005</v>
      </c>
      <c r="F761" s="42" t="str">
        <f aca="false">IFERROR(INDEX(Customer_Master!$C$2:$C$49,MATCH(D761,Customer_Master!$A$2:$A$49,0)),"UNMATCHED")</f>
        <v>South</v>
      </c>
      <c r="G761" s="42" t="str">
        <f aca="false">IFERROR(INDEX(Customer_Master!$D$2:$D$49,MATCH(D761,Customer_Master!$A$2:$A$49,0)),"UNMATCHED")</f>
        <v>Distributor</v>
      </c>
      <c r="H761" s="42" t="str">
        <f aca="false">IFERROR(INDEX(Product_Master!$C$2:$C$9,MATCH(E761,Product_Master!$A$2:$A$9,0)),"UNMATCHED")</f>
        <v>Foods</v>
      </c>
      <c r="I761" s="42" t="str">
        <f aca="false">IFERROR(INDEX(Product_Master!$B$2:$B$9,MATCH(E761,Product_Master!$A$2:$A$9,0)),"UNMATCHED")</f>
        <v>Biscuits 500g</v>
      </c>
      <c r="J761" s="42" t="n">
        <f aca="false">IFERROR(INDEX(Calendar!$B$2:$B$25,MATCH(B761,Calendar!$A$2:$A$25,0)),0)</f>
        <v>2026</v>
      </c>
      <c r="K761" s="42" t="n">
        <f aca="false">IFERROR(VALUE(RIGHT(B761,2)),0)</f>
        <v>10</v>
      </c>
      <c r="L761" s="42" t="str">
        <f aca="false">IFERROR(INDEX(Calendar!$E$2:$E$25,MATCH(B761,Calendar!$A$2:$A$25,0)),"UNMATCHED")</f>
        <v>Forecast</v>
      </c>
      <c r="M761" s="42" t="n">
        <f aca="false">Sales_Transactions!F761</f>
        <v>428</v>
      </c>
      <c r="N761" s="52" t="n">
        <f aca="false">Sales_Transactions!I761</f>
        <v>44233.8</v>
      </c>
      <c r="O761" s="52" t="n">
        <f aca="false">Sales_Transactions!J761</f>
        <v>29335.12</v>
      </c>
      <c r="P761" s="52" t="n">
        <f aca="false">Sales_Transactions!K761</f>
        <v>14898.68</v>
      </c>
      <c r="Q761" s="42" t="n">
        <f aca="false">IF(ISNUMBER(MATCH(E761,Product_Master!$A$2:$A$9,0)),0,1)</f>
        <v>0</v>
      </c>
      <c r="R761" s="42" t="n">
        <f aca="false">IF(ISNUMBER(MATCH(D761,Customer_Master!$A$2:$A$49,0)),0,1)</f>
        <v>0</v>
      </c>
      <c r="S761" s="42" t="n">
        <f aca="false">IF(ISNUMBER(MATCH(B761,Calendar!$A$2:$A$25,0)),0,1)</f>
        <v>0</v>
      </c>
      <c r="T761" s="42" t="n">
        <f aca="false">IF(COUNTIF(Sales_Transactions!$A$2:$A$865,A761)&gt;1,1,0)</f>
        <v>0</v>
      </c>
      <c r="U761" s="42" t="n">
        <f aca="false">IF(OR(ABS(Sales_Transactions!F761*Sales_Transactions!G761-Sales_Transactions!I761)&gt;0.01,ABS(Sales_Transactions!F761*Sales_Transactions!H761-Sales_Transactions!J761)&gt;0.01,ABS(Sales_Transactions!I761-Sales_Transactions!J761-Sales_Transactions!K761)&gt;0.01),1,0)</f>
        <v>0</v>
      </c>
      <c r="V761" s="42" t="n">
        <f aca="false">IF(C761&lt;&gt;L761,1,0)</f>
        <v>0</v>
      </c>
      <c r="W761" s="42" t="n">
        <f aca="false">IF(SUM(Q761:V761)&gt;0,1,0)</f>
        <v>0</v>
      </c>
    </row>
    <row r="762" customFormat="false" ht="15" hidden="false" customHeight="false" outlineLevel="0" collapsed="false">
      <c r="A762" s="42" t="str">
        <f aca="false">Sales_Transactions!A762</f>
        <v>INV-22-005</v>
      </c>
      <c r="B762" s="42" t="str">
        <f aca="false">Sales_Transactions!B762</f>
        <v>2026-10</v>
      </c>
      <c r="C762" s="42" t="str">
        <f aca="false">Sales_Transactions!C762</f>
        <v>Forecast</v>
      </c>
      <c r="D762" s="42" t="str">
        <f aca="false">Sales_Transactions!D762</f>
        <v>C044</v>
      </c>
      <c r="E762" s="42" t="str">
        <f aca="false">Sales_Transactions!E762</f>
        <v>P002</v>
      </c>
      <c r="F762" s="42" t="str">
        <f aca="false">IFERROR(INDEX(Customer_Master!$C$2:$C$49,MATCH(D762,Customer_Master!$A$2:$A$49,0)),"UNMATCHED")</f>
        <v>East</v>
      </c>
      <c r="G762" s="42" t="str">
        <f aca="false">IFERROR(INDEX(Customer_Master!$D$2:$D$49,MATCH(D762,Customer_Master!$A$2:$A$49,0)),"UNMATCHED")</f>
        <v>Modern Trade</v>
      </c>
      <c r="H762" s="42" t="str">
        <f aca="false">IFERROR(INDEX(Product_Master!$C$2:$C$9,MATCH(E762,Product_Master!$A$2:$A$9,0)),"UNMATCHED")</f>
        <v>Home Care</v>
      </c>
      <c r="I762" s="42" t="str">
        <f aca="false">IFERROR(INDEX(Product_Master!$B$2:$B$9,MATCH(E762,Product_Master!$A$2:$A$9,0)),"UNMATCHED")</f>
        <v>Dishwash Gel</v>
      </c>
      <c r="J762" s="42" t="n">
        <f aca="false">IFERROR(INDEX(Calendar!$B$2:$B$25,MATCH(B762,Calendar!$A$2:$A$25,0)),0)</f>
        <v>2026</v>
      </c>
      <c r="K762" s="42" t="n">
        <f aca="false">IFERROR(VALUE(RIGHT(B762,2)),0)</f>
        <v>10</v>
      </c>
      <c r="L762" s="42" t="str">
        <f aca="false">IFERROR(INDEX(Calendar!$E$2:$E$25,MATCH(B762,Calendar!$A$2:$A$25,0)),"UNMATCHED")</f>
        <v>Forecast</v>
      </c>
      <c r="M762" s="42" t="n">
        <f aca="false">Sales_Transactions!F762</f>
        <v>441</v>
      </c>
      <c r="N762" s="52" t="n">
        <f aca="false">Sales_Transactions!I762</f>
        <v>60372.9</v>
      </c>
      <c r="O762" s="52" t="n">
        <f aca="false">Sales_Transactions!J762</f>
        <v>35363.79</v>
      </c>
      <c r="P762" s="52" t="n">
        <f aca="false">Sales_Transactions!K762</f>
        <v>25009.11</v>
      </c>
      <c r="Q762" s="42" t="n">
        <f aca="false">IF(ISNUMBER(MATCH(E762,Product_Master!$A$2:$A$9,0)),0,1)</f>
        <v>0</v>
      </c>
      <c r="R762" s="42" t="n">
        <f aca="false">IF(ISNUMBER(MATCH(D762,Customer_Master!$A$2:$A$49,0)),0,1)</f>
        <v>0</v>
      </c>
      <c r="S762" s="42" t="n">
        <f aca="false">IF(ISNUMBER(MATCH(B762,Calendar!$A$2:$A$25,0)),0,1)</f>
        <v>0</v>
      </c>
      <c r="T762" s="42" t="n">
        <f aca="false">IF(COUNTIF(Sales_Transactions!$A$2:$A$865,A762)&gt;1,1,0)</f>
        <v>0</v>
      </c>
      <c r="U762" s="42" t="n">
        <f aca="false">IF(OR(ABS(Sales_Transactions!F762*Sales_Transactions!G762-Sales_Transactions!I762)&gt;0.01,ABS(Sales_Transactions!F762*Sales_Transactions!H762-Sales_Transactions!J762)&gt;0.01,ABS(Sales_Transactions!I762-Sales_Transactions!J762-Sales_Transactions!K762)&gt;0.01),1,0)</f>
        <v>0</v>
      </c>
      <c r="V762" s="42" t="n">
        <f aca="false">IF(C762&lt;&gt;L762,1,0)</f>
        <v>0</v>
      </c>
      <c r="W762" s="42" t="n">
        <f aca="false">IF(SUM(Q762:V762)&gt;0,1,0)</f>
        <v>0</v>
      </c>
    </row>
    <row r="763" customFormat="false" ht="15" hidden="false" customHeight="false" outlineLevel="0" collapsed="false">
      <c r="A763" s="42" t="str">
        <f aca="false">Sales_Transactions!A763</f>
        <v>INV-22-006</v>
      </c>
      <c r="B763" s="42" t="str">
        <f aca="false">Sales_Transactions!B763</f>
        <v>2026-10</v>
      </c>
      <c r="C763" s="42" t="str">
        <f aca="false">Sales_Transactions!C763</f>
        <v>Forecast</v>
      </c>
      <c r="D763" s="42" t="str">
        <f aca="false">Sales_Transactions!D763</f>
        <v>C003</v>
      </c>
      <c r="E763" s="42" t="str">
        <f aca="false">Sales_Transactions!E763</f>
        <v>P007</v>
      </c>
      <c r="F763" s="42" t="str">
        <f aca="false">IFERROR(INDEX(Customer_Master!$C$2:$C$49,MATCH(D763,Customer_Master!$A$2:$A$49,0)),"UNMATCHED")</f>
        <v>West</v>
      </c>
      <c r="G763" s="42" t="str">
        <f aca="false">IFERROR(INDEX(Customer_Master!$D$2:$D$49,MATCH(D763,Customer_Master!$A$2:$A$49,0)),"UNMATCHED")</f>
        <v>Retail</v>
      </c>
      <c r="H763" s="42" t="str">
        <f aca="false">IFERROR(INDEX(Product_Master!$C$2:$C$9,MATCH(E763,Product_Master!$A$2:$A$9,0)),"UNMATCHED")</f>
        <v>Home Care</v>
      </c>
      <c r="I763" s="42" t="str">
        <f aca="false">IFERROR(INDEX(Product_Master!$B$2:$B$9,MATCH(E763,Product_Master!$A$2:$A$9,0)),"UNMATCHED")</f>
        <v>Floor Cleaner</v>
      </c>
      <c r="J763" s="42" t="n">
        <f aca="false">IFERROR(INDEX(Calendar!$B$2:$B$25,MATCH(B763,Calendar!$A$2:$A$25,0)),0)</f>
        <v>2026</v>
      </c>
      <c r="K763" s="42" t="n">
        <f aca="false">IFERROR(VALUE(RIGHT(B763,2)),0)</f>
        <v>10</v>
      </c>
      <c r="L763" s="42" t="str">
        <f aca="false">IFERROR(INDEX(Calendar!$E$2:$E$25,MATCH(B763,Calendar!$A$2:$A$25,0)),"UNMATCHED")</f>
        <v>Forecast</v>
      </c>
      <c r="M763" s="42" t="n">
        <f aca="false">Sales_Transactions!F763</f>
        <v>277</v>
      </c>
      <c r="N763" s="52" t="n">
        <f aca="false">Sales_Transactions!I763</f>
        <v>48098.28</v>
      </c>
      <c r="O763" s="52" t="n">
        <f aca="false">Sales_Transactions!J763</f>
        <v>31785.75</v>
      </c>
      <c r="P763" s="52" t="n">
        <f aca="false">Sales_Transactions!K763</f>
        <v>16312.53</v>
      </c>
      <c r="Q763" s="42" t="n">
        <f aca="false">IF(ISNUMBER(MATCH(E763,Product_Master!$A$2:$A$9,0)),0,1)</f>
        <v>0</v>
      </c>
      <c r="R763" s="42" t="n">
        <f aca="false">IF(ISNUMBER(MATCH(D763,Customer_Master!$A$2:$A$49,0)),0,1)</f>
        <v>0</v>
      </c>
      <c r="S763" s="42" t="n">
        <f aca="false">IF(ISNUMBER(MATCH(B763,Calendar!$A$2:$A$25,0)),0,1)</f>
        <v>0</v>
      </c>
      <c r="T763" s="42" t="n">
        <f aca="false">IF(COUNTIF(Sales_Transactions!$A$2:$A$865,A763)&gt;1,1,0)</f>
        <v>0</v>
      </c>
      <c r="U763" s="42" t="n">
        <f aca="false">IF(OR(ABS(Sales_Transactions!F763*Sales_Transactions!G763-Sales_Transactions!I763)&gt;0.01,ABS(Sales_Transactions!F763*Sales_Transactions!H763-Sales_Transactions!J763)&gt;0.01,ABS(Sales_Transactions!I763-Sales_Transactions!J763-Sales_Transactions!K763)&gt;0.01),1,0)</f>
        <v>0</v>
      </c>
      <c r="V763" s="42" t="n">
        <f aca="false">IF(C763&lt;&gt;L763,1,0)</f>
        <v>0</v>
      </c>
      <c r="W763" s="42" t="n">
        <f aca="false">IF(SUM(Q763:V763)&gt;0,1,0)</f>
        <v>0</v>
      </c>
    </row>
    <row r="764" customFormat="false" ht="15" hidden="false" customHeight="false" outlineLevel="0" collapsed="false">
      <c r="A764" s="42" t="str">
        <f aca="false">Sales_Transactions!A764</f>
        <v>INV-22-007</v>
      </c>
      <c r="B764" s="42" t="str">
        <f aca="false">Sales_Transactions!B764</f>
        <v>2026-10</v>
      </c>
      <c r="C764" s="42" t="str">
        <f aca="false">Sales_Transactions!C764</f>
        <v>Forecast</v>
      </c>
      <c r="D764" s="42" t="str">
        <f aca="false">Sales_Transactions!D764</f>
        <v>C010</v>
      </c>
      <c r="E764" s="42" t="str">
        <f aca="false">Sales_Transactions!E764</f>
        <v>P004</v>
      </c>
      <c r="F764" s="42" t="str">
        <f aca="false">IFERROR(INDEX(Customer_Master!$C$2:$C$49,MATCH(D764,Customer_Master!$A$2:$A$49,0)),"UNMATCHED")</f>
        <v>North</v>
      </c>
      <c r="G764" s="42" t="str">
        <f aca="false">IFERROR(INDEX(Customer_Master!$D$2:$D$49,MATCH(D764,Customer_Master!$A$2:$A$49,0)),"UNMATCHED")</f>
        <v>Distributor</v>
      </c>
      <c r="H764" s="42" t="str">
        <f aca="false">IFERROR(INDEX(Product_Master!$C$2:$C$9,MATCH(E764,Product_Master!$A$2:$A$9,0)),"UNMATCHED")</f>
        <v>Personal Care</v>
      </c>
      <c r="I764" s="42" t="str">
        <f aca="false">IFERROR(INDEX(Product_Master!$B$2:$B$9,MATCH(E764,Product_Master!$A$2:$A$9,0)),"UNMATCHED")</f>
        <v>Soap 4-pack</v>
      </c>
      <c r="J764" s="42" t="n">
        <f aca="false">IFERROR(INDEX(Calendar!$B$2:$B$25,MATCH(B764,Calendar!$A$2:$A$25,0)),0)</f>
        <v>2026</v>
      </c>
      <c r="K764" s="42" t="n">
        <f aca="false">IFERROR(VALUE(RIGHT(B764,2)),0)</f>
        <v>10</v>
      </c>
      <c r="L764" s="42" t="str">
        <f aca="false">IFERROR(INDEX(Calendar!$E$2:$E$25,MATCH(B764,Calendar!$A$2:$A$25,0)),"UNMATCHED")</f>
        <v>Forecast</v>
      </c>
      <c r="M764" s="42" t="n">
        <f aca="false">Sales_Transactions!F764</f>
        <v>208</v>
      </c>
      <c r="N764" s="52" t="n">
        <f aca="false">Sales_Transactions!I764</f>
        <v>36414.56</v>
      </c>
      <c r="O764" s="52" t="n">
        <f aca="false">Sales_Transactions!J764</f>
        <v>19888.96</v>
      </c>
      <c r="P764" s="52" t="n">
        <f aca="false">Sales_Transactions!K764</f>
        <v>16525.6</v>
      </c>
      <c r="Q764" s="42" t="n">
        <f aca="false">IF(ISNUMBER(MATCH(E764,Product_Master!$A$2:$A$9,0)),0,1)</f>
        <v>0</v>
      </c>
      <c r="R764" s="42" t="n">
        <f aca="false">IF(ISNUMBER(MATCH(D764,Customer_Master!$A$2:$A$49,0)),0,1)</f>
        <v>0</v>
      </c>
      <c r="S764" s="42" t="n">
        <f aca="false">IF(ISNUMBER(MATCH(B764,Calendar!$A$2:$A$25,0)),0,1)</f>
        <v>0</v>
      </c>
      <c r="T764" s="42" t="n">
        <f aca="false">IF(COUNTIF(Sales_Transactions!$A$2:$A$865,A764)&gt;1,1,0)</f>
        <v>0</v>
      </c>
      <c r="U764" s="42" t="n">
        <f aca="false">IF(OR(ABS(Sales_Transactions!F764*Sales_Transactions!G764-Sales_Transactions!I764)&gt;0.01,ABS(Sales_Transactions!F764*Sales_Transactions!H764-Sales_Transactions!J764)&gt;0.01,ABS(Sales_Transactions!I764-Sales_Transactions!J764-Sales_Transactions!K764)&gt;0.01),1,0)</f>
        <v>0</v>
      </c>
      <c r="V764" s="42" t="n">
        <f aca="false">IF(C764&lt;&gt;L764,1,0)</f>
        <v>0</v>
      </c>
      <c r="W764" s="42" t="n">
        <f aca="false">IF(SUM(Q764:V764)&gt;0,1,0)</f>
        <v>0</v>
      </c>
    </row>
    <row r="765" customFormat="false" ht="15" hidden="false" customHeight="false" outlineLevel="0" collapsed="false">
      <c r="A765" s="42" t="str">
        <f aca="false">Sales_Transactions!A765</f>
        <v>INV-22-008</v>
      </c>
      <c r="B765" s="42" t="str">
        <f aca="false">Sales_Transactions!B765</f>
        <v>2026-10</v>
      </c>
      <c r="C765" s="42" t="str">
        <f aca="false">Sales_Transactions!C765</f>
        <v>Forecast</v>
      </c>
      <c r="D765" s="42" t="str">
        <f aca="false">Sales_Transactions!D765</f>
        <v>C017</v>
      </c>
      <c r="E765" s="42" t="str">
        <f aca="false">Sales_Transactions!E765</f>
        <v>P001</v>
      </c>
      <c r="F765" s="42" t="str">
        <f aca="false">IFERROR(INDEX(Customer_Master!$C$2:$C$49,MATCH(D765,Customer_Master!$A$2:$A$49,0)),"UNMATCHED")</f>
        <v>South</v>
      </c>
      <c r="G765" s="42" t="str">
        <f aca="false">IFERROR(INDEX(Customer_Master!$D$2:$D$49,MATCH(D765,Customer_Master!$A$2:$A$49,0)),"UNMATCHED")</f>
        <v>Modern Trade</v>
      </c>
      <c r="H765" s="42" t="str">
        <f aca="false">IFERROR(INDEX(Product_Master!$C$2:$C$9,MATCH(E765,Product_Master!$A$2:$A$9,0)),"UNMATCHED")</f>
        <v>Home Care</v>
      </c>
      <c r="I765" s="42" t="str">
        <f aca="false">IFERROR(INDEX(Product_Master!$B$2:$B$9,MATCH(E765,Product_Master!$A$2:$A$9,0)),"UNMATCHED")</f>
        <v>Detergent 1kg</v>
      </c>
      <c r="J765" s="42" t="n">
        <f aca="false">IFERROR(INDEX(Calendar!$B$2:$B$25,MATCH(B765,Calendar!$A$2:$A$25,0)),0)</f>
        <v>2026</v>
      </c>
      <c r="K765" s="42" t="n">
        <f aca="false">IFERROR(VALUE(RIGHT(B765,2)),0)</f>
        <v>10</v>
      </c>
      <c r="L765" s="42" t="str">
        <f aca="false">IFERROR(INDEX(Calendar!$E$2:$E$25,MATCH(B765,Calendar!$A$2:$A$25,0)),"UNMATCHED")</f>
        <v>Forecast</v>
      </c>
      <c r="M765" s="42" t="n">
        <f aca="false">Sales_Transactions!F765</f>
        <v>447</v>
      </c>
      <c r="N765" s="52" t="n">
        <f aca="false">Sales_Transactions!I765</f>
        <v>85305.48</v>
      </c>
      <c r="O765" s="52" t="n">
        <f aca="false">Sales_Transactions!J765</f>
        <v>59920.35</v>
      </c>
      <c r="P765" s="52" t="n">
        <f aca="false">Sales_Transactions!K765</f>
        <v>25385.13</v>
      </c>
      <c r="Q765" s="42" t="n">
        <f aca="false">IF(ISNUMBER(MATCH(E765,Product_Master!$A$2:$A$9,0)),0,1)</f>
        <v>0</v>
      </c>
      <c r="R765" s="42" t="n">
        <f aca="false">IF(ISNUMBER(MATCH(D765,Customer_Master!$A$2:$A$49,0)),0,1)</f>
        <v>0</v>
      </c>
      <c r="S765" s="42" t="n">
        <f aca="false">IF(ISNUMBER(MATCH(B765,Calendar!$A$2:$A$25,0)),0,1)</f>
        <v>0</v>
      </c>
      <c r="T765" s="42" t="n">
        <f aca="false">IF(COUNTIF(Sales_Transactions!$A$2:$A$865,A765)&gt;1,1,0)</f>
        <v>0</v>
      </c>
      <c r="U765" s="42" t="n">
        <f aca="false">IF(OR(ABS(Sales_Transactions!F765*Sales_Transactions!G765-Sales_Transactions!I765)&gt;0.01,ABS(Sales_Transactions!F765*Sales_Transactions!H765-Sales_Transactions!J765)&gt;0.01,ABS(Sales_Transactions!I765-Sales_Transactions!J765-Sales_Transactions!K765)&gt;0.01),1,0)</f>
        <v>0</v>
      </c>
      <c r="V765" s="42" t="n">
        <f aca="false">IF(C765&lt;&gt;L765,1,0)</f>
        <v>0</v>
      </c>
      <c r="W765" s="42" t="n">
        <f aca="false">IF(SUM(Q765:V765)&gt;0,1,0)</f>
        <v>0</v>
      </c>
    </row>
    <row r="766" customFormat="false" ht="15" hidden="false" customHeight="false" outlineLevel="0" collapsed="false">
      <c r="A766" s="42" t="str">
        <f aca="false">Sales_Transactions!A766</f>
        <v>INV-22-009</v>
      </c>
      <c r="B766" s="42" t="str">
        <f aca="false">Sales_Transactions!B766</f>
        <v>2026-10</v>
      </c>
      <c r="C766" s="42" t="str">
        <f aca="false">Sales_Transactions!C766</f>
        <v>Forecast</v>
      </c>
      <c r="D766" s="42" t="str">
        <f aca="false">Sales_Transactions!D766</f>
        <v>C024</v>
      </c>
      <c r="E766" s="42" t="str">
        <f aca="false">Sales_Transactions!E766</f>
        <v>P006</v>
      </c>
      <c r="F766" s="42" t="str">
        <f aca="false">IFERROR(INDEX(Customer_Master!$C$2:$C$49,MATCH(D766,Customer_Master!$A$2:$A$49,0)),"UNMATCHED")</f>
        <v>East</v>
      </c>
      <c r="G766" s="42" t="str">
        <f aca="false">IFERROR(INDEX(Customer_Master!$D$2:$D$49,MATCH(D766,Customer_Master!$A$2:$A$49,0)),"UNMATCHED")</f>
        <v>Retail</v>
      </c>
      <c r="H766" s="42" t="str">
        <f aca="false">IFERROR(INDEX(Product_Master!$C$2:$C$9,MATCH(E766,Product_Master!$A$2:$A$9,0)),"UNMATCHED")</f>
        <v>Foods</v>
      </c>
      <c r="I766" s="42" t="str">
        <f aca="false">IFERROR(INDEX(Product_Master!$B$2:$B$9,MATCH(E766,Product_Master!$A$2:$A$9,0)),"UNMATCHED")</f>
        <v>Breakfast Cereal</v>
      </c>
      <c r="J766" s="42" t="n">
        <f aca="false">IFERROR(INDEX(Calendar!$B$2:$B$25,MATCH(B766,Calendar!$A$2:$A$25,0)),0)</f>
        <v>2026</v>
      </c>
      <c r="K766" s="42" t="n">
        <f aca="false">IFERROR(VALUE(RIGHT(B766,2)),0)</f>
        <v>10</v>
      </c>
      <c r="L766" s="42" t="str">
        <f aca="false">IFERROR(INDEX(Calendar!$E$2:$E$25,MATCH(B766,Calendar!$A$2:$A$25,0)),"UNMATCHED")</f>
        <v>Forecast</v>
      </c>
      <c r="M766" s="42" t="n">
        <f aca="false">Sales_Transactions!F766</f>
        <v>114</v>
      </c>
      <c r="N766" s="52" t="n">
        <f aca="false">Sales_Transactions!I766</f>
        <v>27997.26</v>
      </c>
      <c r="O766" s="52" t="n">
        <f aca="false">Sales_Transactions!J766</f>
        <v>19138.32</v>
      </c>
      <c r="P766" s="52" t="n">
        <f aca="false">Sales_Transactions!K766</f>
        <v>8858.94</v>
      </c>
      <c r="Q766" s="42" t="n">
        <f aca="false">IF(ISNUMBER(MATCH(E766,Product_Master!$A$2:$A$9,0)),0,1)</f>
        <v>0</v>
      </c>
      <c r="R766" s="42" t="n">
        <f aca="false">IF(ISNUMBER(MATCH(D766,Customer_Master!$A$2:$A$49,0)),0,1)</f>
        <v>0</v>
      </c>
      <c r="S766" s="42" t="n">
        <f aca="false">IF(ISNUMBER(MATCH(B766,Calendar!$A$2:$A$25,0)),0,1)</f>
        <v>0</v>
      </c>
      <c r="T766" s="42" t="n">
        <f aca="false">IF(COUNTIF(Sales_Transactions!$A$2:$A$865,A766)&gt;1,1,0)</f>
        <v>0</v>
      </c>
      <c r="U766" s="42" t="n">
        <f aca="false">IF(OR(ABS(Sales_Transactions!F766*Sales_Transactions!G766-Sales_Transactions!I766)&gt;0.01,ABS(Sales_Transactions!F766*Sales_Transactions!H766-Sales_Transactions!J766)&gt;0.01,ABS(Sales_Transactions!I766-Sales_Transactions!J766-Sales_Transactions!K766)&gt;0.01),1,0)</f>
        <v>0</v>
      </c>
      <c r="V766" s="42" t="n">
        <f aca="false">IF(C766&lt;&gt;L766,1,0)</f>
        <v>0</v>
      </c>
      <c r="W766" s="42" t="n">
        <f aca="false">IF(SUM(Q766:V766)&gt;0,1,0)</f>
        <v>0</v>
      </c>
    </row>
    <row r="767" customFormat="false" ht="15" hidden="false" customHeight="false" outlineLevel="0" collapsed="false">
      <c r="A767" s="42" t="str">
        <f aca="false">Sales_Transactions!A767</f>
        <v>INV-22-010</v>
      </c>
      <c r="B767" s="42" t="str">
        <f aca="false">Sales_Transactions!B767</f>
        <v>2026-10</v>
      </c>
      <c r="C767" s="42" t="str">
        <f aca="false">Sales_Transactions!C767</f>
        <v>Forecast</v>
      </c>
      <c r="D767" s="42" t="str">
        <f aca="false">Sales_Transactions!D767</f>
        <v>C031</v>
      </c>
      <c r="E767" s="42" t="str">
        <f aca="false">Sales_Transactions!E767</f>
        <v>P003</v>
      </c>
      <c r="F767" s="42" t="str">
        <f aca="false">IFERROR(INDEX(Customer_Master!$C$2:$C$49,MATCH(D767,Customer_Master!$A$2:$A$49,0)),"UNMATCHED")</f>
        <v>West</v>
      </c>
      <c r="G767" s="42" t="str">
        <f aca="false">IFERROR(INDEX(Customer_Master!$D$2:$D$49,MATCH(D767,Customer_Master!$A$2:$A$49,0)),"UNMATCHED")</f>
        <v>Distributor</v>
      </c>
      <c r="H767" s="42" t="str">
        <f aca="false">IFERROR(INDEX(Product_Master!$C$2:$C$9,MATCH(E767,Product_Master!$A$2:$A$9,0)),"UNMATCHED")</f>
        <v>Personal Care</v>
      </c>
      <c r="I767" s="42" t="str">
        <f aca="false">IFERROR(INDEX(Product_Master!$B$2:$B$9,MATCH(E767,Product_Master!$A$2:$A$9,0)),"UNMATCHED")</f>
        <v>Shampoo 400ml</v>
      </c>
      <c r="J767" s="42" t="n">
        <f aca="false">IFERROR(INDEX(Calendar!$B$2:$B$25,MATCH(B767,Calendar!$A$2:$A$25,0)),0)</f>
        <v>2026</v>
      </c>
      <c r="K767" s="42" t="n">
        <f aca="false">IFERROR(VALUE(RIGHT(B767,2)),0)</f>
        <v>10</v>
      </c>
      <c r="L767" s="42" t="str">
        <f aca="false">IFERROR(INDEX(Calendar!$E$2:$E$25,MATCH(B767,Calendar!$A$2:$A$25,0)),"UNMATCHED")</f>
        <v>Forecast</v>
      </c>
      <c r="M767" s="42" t="n">
        <f aca="false">Sales_Transactions!F767</f>
        <v>370</v>
      </c>
      <c r="N767" s="52" t="n">
        <f aca="false">Sales_Transactions!I767</f>
        <v>99341.3</v>
      </c>
      <c r="O767" s="52" t="n">
        <f aca="false">Sales_Transactions!J767</f>
        <v>63688.1</v>
      </c>
      <c r="P767" s="52" t="n">
        <f aca="false">Sales_Transactions!K767</f>
        <v>35653.2</v>
      </c>
      <c r="Q767" s="42" t="n">
        <f aca="false">IF(ISNUMBER(MATCH(E767,Product_Master!$A$2:$A$9,0)),0,1)</f>
        <v>0</v>
      </c>
      <c r="R767" s="42" t="n">
        <f aca="false">IF(ISNUMBER(MATCH(D767,Customer_Master!$A$2:$A$49,0)),0,1)</f>
        <v>0</v>
      </c>
      <c r="S767" s="42" t="n">
        <f aca="false">IF(ISNUMBER(MATCH(B767,Calendar!$A$2:$A$25,0)),0,1)</f>
        <v>0</v>
      </c>
      <c r="T767" s="42" t="n">
        <f aca="false">IF(COUNTIF(Sales_Transactions!$A$2:$A$865,A767)&gt;1,1,0)</f>
        <v>0</v>
      </c>
      <c r="U767" s="42" t="n">
        <f aca="false">IF(OR(ABS(Sales_Transactions!F767*Sales_Transactions!G767-Sales_Transactions!I767)&gt;0.01,ABS(Sales_Transactions!F767*Sales_Transactions!H767-Sales_Transactions!J767)&gt;0.01,ABS(Sales_Transactions!I767-Sales_Transactions!J767-Sales_Transactions!K767)&gt;0.01),1,0)</f>
        <v>0</v>
      </c>
      <c r="V767" s="42" t="n">
        <f aca="false">IF(C767&lt;&gt;L767,1,0)</f>
        <v>0</v>
      </c>
      <c r="W767" s="42" t="n">
        <f aca="false">IF(SUM(Q767:V767)&gt;0,1,0)</f>
        <v>0</v>
      </c>
    </row>
    <row r="768" customFormat="false" ht="15" hidden="false" customHeight="false" outlineLevel="0" collapsed="false">
      <c r="A768" s="42" t="str">
        <f aca="false">Sales_Transactions!A768</f>
        <v>INV-22-011</v>
      </c>
      <c r="B768" s="42" t="str">
        <f aca="false">Sales_Transactions!B768</f>
        <v>2026-10</v>
      </c>
      <c r="C768" s="42" t="str">
        <f aca="false">Sales_Transactions!C768</f>
        <v>Forecast</v>
      </c>
      <c r="D768" s="42" t="str">
        <f aca="false">Sales_Transactions!D768</f>
        <v>C038</v>
      </c>
      <c r="E768" s="42" t="str">
        <f aca="false">Sales_Transactions!E768</f>
        <v>P008</v>
      </c>
      <c r="F768" s="42" t="str">
        <f aca="false">IFERROR(INDEX(Customer_Master!$C$2:$C$49,MATCH(D768,Customer_Master!$A$2:$A$49,0)),"UNMATCHED")</f>
        <v>North</v>
      </c>
      <c r="G768" s="42" t="str">
        <f aca="false">IFERROR(INDEX(Customer_Master!$D$2:$D$49,MATCH(D768,Customer_Master!$A$2:$A$49,0)),"UNMATCHED")</f>
        <v>Modern Trade</v>
      </c>
      <c r="H768" s="42" t="str">
        <f aca="false">IFERROR(INDEX(Product_Master!$C$2:$C$9,MATCH(E768,Product_Master!$A$2:$A$9,0)),"UNMATCHED")</f>
        <v>Personal Care</v>
      </c>
      <c r="I768" s="42" t="str">
        <f aca="false">IFERROR(INDEX(Product_Master!$B$2:$B$9,MATCH(E768,Product_Master!$A$2:$A$9,0)),"UNMATCHED")</f>
        <v>Body Lotion</v>
      </c>
      <c r="J768" s="42" t="n">
        <f aca="false">IFERROR(INDEX(Calendar!$B$2:$B$25,MATCH(B768,Calendar!$A$2:$A$25,0)),0)</f>
        <v>2026</v>
      </c>
      <c r="K768" s="42" t="n">
        <f aca="false">IFERROR(VALUE(RIGHT(B768,2)),0)</f>
        <v>10</v>
      </c>
      <c r="L768" s="42" t="str">
        <f aca="false">IFERROR(INDEX(Calendar!$E$2:$E$25,MATCH(B768,Calendar!$A$2:$A$25,0)),"UNMATCHED")</f>
        <v>Forecast</v>
      </c>
      <c r="M768" s="42" t="n">
        <f aca="false">Sales_Transactions!F768</f>
        <v>215</v>
      </c>
      <c r="N768" s="52" t="n">
        <f aca="false">Sales_Transactions!I768</f>
        <v>64035.6</v>
      </c>
      <c r="O768" s="52" t="n">
        <f aca="false">Sales_Transactions!J768</f>
        <v>45064</v>
      </c>
      <c r="P768" s="52" t="n">
        <f aca="false">Sales_Transactions!K768</f>
        <v>18971.6</v>
      </c>
      <c r="Q768" s="42" t="n">
        <f aca="false">IF(ISNUMBER(MATCH(E768,Product_Master!$A$2:$A$9,0)),0,1)</f>
        <v>0</v>
      </c>
      <c r="R768" s="42" t="n">
        <f aca="false">IF(ISNUMBER(MATCH(D768,Customer_Master!$A$2:$A$49,0)),0,1)</f>
        <v>0</v>
      </c>
      <c r="S768" s="42" t="n">
        <f aca="false">IF(ISNUMBER(MATCH(B768,Calendar!$A$2:$A$25,0)),0,1)</f>
        <v>0</v>
      </c>
      <c r="T768" s="42" t="n">
        <f aca="false">IF(COUNTIF(Sales_Transactions!$A$2:$A$865,A768)&gt;1,1,0)</f>
        <v>0</v>
      </c>
      <c r="U768" s="42" t="n">
        <f aca="false">IF(OR(ABS(Sales_Transactions!F768*Sales_Transactions!G768-Sales_Transactions!I768)&gt;0.01,ABS(Sales_Transactions!F768*Sales_Transactions!H768-Sales_Transactions!J768)&gt;0.01,ABS(Sales_Transactions!I768-Sales_Transactions!J768-Sales_Transactions!K768)&gt;0.01),1,0)</f>
        <v>0</v>
      </c>
      <c r="V768" s="42" t="n">
        <f aca="false">IF(C768&lt;&gt;L768,1,0)</f>
        <v>0</v>
      </c>
      <c r="W768" s="42" t="n">
        <f aca="false">IF(SUM(Q768:V768)&gt;0,1,0)</f>
        <v>0</v>
      </c>
    </row>
    <row r="769" customFormat="false" ht="15" hidden="false" customHeight="false" outlineLevel="0" collapsed="false">
      <c r="A769" s="42" t="str">
        <f aca="false">Sales_Transactions!A769</f>
        <v>INV-22-012</v>
      </c>
      <c r="B769" s="42" t="str">
        <f aca="false">Sales_Transactions!B769</f>
        <v>2026-10</v>
      </c>
      <c r="C769" s="42" t="str">
        <f aca="false">Sales_Transactions!C769</f>
        <v>Forecast</v>
      </c>
      <c r="D769" s="42" t="str">
        <f aca="false">Sales_Transactions!D769</f>
        <v>C045</v>
      </c>
      <c r="E769" s="42" t="str">
        <f aca="false">Sales_Transactions!E769</f>
        <v>P005</v>
      </c>
      <c r="F769" s="42" t="str">
        <f aca="false">IFERROR(INDEX(Customer_Master!$C$2:$C$49,MATCH(D769,Customer_Master!$A$2:$A$49,0)),"UNMATCHED")</f>
        <v>South</v>
      </c>
      <c r="G769" s="42" t="str">
        <f aca="false">IFERROR(INDEX(Customer_Master!$D$2:$D$49,MATCH(D769,Customer_Master!$A$2:$A$49,0)),"UNMATCHED")</f>
        <v>Retail</v>
      </c>
      <c r="H769" s="42" t="str">
        <f aca="false">IFERROR(INDEX(Product_Master!$C$2:$C$9,MATCH(E769,Product_Master!$A$2:$A$9,0)),"UNMATCHED")</f>
        <v>Foods</v>
      </c>
      <c r="I769" s="42" t="str">
        <f aca="false">IFERROR(INDEX(Product_Master!$B$2:$B$9,MATCH(E769,Product_Master!$A$2:$A$9,0)),"UNMATCHED")</f>
        <v>Biscuits 500g</v>
      </c>
      <c r="J769" s="42" t="n">
        <f aca="false">IFERROR(INDEX(Calendar!$B$2:$B$25,MATCH(B769,Calendar!$A$2:$A$25,0)),0)</f>
        <v>2026</v>
      </c>
      <c r="K769" s="42" t="n">
        <f aca="false">IFERROR(VALUE(RIGHT(B769,2)),0)</f>
        <v>10</v>
      </c>
      <c r="L769" s="42" t="str">
        <f aca="false">IFERROR(INDEX(Calendar!$E$2:$E$25,MATCH(B769,Calendar!$A$2:$A$25,0)),"UNMATCHED")</f>
        <v>Forecast</v>
      </c>
      <c r="M769" s="42" t="n">
        <f aca="false">Sales_Transactions!F769</f>
        <v>315</v>
      </c>
      <c r="N769" s="52" t="n">
        <f aca="false">Sales_Transactions!I769</f>
        <v>34653.15</v>
      </c>
      <c r="O769" s="52" t="n">
        <f aca="false">Sales_Transactions!J769</f>
        <v>20493.9</v>
      </c>
      <c r="P769" s="52" t="n">
        <f aca="false">Sales_Transactions!K769</f>
        <v>14159.25</v>
      </c>
      <c r="Q769" s="42" t="n">
        <f aca="false">IF(ISNUMBER(MATCH(E769,Product_Master!$A$2:$A$9,0)),0,1)</f>
        <v>0</v>
      </c>
      <c r="R769" s="42" t="n">
        <f aca="false">IF(ISNUMBER(MATCH(D769,Customer_Master!$A$2:$A$49,0)),0,1)</f>
        <v>0</v>
      </c>
      <c r="S769" s="42" t="n">
        <f aca="false">IF(ISNUMBER(MATCH(B769,Calendar!$A$2:$A$25,0)),0,1)</f>
        <v>0</v>
      </c>
      <c r="T769" s="42" t="n">
        <f aca="false">IF(COUNTIF(Sales_Transactions!$A$2:$A$865,A769)&gt;1,1,0)</f>
        <v>0</v>
      </c>
      <c r="U769" s="42" t="n">
        <f aca="false">IF(OR(ABS(Sales_Transactions!F769*Sales_Transactions!G769-Sales_Transactions!I769)&gt;0.01,ABS(Sales_Transactions!F769*Sales_Transactions!H769-Sales_Transactions!J769)&gt;0.01,ABS(Sales_Transactions!I769-Sales_Transactions!J769-Sales_Transactions!K769)&gt;0.01),1,0)</f>
        <v>0</v>
      </c>
      <c r="V769" s="42" t="n">
        <f aca="false">IF(C769&lt;&gt;L769,1,0)</f>
        <v>0</v>
      </c>
      <c r="W769" s="42" t="n">
        <f aca="false">IF(SUM(Q769:V769)&gt;0,1,0)</f>
        <v>0</v>
      </c>
    </row>
    <row r="770" customFormat="false" ht="15" hidden="false" customHeight="false" outlineLevel="0" collapsed="false">
      <c r="A770" s="42" t="str">
        <f aca="false">Sales_Transactions!A770</f>
        <v>INV-22-013</v>
      </c>
      <c r="B770" s="42" t="str">
        <f aca="false">Sales_Transactions!B770</f>
        <v>2026-10</v>
      </c>
      <c r="C770" s="42" t="str">
        <f aca="false">Sales_Transactions!C770</f>
        <v>Forecast</v>
      </c>
      <c r="D770" s="42" t="str">
        <f aca="false">Sales_Transactions!D770</f>
        <v>C004</v>
      </c>
      <c r="E770" s="42" t="str">
        <f aca="false">Sales_Transactions!E770</f>
        <v>P002</v>
      </c>
      <c r="F770" s="42" t="str">
        <f aca="false">IFERROR(INDEX(Customer_Master!$C$2:$C$49,MATCH(D770,Customer_Master!$A$2:$A$49,0)),"UNMATCHED")</f>
        <v>East</v>
      </c>
      <c r="G770" s="42" t="str">
        <f aca="false">IFERROR(INDEX(Customer_Master!$D$2:$D$49,MATCH(D770,Customer_Master!$A$2:$A$49,0)),"UNMATCHED")</f>
        <v>Distributor</v>
      </c>
      <c r="H770" s="42" t="str">
        <f aca="false">IFERROR(INDEX(Product_Master!$C$2:$C$9,MATCH(E770,Product_Master!$A$2:$A$9,0)),"UNMATCHED")</f>
        <v>Home Care</v>
      </c>
      <c r="I770" s="42" t="str">
        <f aca="false">IFERROR(INDEX(Product_Master!$B$2:$B$9,MATCH(E770,Product_Master!$A$2:$A$9,0)),"UNMATCHED")</f>
        <v>Dishwash Gel</v>
      </c>
      <c r="J770" s="42" t="n">
        <f aca="false">IFERROR(INDEX(Calendar!$B$2:$B$25,MATCH(B770,Calendar!$A$2:$A$25,0)),0)</f>
        <v>2026</v>
      </c>
      <c r="K770" s="42" t="n">
        <f aca="false">IFERROR(VALUE(RIGHT(B770,2)),0)</f>
        <v>10</v>
      </c>
      <c r="L770" s="42" t="str">
        <f aca="false">IFERROR(INDEX(Calendar!$E$2:$E$25,MATCH(B770,Calendar!$A$2:$A$25,0)),"UNMATCHED")</f>
        <v>Forecast</v>
      </c>
      <c r="M770" s="42" t="n">
        <f aca="false">Sales_Transactions!F770</f>
        <v>455</v>
      </c>
      <c r="N770" s="52" t="n">
        <f aca="false">Sales_Transactions!I770</f>
        <v>65829.4</v>
      </c>
      <c r="O770" s="52" t="n">
        <f aca="false">Sales_Transactions!J770</f>
        <v>36049.65</v>
      </c>
      <c r="P770" s="52" t="n">
        <f aca="false">Sales_Transactions!K770</f>
        <v>29779.75</v>
      </c>
      <c r="Q770" s="42" t="n">
        <f aca="false">IF(ISNUMBER(MATCH(E770,Product_Master!$A$2:$A$9,0)),0,1)</f>
        <v>0</v>
      </c>
      <c r="R770" s="42" t="n">
        <f aca="false">IF(ISNUMBER(MATCH(D770,Customer_Master!$A$2:$A$49,0)),0,1)</f>
        <v>0</v>
      </c>
      <c r="S770" s="42" t="n">
        <f aca="false">IF(ISNUMBER(MATCH(B770,Calendar!$A$2:$A$25,0)),0,1)</f>
        <v>0</v>
      </c>
      <c r="T770" s="42" t="n">
        <f aca="false">IF(COUNTIF(Sales_Transactions!$A$2:$A$865,A770)&gt;1,1,0)</f>
        <v>0</v>
      </c>
      <c r="U770" s="42" t="n">
        <f aca="false">IF(OR(ABS(Sales_Transactions!F770*Sales_Transactions!G770-Sales_Transactions!I770)&gt;0.01,ABS(Sales_Transactions!F770*Sales_Transactions!H770-Sales_Transactions!J770)&gt;0.01,ABS(Sales_Transactions!I770-Sales_Transactions!J770-Sales_Transactions!K770)&gt;0.01),1,0)</f>
        <v>0</v>
      </c>
      <c r="V770" s="42" t="n">
        <f aca="false">IF(C770&lt;&gt;L770,1,0)</f>
        <v>0</v>
      </c>
      <c r="W770" s="42" t="n">
        <f aca="false">IF(SUM(Q770:V770)&gt;0,1,0)</f>
        <v>0</v>
      </c>
    </row>
    <row r="771" customFormat="false" ht="15" hidden="false" customHeight="false" outlineLevel="0" collapsed="false">
      <c r="A771" s="42" t="str">
        <f aca="false">Sales_Transactions!A771</f>
        <v>INV-22-014</v>
      </c>
      <c r="B771" s="42" t="str">
        <f aca="false">Sales_Transactions!B771</f>
        <v>2026-10</v>
      </c>
      <c r="C771" s="42" t="str">
        <f aca="false">Sales_Transactions!C771</f>
        <v>Forecast</v>
      </c>
      <c r="D771" s="42" t="str">
        <f aca="false">Sales_Transactions!D771</f>
        <v>C011</v>
      </c>
      <c r="E771" s="42" t="str">
        <f aca="false">Sales_Transactions!E771</f>
        <v>P007</v>
      </c>
      <c r="F771" s="42" t="str">
        <f aca="false">IFERROR(INDEX(Customer_Master!$C$2:$C$49,MATCH(D771,Customer_Master!$A$2:$A$49,0)),"UNMATCHED")</f>
        <v>West</v>
      </c>
      <c r="G771" s="42" t="str">
        <f aca="false">IFERROR(INDEX(Customer_Master!$D$2:$D$49,MATCH(D771,Customer_Master!$A$2:$A$49,0)),"UNMATCHED")</f>
        <v>Modern Trade</v>
      </c>
      <c r="H771" s="42" t="str">
        <f aca="false">IFERROR(INDEX(Product_Master!$C$2:$C$9,MATCH(E771,Product_Master!$A$2:$A$9,0)),"UNMATCHED")</f>
        <v>Home Care</v>
      </c>
      <c r="I771" s="42" t="str">
        <f aca="false">IFERROR(INDEX(Product_Master!$B$2:$B$9,MATCH(E771,Product_Master!$A$2:$A$9,0)),"UNMATCHED")</f>
        <v>Floor Cleaner</v>
      </c>
      <c r="J771" s="42" t="n">
        <f aca="false">IFERROR(INDEX(Calendar!$B$2:$B$25,MATCH(B771,Calendar!$A$2:$A$25,0)),0)</f>
        <v>2026</v>
      </c>
      <c r="K771" s="42" t="n">
        <f aca="false">IFERROR(VALUE(RIGHT(B771,2)),0)</f>
        <v>10</v>
      </c>
      <c r="L771" s="42" t="str">
        <f aca="false">IFERROR(INDEX(Calendar!$E$2:$E$25,MATCH(B771,Calendar!$A$2:$A$25,0)),"UNMATCHED")</f>
        <v>Forecast</v>
      </c>
      <c r="M771" s="42" t="n">
        <f aca="false">Sales_Transactions!F771</f>
        <v>278</v>
      </c>
      <c r="N771" s="52" t="n">
        <f aca="false">Sales_Transactions!I771</f>
        <v>51635.72</v>
      </c>
      <c r="O771" s="52" t="n">
        <f aca="false">Sales_Transactions!J771</f>
        <v>32142.36</v>
      </c>
      <c r="P771" s="52" t="n">
        <f aca="false">Sales_Transactions!K771</f>
        <v>19493.36</v>
      </c>
      <c r="Q771" s="42" t="n">
        <f aca="false">IF(ISNUMBER(MATCH(E771,Product_Master!$A$2:$A$9,0)),0,1)</f>
        <v>0</v>
      </c>
      <c r="R771" s="42" t="n">
        <f aca="false">IF(ISNUMBER(MATCH(D771,Customer_Master!$A$2:$A$49,0)),0,1)</f>
        <v>0</v>
      </c>
      <c r="S771" s="42" t="n">
        <f aca="false">IF(ISNUMBER(MATCH(B771,Calendar!$A$2:$A$25,0)),0,1)</f>
        <v>0</v>
      </c>
      <c r="T771" s="42" t="n">
        <f aca="false">IF(COUNTIF(Sales_Transactions!$A$2:$A$865,A771)&gt;1,1,0)</f>
        <v>0</v>
      </c>
      <c r="U771" s="42" t="n">
        <f aca="false">IF(OR(ABS(Sales_Transactions!F771*Sales_Transactions!G771-Sales_Transactions!I771)&gt;0.01,ABS(Sales_Transactions!F771*Sales_Transactions!H771-Sales_Transactions!J771)&gt;0.01,ABS(Sales_Transactions!I771-Sales_Transactions!J771-Sales_Transactions!K771)&gt;0.01),1,0)</f>
        <v>0</v>
      </c>
      <c r="V771" s="42" t="n">
        <f aca="false">IF(C771&lt;&gt;L771,1,0)</f>
        <v>0</v>
      </c>
      <c r="W771" s="42" t="n">
        <f aca="false">IF(SUM(Q771:V771)&gt;0,1,0)</f>
        <v>0</v>
      </c>
    </row>
    <row r="772" customFormat="false" ht="15" hidden="false" customHeight="false" outlineLevel="0" collapsed="false">
      <c r="A772" s="42" t="str">
        <f aca="false">Sales_Transactions!A772</f>
        <v>INV-22-015</v>
      </c>
      <c r="B772" s="42" t="str">
        <f aca="false">Sales_Transactions!B772</f>
        <v>2026-10</v>
      </c>
      <c r="C772" s="42" t="str">
        <f aca="false">Sales_Transactions!C772</f>
        <v>Forecast</v>
      </c>
      <c r="D772" s="42" t="str">
        <f aca="false">Sales_Transactions!D772</f>
        <v>C018</v>
      </c>
      <c r="E772" s="42" t="str">
        <f aca="false">Sales_Transactions!E772</f>
        <v>P004</v>
      </c>
      <c r="F772" s="42" t="str">
        <f aca="false">IFERROR(INDEX(Customer_Master!$C$2:$C$49,MATCH(D772,Customer_Master!$A$2:$A$49,0)),"UNMATCHED")</f>
        <v>North</v>
      </c>
      <c r="G772" s="42" t="str">
        <f aca="false">IFERROR(INDEX(Customer_Master!$D$2:$D$49,MATCH(D772,Customer_Master!$A$2:$A$49,0)),"UNMATCHED")</f>
        <v>Retail</v>
      </c>
      <c r="H772" s="42" t="str">
        <f aca="false">IFERROR(INDEX(Product_Master!$C$2:$C$9,MATCH(E772,Product_Master!$A$2:$A$9,0)),"UNMATCHED")</f>
        <v>Personal Care</v>
      </c>
      <c r="I772" s="42" t="str">
        <f aca="false">IFERROR(INDEX(Product_Master!$B$2:$B$9,MATCH(E772,Product_Master!$A$2:$A$9,0)),"UNMATCHED")</f>
        <v>Soap 4-pack</v>
      </c>
      <c r="J772" s="42" t="n">
        <f aca="false">IFERROR(INDEX(Calendar!$B$2:$B$25,MATCH(B772,Calendar!$A$2:$A$25,0)),0)</f>
        <v>2026</v>
      </c>
      <c r="K772" s="42" t="n">
        <f aca="false">IFERROR(VALUE(RIGHT(B772,2)),0)</f>
        <v>10</v>
      </c>
      <c r="L772" s="42" t="str">
        <f aca="false">IFERROR(INDEX(Calendar!$E$2:$E$25,MATCH(B772,Calendar!$A$2:$A$25,0)),"UNMATCHED")</f>
        <v>Forecast</v>
      </c>
      <c r="M772" s="42" t="n">
        <f aca="false">Sales_Transactions!F772</f>
        <v>122</v>
      </c>
      <c r="N772" s="52" t="n">
        <f aca="false">Sales_Transactions!I772</f>
        <v>19523.66</v>
      </c>
      <c r="O772" s="52" t="n">
        <f aca="false">Sales_Transactions!J772</f>
        <v>12313.46</v>
      </c>
      <c r="P772" s="52" t="n">
        <f aca="false">Sales_Transactions!K772</f>
        <v>7210.2</v>
      </c>
      <c r="Q772" s="42" t="n">
        <f aca="false">IF(ISNUMBER(MATCH(E772,Product_Master!$A$2:$A$9,0)),0,1)</f>
        <v>0</v>
      </c>
      <c r="R772" s="42" t="n">
        <f aca="false">IF(ISNUMBER(MATCH(D772,Customer_Master!$A$2:$A$49,0)),0,1)</f>
        <v>0</v>
      </c>
      <c r="S772" s="42" t="n">
        <f aca="false">IF(ISNUMBER(MATCH(B772,Calendar!$A$2:$A$25,0)),0,1)</f>
        <v>0</v>
      </c>
      <c r="T772" s="42" t="n">
        <f aca="false">IF(COUNTIF(Sales_Transactions!$A$2:$A$865,A772)&gt;1,1,0)</f>
        <v>0</v>
      </c>
      <c r="U772" s="42" t="n">
        <f aca="false">IF(OR(ABS(Sales_Transactions!F772*Sales_Transactions!G772-Sales_Transactions!I772)&gt;0.01,ABS(Sales_Transactions!F772*Sales_Transactions!H772-Sales_Transactions!J772)&gt;0.01,ABS(Sales_Transactions!I772-Sales_Transactions!J772-Sales_Transactions!K772)&gt;0.01),1,0)</f>
        <v>0</v>
      </c>
      <c r="V772" s="42" t="n">
        <f aca="false">IF(C772&lt;&gt;L772,1,0)</f>
        <v>0</v>
      </c>
      <c r="W772" s="42" t="n">
        <f aca="false">IF(SUM(Q772:V772)&gt;0,1,0)</f>
        <v>0</v>
      </c>
    </row>
    <row r="773" customFormat="false" ht="15" hidden="false" customHeight="false" outlineLevel="0" collapsed="false">
      <c r="A773" s="42" t="str">
        <f aca="false">Sales_Transactions!A773</f>
        <v>INV-22-016</v>
      </c>
      <c r="B773" s="42" t="str">
        <f aca="false">Sales_Transactions!B773</f>
        <v>2026-10</v>
      </c>
      <c r="C773" s="42" t="str">
        <f aca="false">Sales_Transactions!C773</f>
        <v>Forecast</v>
      </c>
      <c r="D773" s="42" t="str">
        <f aca="false">Sales_Transactions!D773</f>
        <v>C025</v>
      </c>
      <c r="E773" s="42" t="str">
        <f aca="false">Sales_Transactions!E773</f>
        <v>P001</v>
      </c>
      <c r="F773" s="42" t="str">
        <f aca="false">IFERROR(INDEX(Customer_Master!$C$2:$C$49,MATCH(D773,Customer_Master!$A$2:$A$49,0)),"UNMATCHED")</f>
        <v>South</v>
      </c>
      <c r="G773" s="42" t="str">
        <f aca="false">IFERROR(INDEX(Customer_Master!$D$2:$D$49,MATCH(D773,Customer_Master!$A$2:$A$49,0)),"UNMATCHED")</f>
        <v>Distributor</v>
      </c>
      <c r="H773" s="42" t="str">
        <f aca="false">IFERROR(INDEX(Product_Master!$C$2:$C$9,MATCH(E773,Product_Master!$A$2:$A$9,0)),"UNMATCHED")</f>
        <v>Home Care</v>
      </c>
      <c r="I773" s="42" t="str">
        <f aca="false">IFERROR(INDEX(Product_Master!$B$2:$B$9,MATCH(E773,Product_Master!$A$2:$A$9,0)),"UNMATCHED")</f>
        <v>Detergent 1kg</v>
      </c>
      <c r="J773" s="42" t="n">
        <f aca="false">IFERROR(INDEX(Calendar!$B$2:$B$25,MATCH(B773,Calendar!$A$2:$A$25,0)),0)</f>
        <v>2026</v>
      </c>
      <c r="K773" s="42" t="n">
        <f aca="false">IFERROR(VALUE(RIGHT(B773,2)),0)</f>
        <v>10</v>
      </c>
      <c r="L773" s="42" t="str">
        <f aca="false">IFERROR(INDEX(Calendar!$E$2:$E$25,MATCH(B773,Calendar!$A$2:$A$25,0)),"UNMATCHED")</f>
        <v>Forecast</v>
      </c>
      <c r="M773" s="42" t="n">
        <f aca="false">Sales_Transactions!F773</f>
        <v>455</v>
      </c>
      <c r="N773" s="52" t="n">
        <f aca="false">Sales_Transactions!I773</f>
        <v>93379.65</v>
      </c>
      <c r="O773" s="52" t="n">
        <f aca="false">Sales_Transactions!J773</f>
        <v>59222.8</v>
      </c>
      <c r="P773" s="52" t="n">
        <f aca="false">Sales_Transactions!K773</f>
        <v>34156.85</v>
      </c>
      <c r="Q773" s="42" t="n">
        <f aca="false">IF(ISNUMBER(MATCH(E773,Product_Master!$A$2:$A$9,0)),0,1)</f>
        <v>0</v>
      </c>
      <c r="R773" s="42" t="n">
        <f aca="false">IF(ISNUMBER(MATCH(D773,Customer_Master!$A$2:$A$49,0)),0,1)</f>
        <v>0</v>
      </c>
      <c r="S773" s="42" t="n">
        <f aca="false">IF(ISNUMBER(MATCH(B773,Calendar!$A$2:$A$25,0)),0,1)</f>
        <v>0</v>
      </c>
      <c r="T773" s="42" t="n">
        <f aca="false">IF(COUNTIF(Sales_Transactions!$A$2:$A$865,A773)&gt;1,1,0)</f>
        <v>0</v>
      </c>
      <c r="U773" s="42" t="n">
        <f aca="false">IF(OR(ABS(Sales_Transactions!F773*Sales_Transactions!G773-Sales_Transactions!I773)&gt;0.01,ABS(Sales_Transactions!F773*Sales_Transactions!H773-Sales_Transactions!J773)&gt;0.01,ABS(Sales_Transactions!I773-Sales_Transactions!J773-Sales_Transactions!K773)&gt;0.01),1,0)</f>
        <v>0</v>
      </c>
      <c r="V773" s="42" t="n">
        <f aca="false">IF(C773&lt;&gt;L773,1,0)</f>
        <v>0</v>
      </c>
      <c r="W773" s="42" t="n">
        <f aca="false">IF(SUM(Q773:V773)&gt;0,1,0)</f>
        <v>0</v>
      </c>
    </row>
    <row r="774" customFormat="false" ht="15" hidden="false" customHeight="false" outlineLevel="0" collapsed="false">
      <c r="A774" s="42" t="str">
        <f aca="false">Sales_Transactions!A774</f>
        <v>INV-22-017</v>
      </c>
      <c r="B774" s="42" t="str">
        <f aca="false">Sales_Transactions!B774</f>
        <v>2026-10</v>
      </c>
      <c r="C774" s="42" t="str">
        <f aca="false">Sales_Transactions!C774</f>
        <v>Forecast</v>
      </c>
      <c r="D774" s="42" t="str">
        <f aca="false">Sales_Transactions!D774</f>
        <v>C032</v>
      </c>
      <c r="E774" s="42" t="str">
        <f aca="false">Sales_Transactions!E774</f>
        <v>P006</v>
      </c>
      <c r="F774" s="42" t="str">
        <f aca="false">IFERROR(INDEX(Customer_Master!$C$2:$C$49,MATCH(D774,Customer_Master!$A$2:$A$49,0)),"UNMATCHED")</f>
        <v>East</v>
      </c>
      <c r="G774" s="42" t="str">
        <f aca="false">IFERROR(INDEX(Customer_Master!$D$2:$D$49,MATCH(D774,Customer_Master!$A$2:$A$49,0)),"UNMATCHED")</f>
        <v>Modern Trade</v>
      </c>
      <c r="H774" s="42" t="str">
        <f aca="false">IFERROR(INDEX(Product_Master!$C$2:$C$9,MATCH(E774,Product_Master!$A$2:$A$9,0)),"UNMATCHED")</f>
        <v>Foods</v>
      </c>
      <c r="I774" s="42" t="str">
        <f aca="false">IFERROR(INDEX(Product_Master!$B$2:$B$9,MATCH(E774,Product_Master!$A$2:$A$9,0)),"UNMATCHED")</f>
        <v>Breakfast Cereal</v>
      </c>
      <c r="J774" s="42" t="n">
        <f aca="false">IFERROR(INDEX(Calendar!$B$2:$B$25,MATCH(B774,Calendar!$A$2:$A$25,0)),0)</f>
        <v>2026</v>
      </c>
      <c r="K774" s="42" t="n">
        <f aca="false">IFERROR(VALUE(RIGHT(B774,2)),0)</f>
        <v>10</v>
      </c>
      <c r="L774" s="42" t="str">
        <f aca="false">IFERROR(INDEX(Calendar!$E$2:$E$25,MATCH(B774,Calendar!$A$2:$A$25,0)),"UNMATCHED")</f>
        <v>Forecast</v>
      </c>
      <c r="M774" s="42" t="n">
        <f aca="false">Sales_Transactions!F774</f>
        <v>191</v>
      </c>
      <c r="N774" s="52" t="n">
        <f aca="false">Sales_Transactions!I774</f>
        <v>48852.07</v>
      </c>
      <c r="O774" s="52" t="n">
        <f aca="false">Sales_Transactions!J774</f>
        <v>29794.09</v>
      </c>
      <c r="P774" s="52" t="n">
        <f aca="false">Sales_Transactions!K774</f>
        <v>19057.98</v>
      </c>
      <c r="Q774" s="42" t="n">
        <f aca="false">IF(ISNUMBER(MATCH(E774,Product_Master!$A$2:$A$9,0)),0,1)</f>
        <v>0</v>
      </c>
      <c r="R774" s="42" t="n">
        <f aca="false">IF(ISNUMBER(MATCH(D774,Customer_Master!$A$2:$A$49,0)),0,1)</f>
        <v>0</v>
      </c>
      <c r="S774" s="42" t="n">
        <f aca="false">IF(ISNUMBER(MATCH(B774,Calendar!$A$2:$A$25,0)),0,1)</f>
        <v>0</v>
      </c>
      <c r="T774" s="42" t="n">
        <f aca="false">IF(COUNTIF(Sales_Transactions!$A$2:$A$865,A774)&gt;1,1,0)</f>
        <v>0</v>
      </c>
      <c r="U774" s="42" t="n">
        <f aca="false">IF(OR(ABS(Sales_Transactions!F774*Sales_Transactions!G774-Sales_Transactions!I774)&gt;0.01,ABS(Sales_Transactions!F774*Sales_Transactions!H774-Sales_Transactions!J774)&gt;0.01,ABS(Sales_Transactions!I774-Sales_Transactions!J774-Sales_Transactions!K774)&gt;0.01),1,0)</f>
        <v>0</v>
      </c>
      <c r="V774" s="42" t="n">
        <f aca="false">IF(C774&lt;&gt;L774,1,0)</f>
        <v>0</v>
      </c>
      <c r="W774" s="42" t="n">
        <f aca="false">IF(SUM(Q774:V774)&gt;0,1,0)</f>
        <v>0</v>
      </c>
    </row>
    <row r="775" customFormat="false" ht="15" hidden="false" customHeight="false" outlineLevel="0" collapsed="false">
      <c r="A775" s="42" t="str">
        <f aca="false">Sales_Transactions!A775</f>
        <v>INV-22-018</v>
      </c>
      <c r="B775" s="42" t="str">
        <f aca="false">Sales_Transactions!B775</f>
        <v>2026-10</v>
      </c>
      <c r="C775" s="42" t="str">
        <f aca="false">Sales_Transactions!C775</f>
        <v>Forecast</v>
      </c>
      <c r="D775" s="42" t="str">
        <f aca="false">Sales_Transactions!D775</f>
        <v>C039</v>
      </c>
      <c r="E775" s="42" t="str">
        <f aca="false">Sales_Transactions!E775</f>
        <v>P003</v>
      </c>
      <c r="F775" s="42" t="str">
        <f aca="false">IFERROR(INDEX(Customer_Master!$C$2:$C$49,MATCH(D775,Customer_Master!$A$2:$A$49,0)),"UNMATCHED")</f>
        <v>West</v>
      </c>
      <c r="G775" s="42" t="str">
        <f aca="false">IFERROR(INDEX(Customer_Master!$D$2:$D$49,MATCH(D775,Customer_Master!$A$2:$A$49,0)),"UNMATCHED")</f>
        <v>Retail</v>
      </c>
      <c r="H775" s="42" t="str">
        <f aca="false">IFERROR(INDEX(Product_Master!$C$2:$C$9,MATCH(E775,Product_Master!$A$2:$A$9,0)),"UNMATCHED")</f>
        <v>Personal Care</v>
      </c>
      <c r="I775" s="42" t="str">
        <f aca="false">IFERROR(INDEX(Product_Master!$B$2:$B$9,MATCH(E775,Product_Master!$A$2:$A$9,0)),"UNMATCHED")</f>
        <v>Shampoo 400ml</v>
      </c>
      <c r="J775" s="42" t="n">
        <f aca="false">IFERROR(INDEX(Calendar!$B$2:$B$25,MATCH(B775,Calendar!$A$2:$A$25,0)),0)</f>
        <v>2026</v>
      </c>
      <c r="K775" s="42" t="n">
        <f aca="false">IFERROR(VALUE(RIGHT(B775,2)),0)</f>
        <v>10</v>
      </c>
      <c r="L775" s="42" t="str">
        <f aca="false">IFERROR(INDEX(Calendar!$E$2:$E$25,MATCH(B775,Calendar!$A$2:$A$25,0)),"UNMATCHED")</f>
        <v>Forecast</v>
      </c>
      <c r="M775" s="42" t="n">
        <f aca="false">Sales_Transactions!F775</f>
        <v>92</v>
      </c>
      <c r="N775" s="52" t="n">
        <f aca="false">Sales_Transactions!I775</f>
        <v>23635.72</v>
      </c>
      <c r="O775" s="52" t="n">
        <f aca="false">Sales_Transactions!J775</f>
        <v>15461.52</v>
      </c>
      <c r="P775" s="52" t="n">
        <f aca="false">Sales_Transactions!K775</f>
        <v>8174.2</v>
      </c>
      <c r="Q775" s="42" t="n">
        <f aca="false">IF(ISNUMBER(MATCH(E775,Product_Master!$A$2:$A$9,0)),0,1)</f>
        <v>0</v>
      </c>
      <c r="R775" s="42" t="n">
        <f aca="false">IF(ISNUMBER(MATCH(D775,Customer_Master!$A$2:$A$49,0)),0,1)</f>
        <v>0</v>
      </c>
      <c r="S775" s="42" t="n">
        <f aca="false">IF(ISNUMBER(MATCH(B775,Calendar!$A$2:$A$25,0)),0,1)</f>
        <v>0</v>
      </c>
      <c r="T775" s="42" t="n">
        <f aca="false">IF(COUNTIF(Sales_Transactions!$A$2:$A$865,A775)&gt;1,1,0)</f>
        <v>0</v>
      </c>
      <c r="U775" s="42" t="n">
        <f aca="false">IF(OR(ABS(Sales_Transactions!F775*Sales_Transactions!G775-Sales_Transactions!I775)&gt;0.01,ABS(Sales_Transactions!F775*Sales_Transactions!H775-Sales_Transactions!J775)&gt;0.01,ABS(Sales_Transactions!I775-Sales_Transactions!J775-Sales_Transactions!K775)&gt;0.01),1,0)</f>
        <v>0</v>
      </c>
      <c r="V775" s="42" t="n">
        <f aca="false">IF(C775&lt;&gt;L775,1,0)</f>
        <v>0</v>
      </c>
      <c r="W775" s="42" t="n">
        <f aca="false">IF(SUM(Q775:V775)&gt;0,1,0)</f>
        <v>0</v>
      </c>
    </row>
    <row r="776" customFormat="false" ht="15" hidden="false" customHeight="false" outlineLevel="0" collapsed="false">
      <c r="A776" s="42" t="str">
        <f aca="false">Sales_Transactions!A776</f>
        <v>INV-22-019</v>
      </c>
      <c r="B776" s="42" t="str">
        <f aca="false">Sales_Transactions!B776</f>
        <v>2026-10</v>
      </c>
      <c r="C776" s="42" t="str">
        <f aca="false">Sales_Transactions!C776</f>
        <v>Forecast</v>
      </c>
      <c r="D776" s="42" t="str">
        <f aca="false">Sales_Transactions!D776</f>
        <v>C046</v>
      </c>
      <c r="E776" s="42" t="str">
        <f aca="false">Sales_Transactions!E776</f>
        <v>P008</v>
      </c>
      <c r="F776" s="42" t="str">
        <f aca="false">IFERROR(INDEX(Customer_Master!$C$2:$C$49,MATCH(D776,Customer_Master!$A$2:$A$49,0)),"UNMATCHED")</f>
        <v>North</v>
      </c>
      <c r="G776" s="42" t="str">
        <f aca="false">IFERROR(INDEX(Customer_Master!$D$2:$D$49,MATCH(D776,Customer_Master!$A$2:$A$49,0)),"UNMATCHED")</f>
        <v>Distributor</v>
      </c>
      <c r="H776" s="42" t="str">
        <f aca="false">IFERROR(INDEX(Product_Master!$C$2:$C$9,MATCH(E776,Product_Master!$A$2:$A$9,0)),"UNMATCHED")</f>
        <v>Personal Care</v>
      </c>
      <c r="I776" s="42" t="str">
        <f aca="false">IFERROR(INDEX(Product_Master!$B$2:$B$9,MATCH(E776,Product_Master!$A$2:$A$9,0)),"UNMATCHED")</f>
        <v>Body Lotion</v>
      </c>
      <c r="J776" s="42" t="n">
        <f aca="false">IFERROR(INDEX(Calendar!$B$2:$B$25,MATCH(B776,Calendar!$A$2:$A$25,0)),0)</f>
        <v>2026</v>
      </c>
      <c r="K776" s="42" t="n">
        <f aca="false">IFERROR(VALUE(RIGHT(B776,2)),0)</f>
        <v>10</v>
      </c>
      <c r="L776" s="42" t="str">
        <f aca="false">IFERROR(INDEX(Calendar!$E$2:$E$25,MATCH(B776,Calendar!$A$2:$A$25,0)),"UNMATCHED")</f>
        <v>Forecast</v>
      </c>
      <c r="M776" s="42" t="n">
        <f aca="false">Sales_Transactions!F776</f>
        <v>145</v>
      </c>
      <c r="N776" s="52" t="n">
        <f aca="false">Sales_Transactions!I776</f>
        <v>46517.45</v>
      </c>
      <c r="O776" s="52" t="n">
        <f aca="false">Sales_Transactions!J776</f>
        <v>30769</v>
      </c>
      <c r="P776" s="52" t="n">
        <f aca="false">Sales_Transactions!K776</f>
        <v>15748.45</v>
      </c>
      <c r="Q776" s="42" t="n">
        <f aca="false">IF(ISNUMBER(MATCH(E776,Product_Master!$A$2:$A$9,0)),0,1)</f>
        <v>0</v>
      </c>
      <c r="R776" s="42" t="n">
        <f aca="false">IF(ISNUMBER(MATCH(D776,Customer_Master!$A$2:$A$49,0)),0,1)</f>
        <v>0</v>
      </c>
      <c r="S776" s="42" t="n">
        <f aca="false">IF(ISNUMBER(MATCH(B776,Calendar!$A$2:$A$25,0)),0,1)</f>
        <v>0</v>
      </c>
      <c r="T776" s="42" t="n">
        <f aca="false">IF(COUNTIF(Sales_Transactions!$A$2:$A$865,A776)&gt;1,1,0)</f>
        <v>0</v>
      </c>
      <c r="U776" s="42" t="n">
        <f aca="false">IF(OR(ABS(Sales_Transactions!F776*Sales_Transactions!G776-Sales_Transactions!I776)&gt;0.01,ABS(Sales_Transactions!F776*Sales_Transactions!H776-Sales_Transactions!J776)&gt;0.01,ABS(Sales_Transactions!I776-Sales_Transactions!J776-Sales_Transactions!K776)&gt;0.01),1,0)</f>
        <v>0</v>
      </c>
      <c r="V776" s="42" t="n">
        <f aca="false">IF(C776&lt;&gt;L776,1,0)</f>
        <v>0</v>
      </c>
      <c r="W776" s="42" t="n">
        <f aca="false">IF(SUM(Q776:V776)&gt;0,1,0)</f>
        <v>0</v>
      </c>
    </row>
    <row r="777" customFormat="false" ht="15" hidden="false" customHeight="false" outlineLevel="0" collapsed="false">
      <c r="A777" s="42" t="str">
        <f aca="false">Sales_Transactions!A777</f>
        <v>INV-22-020</v>
      </c>
      <c r="B777" s="42" t="str">
        <f aca="false">Sales_Transactions!B777</f>
        <v>2026-10</v>
      </c>
      <c r="C777" s="42" t="str">
        <f aca="false">Sales_Transactions!C777</f>
        <v>Forecast</v>
      </c>
      <c r="D777" s="42" t="str">
        <f aca="false">Sales_Transactions!D777</f>
        <v>C005</v>
      </c>
      <c r="E777" s="42" t="str">
        <f aca="false">Sales_Transactions!E777</f>
        <v>P005</v>
      </c>
      <c r="F777" s="42" t="str">
        <f aca="false">IFERROR(INDEX(Customer_Master!$C$2:$C$49,MATCH(D777,Customer_Master!$A$2:$A$49,0)),"UNMATCHED")</f>
        <v>South</v>
      </c>
      <c r="G777" s="42" t="str">
        <f aca="false">IFERROR(INDEX(Customer_Master!$D$2:$D$49,MATCH(D777,Customer_Master!$A$2:$A$49,0)),"UNMATCHED")</f>
        <v>Modern Trade</v>
      </c>
      <c r="H777" s="42" t="str">
        <f aca="false">IFERROR(INDEX(Product_Master!$C$2:$C$9,MATCH(E777,Product_Master!$A$2:$A$9,0)),"UNMATCHED")</f>
        <v>Foods</v>
      </c>
      <c r="I777" s="42" t="str">
        <f aca="false">IFERROR(INDEX(Product_Master!$B$2:$B$9,MATCH(E777,Product_Master!$A$2:$A$9,0)),"UNMATCHED")</f>
        <v>Biscuits 500g</v>
      </c>
      <c r="J777" s="42" t="n">
        <f aca="false">IFERROR(INDEX(Calendar!$B$2:$B$25,MATCH(B777,Calendar!$A$2:$A$25,0)),0)</f>
        <v>2026</v>
      </c>
      <c r="K777" s="42" t="n">
        <f aca="false">IFERROR(VALUE(RIGHT(B777,2)),0)</f>
        <v>10</v>
      </c>
      <c r="L777" s="42" t="str">
        <f aca="false">IFERROR(INDEX(Calendar!$E$2:$E$25,MATCH(B777,Calendar!$A$2:$A$25,0)),"UNMATCHED")</f>
        <v>Forecast</v>
      </c>
      <c r="M777" s="42" t="n">
        <f aca="false">Sales_Transactions!F777</f>
        <v>209</v>
      </c>
      <c r="N777" s="52" t="n">
        <f aca="false">Sales_Transactions!I777</f>
        <v>22540.65</v>
      </c>
      <c r="O777" s="52" t="n">
        <f aca="false">Sales_Transactions!J777</f>
        <v>14625.82</v>
      </c>
      <c r="P777" s="52" t="n">
        <f aca="false">Sales_Transactions!K777</f>
        <v>7914.83</v>
      </c>
      <c r="Q777" s="42" t="n">
        <f aca="false">IF(ISNUMBER(MATCH(E777,Product_Master!$A$2:$A$9,0)),0,1)</f>
        <v>0</v>
      </c>
      <c r="R777" s="42" t="n">
        <f aca="false">IF(ISNUMBER(MATCH(D777,Customer_Master!$A$2:$A$49,0)),0,1)</f>
        <v>0</v>
      </c>
      <c r="S777" s="42" t="n">
        <f aca="false">IF(ISNUMBER(MATCH(B777,Calendar!$A$2:$A$25,0)),0,1)</f>
        <v>0</v>
      </c>
      <c r="T777" s="42" t="n">
        <f aca="false">IF(COUNTIF(Sales_Transactions!$A$2:$A$865,A777)&gt;1,1,0)</f>
        <v>0</v>
      </c>
      <c r="U777" s="42" t="n">
        <f aca="false">IF(OR(ABS(Sales_Transactions!F777*Sales_Transactions!G777-Sales_Transactions!I777)&gt;0.01,ABS(Sales_Transactions!F777*Sales_Transactions!H777-Sales_Transactions!J777)&gt;0.01,ABS(Sales_Transactions!I777-Sales_Transactions!J777-Sales_Transactions!K777)&gt;0.01),1,0)</f>
        <v>0</v>
      </c>
      <c r="V777" s="42" t="n">
        <f aca="false">IF(C777&lt;&gt;L777,1,0)</f>
        <v>0</v>
      </c>
      <c r="W777" s="42" t="n">
        <f aca="false">IF(SUM(Q777:V777)&gt;0,1,0)</f>
        <v>0</v>
      </c>
    </row>
    <row r="778" customFormat="false" ht="15" hidden="false" customHeight="false" outlineLevel="0" collapsed="false">
      <c r="A778" s="42" t="str">
        <f aca="false">Sales_Transactions!A778</f>
        <v>INV-22-021</v>
      </c>
      <c r="B778" s="42" t="str">
        <f aca="false">Sales_Transactions!B778</f>
        <v>2026-10</v>
      </c>
      <c r="C778" s="42" t="str">
        <f aca="false">Sales_Transactions!C778</f>
        <v>Forecast</v>
      </c>
      <c r="D778" s="42" t="str">
        <f aca="false">Sales_Transactions!D778</f>
        <v>C012</v>
      </c>
      <c r="E778" s="42" t="str">
        <f aca="false">Sales_Transactions!E778</f>
        <v>P002</v>
      </c>
      <c r="F778" s="42" t="str">
        <f aca="false">IFERROR(INDEX(Customer_Master!$C$2:$C$49,MATCH(D778,Customer_Master!$A$2:$A$49,0)),"UNMATCHED")</f>
        <v>East</v>
      </c>
      <c r="G778" s="42" t="str">
        <f aca="false">IFERROR(INDEX(Customer_Master!$D$2:$D$49,MATCH(D778,Customer_Master!$A$2:$A$49,0)),"UNMATCHED")</f>
        <v>Retail</v>
      </c>
      <c r="H778" s="42" t="str">
        <f aca="false">IFERROR(INDEX(Product_Master!$C$2:$C$9,MATCH(E778,Product_Master!$A$2:$A$9,0)),"UNMATCHED")</f>
        <v>Home Care</v>
      </c>
      <c r="I778" s="42" t="str">
        <f aca="false">IFERROR(INDEX(Product_Master!$B$2:$B$9,MATCH(E778,Product_Master!$A$2:$A$9,0)),"UNMATCHED")</f>
        <v>Dishwash Gel</v>
      </c>
      <c r="J778" s="42" t="n">
        <f aca="false">IFERROR(INDEX(Calendar!$B$2:$B$25,MATCH(B778,Calendar!$A$2:$A$25,0)),0)</f>
        <v>2026</v>
      </c>
      <c r="K778" s="42" t="n">
        <f aca="false">IFERROR(VALUE(RIGHT(B778,2)),0)</f>
        <v>10</v>
      </c>
      <c r="L778" s="42" t="str">
        <f aca="false">IFERROR(INDEX(Calendar!$E$2:$E$25,MATCH(B778,Calendar!$A$2:$A$25,0)),"UNMATCHED")</f>
        <v>Forecast</v>
      </c>
      <c r="M778" s="42" t="n">
        <f aca="false">Sales_Transactions!F778</f>
        <v>288</v>
      </c>
      <c r="N778" s="52" t="n">
        <f aca="false">Sales_Transactions!I778</f>
        <v>42134.4</v>
      </c>
      <c r="O778" s="52" t="n">
        <f aca="false">Sales_Transactions!J778</f>
        <v>24235.2</v>
      </c>
      <c r="P778" s="52" t="n">
        <f aca="false">Sales_Transactions!K778</f>
        <v>17899.2</v>
      </c>
      <c r="Q778" s="42" t="n">
        <f aca="false">IF(ISNUMBER(MATCH(E778,Product_Master!$A$2:$A$9,0)),0,1)</f>
        <v>0</v>
      </c>
      <c r="R778" s="42" t="n">
        <f aca="false">IF(ISNUMBER(MATCH(D778,Customer_Master!$A$2:$A$49,0)),0,1)</f>
        <v>0</v>
      </c>
      <c r="S778" s="42" t="n">
        <f aca="false">IF(ISNUMBER(MATCH(B778,Calendar!$A$2:$A$25,0)),0,1)</f>
        <v>0</v>
      </c>
      <c r="T778" s="42" t="n">
        <f aca="false">IF(COUNTIF(Sales_Transactions!$A$2:$A$865,A778)&gt;1,1,0)</f>
        <v>0</v>
      </c>
      <c r="U778" s="42" t="n">
        <f aca="false">IF(OR(ABS(Sales_Transactions!F778*Sales_Transactions!G778-Sales_Transactions!I778)&gt;0.01,ABS(Sales_Transactions!F778*Sales_Transactions!H778-Sales_Transactions!J778)&gt;0.01,ABS(Sales_Transactions!I778-Sales_Transactions!J778-Sales_Transactions!K778)&gt;0.01),1,0)</f>
        <v>0</v>
      </c>
      <c r="V778" s="42" t="n">
        <f aca="false">IF(C778&lt;&gt;L778,1,0)</f>
        <v>0</v>
      </c>
      <c r="W778" s="42" t="n">
        <f aca="false">IF(SUM(Q778:V778)&gt;0,1,0)</f>
        <v>0</v>
      </c>
    </row>
    <row r="779" customFormat="false" ht="15" hidden="false" customHeight="false" outlineLevel="0" collapsed="false">
      <c r="A779" s="42" t="str">
        <f aca="false">Sales_Transactions!A779</f>
        <v>INV-22-022</v>
      </c>
      <c r="B779" s="42" t="str">
        <f aca="false">Sales_Transactions!B779</f>
        <v>2026-10</v>
      </c>
      <c r="C779" s="42" t="str">
        <f aca="false">Sales_Transactions!C779</f>
        <v>Forecast</v>
      </c>
      <c r="D779" s="42" t="str">
        <f aca="false">Sales_Transactions!D779</f>
        <v>C019</v>
      </c>
      <c r="E779" s="42" t="str">
        <f aca="false">Sales_Transactions!E779</f>
        <v>P007</v>
      </c>
      <c r="F779" s="42" t="str">
        <f aca="false">IFERROR(INDEX(Customer_Master!$C$2:$C$49,MATCH(D779,Customer_Master!$A$2:$A$49,0)),"UNMATCHED")</f>
        <v>West</v>
      </c>
      <c r="G779" s="42" t="str">
        <f aca="false">IFERROR(INDEX(Customer_Master!$D$2:$D$49,MATCH(D779,Customer_Master!$A$2:$A$49,0)),"UNMATCHED")</f>
        <v>Distributor</v>
      </c>
      <c r="H779" s="42" t="str">
        <f aca="false">IFERROR(INDEX(Product_Master!$C$2:$C$9,MATCH(E779,Product_Master!$A$2:$A$9,0)),"UNMATCHED")</f>
        <v>Home Care</v>
      </c>
      <c r="I779" s="42" t="str">
        <f aca="false">IFERROR(INDEX(Product_Master!$B$2:$B$9,MATCH(E779,Product_Master!$A$2:$A$9,0)),"UNMATCHED")</f>
        <v>Floor Cleaner</v>
      </c>
      <c r="J779" s="42" t="n">
        <f aca="false">IFERROR(INDEX(Calendar!$B$2:$B$25,MATCH(B779,Calendar!$A$2:$A$25,0)),0)</f>
        <v>2026</v>
      </c>
      <c r="K779" s="42" t="n">
        <f aca="false">IFERROR(VALUE(RIGHT(B779,2)),0)</f>
        <v>10</v>
      </c>
      <c r="L779" s="42" t="str">
        <f aca="false">IFERROR(INDEX(Calendar!$E$2:$E$25,MATCH(B779,Calendar!$A$2:$A$25,0)),"UNMATCHED")</f>
        <v>Forecast</v>
      </c>
      <c r="M779" s="42" t="n">
        <f aca="false">Sales_Transactions!F779</f>
        <v>229</v>
      </c>
      <c r="N779" s="52" t="n">
        <f aca="false">Sales_Transactions!I779</f>
        <v>40876.5</v>
      </c>
      <c r="O779" s="52" t="n">
        <f aca="false">Sales_Transactions!J779</f>
        <v>26264.01</v>
      </c>
      <c r="P779" s="52" t="n">
        <f aca="false">Sales_Transactions!K779</f>
        <v>14612.49</v>
      </c>
      <c r="Q779" s="42" t="n">
        <f aca="false">IF(ISNUMBER(MATCH(E779,Product_Master!$A$2:$A$9,0)),0,1)</f>
        <v>0</v>
      </c>
      <c r="R779" s="42" t="n">
        <f aca="false">IF(ISNUMBER(MATCH(D779,Customer_Master!$A$2:$A$49,0)),0,1)</f>
        <v>0</v>
      </c>
      <c r="S779" s="42" t="n">
        <f aca="false">IF(ISNUMBER(MATCH(B779,Calendar!$A$2:$A$25,0)),0,1)</f>
        <v>0</v>
      </c>
      <c r="T779" s="42" t="n">
        <f aca="false">IF(COUNTIF(Sales_Transactions!$A$2:$A$865,A779)&gt;1,1,0)</f>
        <v>0</v>
      </c>
      <c r="U779" s="42" t="n">
        <f aca="false">IF(OR(ABS(Sales_Transactions!F779*Sales_Transactions!G779-Sales_Transactions!I779)&gt;0.01,ABS(Sales_Transactions!F779*Sales_Transactions!H779-Sales_Transactions!J779)&gt;0.01,ABS(Sales_Transactions!I779-Sales_Transactions!J779-Sales_Transactions!K779)&gt;0.01),1,0)</f>
        <v>0</v>
      </c>
      <c r="V779" s="42" t="n">
        <f aca="false">IF(C779&lt;&gt;L779,1,0)</f>
        <v>0</v>
      </c>
      <c r="W779" s="42" t="n">
        <f aca="false">IF(SUM(Q779:V779)&gt;0,1,0)</f>
        <v>0</v>
      </c>
    </row>
    <row r="780" customFormat="false" ht="15" hidden="false" customHeight="false" outlineLevel="0" collapsed="false">
      <c r="A780" s="42" t="str">
        <f aca="false">Sales_Transactions!A780</f>
        <v>INV-22-023</v>
      </c>
      <c r="B780" s="42" t="str">
        <f aca="false">Sales_Transactions!B780</f>
        <v>2026-10</v>
      </c>
      <c r="C780" s="42" t="str">
        <f aca="false">Sales_Transactions!C780</f>
        <v>Forecast</v>
      </c>
      <c r="D780" s="42" t="str">
        <f aca="false">Sales_Transactions!D780</f>
        <v>C026</v>
      </c>
      <c r="E780" s="42" t="str">
        <f aca="false">Sales_Transactions!E780</f>
        <v>P004</v>
      </c>
      <c r="F780" s="42" t="str">
        <f aca="false">IFERROR(INDEX(Customer_Master!$C$2:$C$49,MATCH(D780,Customer_Master!$A$2:$A$49,0)),"UNMATCHED")</f>
        <v>North</v>
      </c>
      <c r="G780" s="42" t="str">
        <f aca="false">IFERROR(INDEX(Customer_Master!$D$2:$D$49,MATCH(D780,Customer_Master!$A$2:$A$49,0)),"UNMATCHED")</f>
        <v>Modern Trade</v>
      </c>
      <c r="H780" s="42" t="str">
        <f aca="false">IFERROR(INDEX(Product_Master!$C$2:$C$9,MATCH(E780,Product_Master!$A$2:$A$9,0)),"UNMATCHED")</f>
        <v>Personal Care</v>
      </c>
      <c r="I780" s="42" t="str">
        <f aca="false">IFERROR(INDEX(Product_Master!$B$2:$B$9,MATCH(E780,Product_Master!$A$2:$A$9,0)),"UNMATCHED")</f>
        <v>Soap 4-pack</v>
      </c>
      <c r="J780" s="42" t="n">
        <f aca="false">IFERROR(INDEX(Calendar!$B$2:$B$25,MATCH(B780,Calendar!$A$2:$A$25,0)),0)</f>
        <v>2026</v>
      </c>
      <c r="K780" s="42" t="n">
        <f aca="false">IFERROR(VALUE(RIGHT(B780,2)),0)</f>
        <v>10</v>
      </c>
      <c r="L780" s="42" t="str">
        <f aca="false">IFERROR(INDEX(Calendar!$E$2:$E$25,MATCH(B780,Calendar!$A$2:$A$25,0)),"UNMATCHED")</f>
        <v>Forecast</v>
      </c>
      <c r="M780" s="42" t="n">
        <f aca="false">Sales_Transactions!F780</f>
        <v>268</v>
      </c>
      <c r="N780" s="52" t="n">
        <f aca="false">Sales_Transactions!I780</f>
        <v>43622.36</v>
      </c>
      <c r="O780" s="52" t="n">
        <f aca="false">Sales_Transactions!J780</f>
        <v>25808.4</v>
      </c>
      <c r="P780" s="52" t="n">
        <f aca="false">Sales_Transactions!K780</f>
        <v>17813.96</v>
      </c>
      <c r="Q780" s="42" t="n">
        <f aca="false">IF(ISNUMBER(MATCH(E780,Product_Master!$A$2:$A$9,0)),0,1)</f>
        <v>0</v>
      </c>
      <c r="R780" s="42" t="n">
        <f aca="false">IF(ISNUMBER(MATCH(D780,Customer_Master!$A$2:$A$49,0)),0,1)</f>
        <v>0</v>
      </c>
      <c r="S780" s="42" t="n">
        <f aca="false">IF(ISNUMBER(MATCH(B780,Calendar!$A$2:$A$25,0)),0,1)</f>
        <v>0</v>
      </c>
      <c r="T780" s="42" t="n">
        <f aca="false">IF(COUNTIF(Sales_Transactions!$A$2:$A$865,A780)&gt;1,1,0)</f>
        <v>0</v>
      </c>
      <c r="U780" s="42" t="n">
        <f aca="false">IF(OR(ABS(Sales_Transactions!F780*Sales_Transactions!G780-Sales_Transactions!I780)&gt;0.01,ABS(Sales_Transactions!F780*Sales_Transactions!H780-Sales_Transactions!J780)&gt;0.01,ABS(Sales_Transactions!I780-Sales_Transactions!J780-Sales_Transactions!K780)&gt;0.01),1,0)</f>
        <v>0</v>
      </c>
      <c r="V780" s="42" t="n">
        <f aca="false">IF(C780&lt;&gt;L780,1,0)</f>
        <v>0</v>
      </c>
      <c r="W780" s="42" t="n">
        <f aca="false">IF(SUM(Q780:V780)&gt;0,1,0)</f>
        <v>0</v>
      </c>
    </row>
    <row r="781" customFormat="false" ht="15" hidden="false" customHeight="false" outlineLevel="0" collapsed="false">
      <c r="A781" s="42" t="str">
        <f aca="false">Sales_Transactions!A781</f>
        <v>INV-22-024</v>
      </c>
      <c r="B781" s="42" t="str">
        <f aca="false">Sales_Transactions!B781</f>
        <v>2026-10</v>
      </c>
      <c r="C781" s="42" t="str">
        <f aca="false">Sales_Transactions!C781</f>
        <v>Forecast</v>
      </c>
      <c r="D781" s="42" t="str">
        <f aca="false">Sales_Transactions!D781</f>
        <v>C033</v>
      </c>
      <c r="E781" s="42" t="str">
        <f aca="false">Sales_Transactions!E781</f>
        <v>P001</v>
      </c>
      <c r="F781" s="42" t="str">
        <f aca="false">IFERROR(INDEX(Customer_Master!$C$2:$C$49,MATCH(D781,Customer_Master!$A$2:$A$49,0)),"UNMATCHED")</f>
        <v>South</v>
      </c>
      <c r="G781" s="42" t="str">
        <f aca="false">IFERROR(INDEX(Customer_Master!$D$2:$D$49,MATCH(D781,Customer_Master!$A$2:$A$49,0)),"UNMATCHED")</f>
        <v>Retail</v>
      </c>
      <c r="H781" s="42" t="str">
        <f aca="false">IFERROR(INDEX(Product_Master!$C$2:$C$9,MATCH(E781,Product_Master!$A$2:$A$9,0)),"UNMATCHED")</f>
        <v>Home Care</v>
      </c>
      <c r="I781" s="42" t="str">
        <f aca="false">IFERROR(INDEX(Product_Master!$B$2:$B$9,MATCH(E781,Product_Master!$A$2:$A$9,0)),"UNMATCHED")</f>
        <v>Detergent 1kg</v>
      </c>
      <c r="J781" s="42" t="n">
        <f aca="false">IFERROR(INDEX(Calendar!$B$2:$B$25,MATCH(B781,Calendar!$A$2:$A$25,0)),0)</f>
        <v>2026</v>
      </c>
      <c r="K781" s="42" t="n">
        <f aca="false">IFERROR(VALUE(RIGHT(B781,2)),0)</f>
        <v>10</v>
      </c>
      <c r="L781" s="42" t="str">
        <f aca="false">IFERROR(INDEX(Calendar!$E$2:$E$25,MATCH(B781,Calendar!$A$2:$A$25,0)),"UNMATCHED")</f>
        <v>Forecast</v>
      </c>
      <c r="M781" s="42" t="n">
        <f aca="false">Sales_Transactions!F781</f>
        <v>339</v>
      </c>
      <c r="N781" s="52" t="n">
        <f aca="false">Sales_Transactions!I781</f>
        <v>67671.18</v>
      </c>
      <c r="O781" s="52" t="n">
        <f aca="false">Sales_Transactions!J781</f>
        <v>47270.16</v>
      </c>
      <c r="P781" s="52" t="n">
        <f aca="false">Sales_Transactions!K781</f>
        <v>20401.02</v>
      </c>
      <c r="Q781" s="42" t="n">
        <f aca="false">IF(ISNUMBER(MATCH(E781,Product_Master!$A$2:$A$9,0)),0,1)</f>
        <v>0</v>
      </c>
      <c r="R781" s="42" t="n">
        <f aca="false">IF(ISNUMBER(MATCH(D781,Customer_Master!$A$2:$A$49,0)),0,1)</f>
        <v>0</v>
      </c>
      <c r="S781" s="42" t="n">
        <f aca="false">IF(ISNUMBER(MATCH(B781,Calendar!$A$2:$A$25,0)),0,1)</f>
        <v>0</v>
      </c>
      <c r="T781" s="42" t="n">
        <f aca="false">IF(COUNTIF(Sales_Transactions!$A$2:$A$865,A781)&gt;1,1,0)</f>
        <v>0</v>
      </c>
      <c r="U781" s="42" t="n">
        <f aca="false">IF(OR(ABS(Sales_Transactions!F781*Sales_Transactions!G781-Sales_Transactions!I781)&gt;0.01,ABS(Sales_Transactions!F781*Sales_Transactions!H781-Sales_Transactions!J781)&gt;0.01,ABS(Sales_Transactions!I781-Sales_Transactions!J781-Sales_Transactions!K781)&gt;0.01),1,0)</f>
        <v>0</v>
      </c>
      <c r="V781" s="42" t="n">
        <f aca="false">IF(C781&lt;&gt;L781,1,0)</f>
        <v>0</v>
      </c>
      <c r="W781" s="42" t="n">
        <f aca="false">IF(SUM(Q781:V781)&gt;0,1,0)</f>
        <v>0</v>
      </c>
    </row>
    <row r="782" customFormat="false" ht="15" hidden="false" customHeight="false" outlineLevel="0" collapsed="false">
      <c r="A782" s="42" t="str">
        <f aca="false">Sales_Transactions!A782</f>
        <v>INV-22-025</v>
      </c>
      <c r="B782" s="42" t="str">
        <f aca="false">Sales_Transactions!B782</f>
        <v>2026-10</v>
      </c>
      <c r="C782" s="42" t="str">
        <f aca="false">Sales_Transactions!C782</f>
        <v>Forecast</v>
      </c>
      <c r="D782" s="42" t="str">
        <f aca="false">Sales_Transactions!D782</f>
        <v>C040</v>
      </c>
      <c r="E782" s="42" t="str">
        <f aca="false">Sales_Transactions!E782</f>
        <v>P006</v>
      </c>
      <c r="F782" s="42" t="str">
        <f aca="false">IFERROR(INDEX(Customer_Master!$C$2:$C$49,MATCH(D782,Customer_Master!$A$2:$A$49,0)),"UNMATCHED")</f>
        <v>East</v>
      </c>
      <c r="G782" s="42" t="str">
        <f aca="false">IFERROR(INDEX(Customer_Master!$D$2:$D$49,MATCH(D782,Customer_Master!$A$2:$A$49,0)),"UNMATCHED")</f>
        <v>Distributor</v>
      </c>
      <c r="H782" s="42" t="str">
        <f aca="false">IFERROR(INDEX(Product_Master!$C$2:$C$9,MATCH(E782,Product_Master!$A$2:$A$9,0)),"UNMATCHED")</f>
        <v>Foods</v>
      </c>
      <c r="I782" s="42" t="str">
        <f aca="false">IFERROR(INDEX(Product_Master!$B$2:$B$9,MATCH(E782,Product_Master!$A$2:$A$9,0)),"UNMATCHED")</f>
        <v>Breakfast Cereal</v>
      </c>
      <c r="J782" s="42" t="n">
        <f aca="false">IFERROR(INDEX(Calendar!$B$2:$B$25,MATCH(B782,Calendar!$A$2:$A$25,0)),0)</f>
        <v>2026</v>
      </c>
      <c r="K782" s="42" t="n">
        <f aca="false">IFERROR(VALUE(RIGHT(B782,2)),0)</f>
        <v>10</v>
      </c>
      <c r="L782" s="42" t="str">
        <f aca="false">IFERROR(INDEX(Calendar!$E$2:$E$25,MATCH(B782,Calendar!$A$2:$A$25,0)),"UNMATCHED")</f>
        <v>Forecast</v>
      </c>
      <c r="M782" s="42" t="n">
        <f aca="false">Sales_Transactions!F782</f>
        <v>454</v>
      </c>
      <c r="N782" s="52" t="n">
        <f aca="false">Sales_Transactions!I782</f>
        <v>110099.54</v>
      </c>
      <c r="O782" s="52" t="n">
        <f aca="false">Sales_Transactions!J782</f>
        <v>75127.92</v>
      </c>
      <c r="P782" s="52" t="n">
        <f aca="false">Sales_Transactions!K782</f>
        <v>34971.62</v>
      </c>
      <c r="Q782" s="42" t="n">
        <f aca="false">IF(ISNUMBER(MATCH(E782,Product_Master!$A$2:$A$9,0)),0,1)</f>
        <v>0</v>
      </c>
      <c r="R782" s="42" t="n">
        <f aca="false">IF(ISNUMBER(MATCH(D782,Customer_Master!$A$2:$A$49,0)),0,1)</f>
        <v>0</v>
      </c>
      <c r="S782" s="42" t="n">
        <f aca="false">IF(ISNUMBER(MATCH(B782,Calendar!$A$2:$A$25,0)),0,1)</f>
        <v>0</v>
      </c>
      <c r="T782" s="42" t="n">
        <f aca="false">IF(COUNTIF(Sales_Transactions!$A$2:$A$865,A782)&gt;1,1,0)</f>
        <v>0</v>
      </c>
      <c r="U782" s="42" t="n">
        <f aca="false">IF(OR(ABS(Sales_Transactions!F782*Sales_Transactions!G782-Sales_Transactions!I782)&gt;0.01,ABS(Sales_Transactions!F782*Sales_Transactions!H782-Sales_Transactions!J782)&gt;0.01,ABS(Sales_Transactions!I782-Sales_Transactions!J782-Sales_Transactions!K782)&gt;0.01),1,0)</f>
        <v>0</v>
      </c>
      <c r="V782" s="42" t="n">
        <f aca="false">IF(C782&lt;&gt;L782,1,0)</f>
        <v>0</v>
      </c>
      <c r="W782" s="42" t="n">
        <f aca="false">IF(SUM(Q782:V782)&gt;0,1,0)</f>
        <v>0</v>
      </c>
    </row>
    <row r="783" customFormat="false" ht="15" hidden="false" customHeight="false" outlineLevel="0" collapsed="false">
      <c r="A783" s="42" t="str">
        <f aca="false">Sales_Transactions!A783</f>
        <v>INV-22-026</v>
      </c>
      <c r="B783" s="42" t="str">
        <f aca="false">Sales_Transactions!B783</f>
        <v>2026-10</v>
      </c>
      <c r="C783" s="42" t="str">
        <f aca="false">Sales_Transactions!C783</f>
        <v>Forecast</v>
      </c>
      <c r="D783" s="42" t="str">
        <f aca="false">Sales_Transactions!D783</f>
        <v>C047</v>
      </c>
      <c r="E783" s="42" t="str">
        <f aca="false">Sales_Transactions!E783</f>
        <v>P003</v>
      </c>
      <c r="F783" s="42" t="str">
        <f aca="false">IFERROR(INDEX(Customer_Master!$C$2:$C$49,MATCH(D783,Customer_Master!$A$2:$A$49,0)),"UNMATCHED")</f>
        <v>West</v>
      </c>
      <c r="G783" s="42" t="str">
        <f aca="false">IFERROR(INDEX(Customer_Master!$D$2:$D$49,MATCH(D783,Customer_Master!$A$2:$A$49,0)),"UNMATCHED")</f>
        <v>Modern Trade</v>
      </c>
      <c r="H783" s="42" t="str">
        <f aca="false">IFERROR(INDEX(Product_Master!$C$2:$C$9,MATCH(E783,Product_Master!$A$2:$A$9,0)),"UNMATCHED")</f>
        <v>Personal Care</v>
      </c>
      <c r="I783" s="42" t="str">
        <f aca="false">IFERROR(INDEX(Product_Master!$B$2:$B$9,MATCH(E783,Product_Master!$A$2:$A$9,0)),"UNMATCHED")</f>
        <v>Shampoo 400ml</v>
      </c>
      <c r="J783" s="42" t="n">
        <f aca="false">IFERROR(INDEX(Calendar!$B$2:$B$25,MATCH(B783,Calendar!$A$2:$A$25,0)),0)</f>
        <v>2026</v>
      </c>
      <c r="K783" s="42" t="n">
        <f aca="false">IFERROR(VALUE(RIGHT(B783,2)),0)</f>
        <v>10</v>
      </c>
      <c r="L783" s="42" t="str">
        <f aca="false">IFERROR(INDEX(Calendar!$E$2:$E$25,MATCH(B783,Calendar!$A$2:$A$25,0)),"UNMATCHED")</f>
        <v>Forecast</v>
      </c>
      <c r="M783" s="42" t="n">
        <f aca="false">Sales_Transactions!F783</f>
        <v>189</v>
      </c>
      <c r="N783" s="52" t="n">
        <f aca="false">Sales_Transactions!I783</f>
        <v>49648.41</v>
      </c>
      <c r="O783" s="52" t="n">
        <f aca="false">Sales_Transactions!J783</f>
        <v>32630.85</v>
      </c>
      <c r="P783" s="52" t="n">
        <f aca="false">Sales_Transactions!K783</f>
        <v>17017.56</v>
      </c>
      <c r="Q783" s="42" t="n">
        <f aca="false">IF(ISNUMBER(MATCH(E783,Product_Master!$A$2:$A$9,0)),0,1)</f>
        <v>0</v>
      </c>
      <c r="R783" s="42" t="n">
        <f aca="false">IF(ISNUMBER(MATCH(D783,Customer_Master!$A$2:$A$49,0)),0,1)</f>
        <v>0</v>
      </c>
      <c r="S783" s="42" t="n">
        <f aca="false">IF(ISNUMBER(MATCH(B783,Calendar!$A$2:$A$25,0)),0,1)</f>
        <v>0</v>
      </c>
      <c r="T783" s="42" t="n">
        <f aca="false">IF(COUNTIF(Sales_Transactions!$A$2:$A$865,A783)&gt;1,1,0)</f>
        <v>0</v>
      </c>
      <c r="U783" s="42" t="n">
        <f aca="false">IF(OR(ABS(Sales_Transactions!F783*Sales_Transactions!G783-Sales_Transactions!I783)&gt;0.01,ABS(Sales_Transactions!F783*Sales_Transactions!H783-Sales_Transactions!J783)&gt;0.01,ABS(Sales_Transactions!I783-Sales_Transactions!J783-Sales_Transactions!K783)&gt;0.01),1,0)</f>
        <v>0</v>
      </c>
      <c r="V783" s="42" t="n">
        <f aca="false">IF(C783&lt;&gt;L783,1,0)</f>
        <v>0</v>
      </c>
      <c r="W783" s="42" t="n">
        <f aca="false">IF(SUM(Q783:V783)&gt;0,1,0)</f>
        <v>0</v>
      </c>
    </row>
    <row r="784" customFormat="false" ht="15" hidden="false" customHeight="false" outlineLevel="0" collapsed="false">
      <c r="A784" s="42" t="str">
        <f aca="false">Sales_Transactions!A784</f>
        <v>INV-22-027</v>
      </c>
      <c r="B784" s="42" t="str">
        <f aca="false">Sales_Transactions!B784</f>
        <v>2026-10</v>
      </c>
      <c r="C784" s="42" t="str">
        <f aca="false">Sales_Transactions!C784</f>
        <v>Forecast</v>
      </c>
      <c r="D784" s="42" t="str">
        <f aca="false">Sales_Transactions!D784</f>
        <v>C006</v>
      </c>
      <c r="E784" s="42" t="str">
        <f aca="false">Sales_Transactions!E784</f>
        <v>P008</v>
      </c>
      <c r="F784" s="42" t="str">
        <f aca="false">IFERROR(INDEX(Customer_Master!$C$2:$C$49,MATCH(D784,Customer_Master!$A$2:$A$49,0)),"UNMATCHED")</f>
        <v>North</v>
      </c>
      <c r="G784" s="42" t="str">
        <f aca="false">IFERROR(INDEX(Customer_Master!$D$2:$D$49,MATCH(D784,Customer_Master!$A$2:$A$49,0)),"UNMATCHED")</f>
        <v>Retail</v>
      </c>
      <c r="H784" s="42" t="str">
        <f aca="false">IFERROR(INDEX(Product_Master!$C$2:$C$9,MATCH(E784,Product_Master!$A$2:$A$9,0)),"UNMATCHED")</f>
        <v>Personal Care</v>
      </c>
      <c r="I784" s="42" t="str">
        <f aca="false">IFERROR(INDEX(Product_Master!$B$2:$B$9,MATCH(E784,Product_Master!$A$2:$A$9,0)),"UNMATCHED")</f>
        <v>Body Lotion</v>
      </c>
      <c r="J784" s="42" t="n">
        <f aca="false">IFERROR(INDEX(Calendar!$B$2:$B$25,MATCH(B784,Calendar!$A$2:$A$25,0)),0)</f>
        <v>2026</v>
      </c>
      <c r="K784" s="42" t="n">
        <f aca="false">IFERROR(VALUE(RIGHT(B784,2)),0)</f>
        <v>10</v>
      </c>
      <c r="L784" s="42" t="str">
        <f aca="false">IFERROR(INDEX(Calendar!$E$2:$E$25,MATCH(B784,Calendar!$A$2:$A$25,0)),"UNMATCHED")</f>
        <v>Forecast</v>
      </c>
      <c r="M784" s="42" t="n">
        <f aca="false">Sales_Transactions!F784</f>
        <v>373</v>
      </c>
      <c r="N784" s="52" t="n">
        <f aca="false">Sales_Transactions!I784</f>
        <v>121508.48</v>
      </c>
      <c r="O784" s="52" t="n">
        <f aca="false">Sales_Transactions!J784</f>
        <v>79034.97</v>
      </c>
      <c r="P784" s="52" t="n">
        <f aca="false">Sales_Transactions!K784</f>
        <v>42473.51</v>
      </c>
      <c r="Q784" s="42" t="n">
        <f aca="false">IF(ISNUMBER(MATCH(E784,Product_Master!$A$2:$A$9,0)),0,1)</f>
        <v>0</v>
      </c>
      <c r="R784" s="42" t="n">
        <f aca="false">IF(ISNUMBER(MATCH(D784,Customer_Master!$A$2:$A$49,0)),0,1)</f>
        <v>0</v>
      </c>
      <c r="S784" s="42" t="n">
        <f aca="false">IF(ISNUMBER(MATCH(B784,Calendar!$A$2:$A$25,0)),0,1)</f>
        <v>0</v>
      </c>
      <c r="T784" s="42" t="n">
        <f aca="false">IF(COUNTIF(Sales_Transactions!$A$2:$A$865,A784)&gt;1,1,0)</f>
        <v>0</v>
      </c>
      <c r="U784" s="42" t="n">
        <f aca="false">IF(OR(ABS(Sales_Transactions!F784*Sales_Transactions!G784-Sales_Transactions!I784)&gt;0.01,ABS(Sales_Transactions!F784*Sales_Transactions!H784-Sales_Transactions!J784)&gt;0.01,ABS(Sales_Transactions!I784-Sales_Transactions!J784-Sales_Transactions!K784)&gt;0.01),1,0)</f>
        <v>0</v>
      </c>
      <c r="V784" s="42" t="n">
        <f aca="false">IF(C784&lt;&gt;L784,1,0)</f>
        <v>0</v>
      </c>
      <c r="W784" s="42" t="n">
        <f aca="false">IF(SUM(Q784:V784)&gt;0,1,0)</f>
        <v>0</v>
      </c>
    </row>
    <row r="785" customFormat="false" ht="15" hidden="false" customHeight="false" outlineLevel="0" collapsed="false">
      <c r="A785" s="42" t="str">
        <f aca="false">Sales_Transactions!A785</f>
        <v>INV-22-028</v>
      </c>
      <c r="B785" s="42" t="str">
        <f aca="false">Sales_Transactions!B785</f>
        <v>2026-10</v>
      </c>
      <c r="C785" s="42" t="str">
        <f aca="false">Sales_Transactions!C785</f>
        <v>Forecast</v>
      </c>
      <c r="D785" s="42" t="str">
        <f aca="false">Sales_Transactions!D785</f>
        <v>C013</v>
      </c>
      <c r="E785" s="42" t="str">
        <f aca="false">Sales_Transactions!E785</f>
        <v>P005</v>
      </c>
      <c r="F785" s="42" t="str">
        <f aca="false">IFERROR(INDEX(Customer_Master!$C$2:$C$49,MATCH(D785,Customer_Master!$A$2:$A$49,0)),"UNMATCHED")</f>
        <v>South</v>
      </c>
      <c r="G785" s="42" t="str">
        <f aca="false">IFERROR(INDEX(Customer_Master!$D$2:$D$49,MATCH(D785,Customer_Master!$A$2:$A$49,0)),"UNMATCHED")</f>
        <v>Distributor</v>
      </c>
      <c r="H785" s="42" t="str">
        <f aca="false">IFERROR(INDEX(Product_Master!$C$2:$C$9,MATCH(E785,Product_Master!$A$2:$A$9,0)),"UNMATCHED")</f>
        <v>Foods</v>
      </c>
      <c r="I785" s="42" t="str">
        <f aca="false">IFERROR(INDEX(Product_Master!$B$2:$B$9,MATCH(E785,Product_Master!$A$2:$A$9,0)),"UNMATCHED")</f>
        <v>Biscuits 500g</v>
      </c>
      <c r="J785" s="42" t="n">
        <f aca="false">IFERROR(INDEX(Calendar!$B$2:$B$25,MATCH(B785,Calendar!$A$2:$A$25,0)),0)</f>
        <v>2026</v>
      </c>
      <c r="K785" s="42" t="n">
        <f aca="false">IFERROR(VALUE(RIGHT(B785,2)),0)</f>
        <v>10</v>
      </c>
      <c r="L785" s="42" t="str">
        <f aca="false">IFERROR(INDEX(Calendar!$E$2:$E$25,MATCH(B785,Calendar!$A$2:$A$25,0)),"UNMATCHED")</f>
        <v>Forecast</v>
      </c>
      <c r="M785" s="42" t="n">
        <f aca="false">Sales_Transactions!F785</f>
        <v>93</v>
      </c>
      <c r="N785" s="52" t="n">
        <f aca="false">Sales_Transactions!I785</f>
        <v>9451.59</v>
      </c>
      <c r="O785" s="52" t="n">
        <f aca="false">Sales_Transactions!J785</f>
        <v>6681.12</v>
      </c>
      <c r="P785" s="52" t="n">
        <f aca="false">Sales_Transactions!K785</f>
        <v>2770.47</v>
      </c>
      <c r="Q785" s="42" t="n">
        <f aca="false">IF(ISNUMBER(MATCH(E785,Product_Master!$A$2:$A$9,0)),0,1)</f>
        <v>0</v>
      </c>
      <c r="R785" s="42" t="n">
        <f aca="false">IF(ISNUMBER(MATCH(D785,Customer_Master!$A$2:$A$49,0)),0,1)</f>
        <v>0</v>
      </c>
      <c r="S785" s="42" t="n">
        <f aca="false">IF(ISNUMBER(MATCH(B785,Calendar!$A$2:$A$25,0)),0,1)</f>
        <v>0</v>
      </c>
      <c r="T785" s="42" t="n">
        <f aca="false">IF(COUNTIF(Sales_Transactions!$A$2:$A$865,A785)&gt;1,1,0)</f>
        <v>0</v>
      </c>
      <c r="U785" s="42" t="n">
        <f aca="false">IF(OR(ABS(Sales_Transactions!F785*Sales_Transactions!G785-Sales_Transactions!I785)&gt;0.01,ABS(Sales_Transactions!F785*Sales_Transactions!H785-Sales_Transactions!J785)&gt;0.01,ABS(Sales_Transactions!I785-Sales_Transactions!J785-Sales_Transactions!K785)&gt;0.01),1,0)</f>
        <v>0</v>
      </c>
      <c r="V785" s="42" t="n">
        <f aca="false">IF(C785&lt;&gt;L785,1,0)</f>
        <v>0</v>
      </c>
      <c r="W785" s="42" t="n">
        <f aca="false">IF(SUM(Q785:V785)&gt;0,1,0)</f>
        <v>0</v>
      </c>
    </row>
    <row r="786" customFormat="false" ht="15" hidden="false" customHeight="false" outlineLevel="0" collapsed="false">
      <c r="A786" s="42" t="str">
        <f aca="false">Sales_Transactions!A786</f>
        <v>INV-22-029</v>
      </c>
      <c r="B786" s="42" t="str">
        <f aca="false">Sales_Transactions!B786</f>
        <v>2026-10</v>
      </c>
      <c r="C786" s="42" t="str">
        <f aca="false">Sales_Transactions!C786</f>
        <v>Forecast</v>
      </c>
      <c r="D786" s="42" t="str">
        <f aca="false">Sales_Transactions!D786</f>
        <v>C020</v>
      </c>
      <c r="E786" s="42" t="str">
        <f aca="false">Sales_Transactions!E786</f>
        <v>P002</v>
      </c>
      <c r="F786" s="42" t="str">
        <f aca="false">IFERROR(INDEX(Customer_Master!$C$2:$C$49,MATCH(D786,Customer_Master!$A$2:$A$49,0)),"UNMATCHED")</f>
        <v>East</v>
      </c>
      <c r="G786" s="42" t="str">
        <f aca="false">IFERROR(INDEX(Customer_Master!$D$2:$D$49,MATCH(D786,Customer_Master!$A$2:$A$49,0)),"UNMATCHED")</f>
        <v>Modern Trade</v>
      </c>
      <c r="H786" s="42" t="str">
        <f aca="false">IFERROR(INDEX(Product_Master!$C$2:$C$9,MATCH(E786,Product_Master!$A$2:$A$9,0)),"UNMATCHED")</f>
        <v>Home Care</v>
      </c>
      <c r="I786" s="42" t="str">
        <f aca="false">IFERROR(INDEX(Product_Master!$B$2:$B$9,MATCH(E786,Product_Master!$A$2:$A$9,0)),"UNMATCHED")</f>
        <v>Dishwash Gel</v>
      </c>
      <c r="J786" s="42" t="n">
        <f aca="false">IFERROR(INDEX(Calendar!$B$2:$B$25,MATCH(B786,Calendar!$A$2:$A$25,0)),0)</f>
        <v>2026</v>
      </c>
      <c r="K786" s="42" t="n">
        <f aca="false">IFERROR(VALUE(RIGHT(B786,2)),0)</f>
        <v>10</v>
      </c>
      <c r="L786" s="42" t="str">
        <f aca="false">IFERROR(INDEX(Calendar!$E$2:$E$25,MATCH(B786,Calendar!$A$2:$A$25,0)),"UNMATCHED")</f>
        <v>Forecast</v>
      </c>
      <c r="M786" s="42" t="n">
        <f aca="false">Sales_Transactions!F786</f>
        <v>381</v>
      </c>
      <c r="N786" s="52" t="n">
        <f aca="false">Sales_Transactions!I786</f>
        <v>54338.22</v>
      </c>
      <c r="O786" s="52" t="n">
        <f aca="false">Sales_Transactions!J786</f>
        <v>31097.22</v>
      </c>
      <c r="P786" s="52" t="n">
        <f aca="false">Sales_Transactions!K786</f>
        <v>23241</v>
      </c>
      <c r="Q786" s="42" t="n">
        <f aca="false">IF(ISNUMBER(MATCH(E786,Product_Master!$A$2:$A$9,0)),0,1)</f>
        <v>0</v>
      </c>
      <c r="R786" s="42" t="n">
        <f aca="false">IF(ISNUMBER(MATCH(D786,Customer_Master!$A$2:$A$49,0)),0,1)</f>
        <v>0</v>
      </c>
      <c r="S786" s="42" t="n">
        <f aca="false">IF(ISNUMBER(MATCH(B786,Calendar!$A$2:$A$25,0)),0,1)</f>
        <v>0</v>
      </c>
      <c r="T786" s="42" t="n">
        <f aca="false">IF(COUNTIF(Sales_Transactions!$A$2:$A$865,A786)&gt;1,1,0)</f>
        <v>0</v>
      </c>
      <c r="U786" s="42" t="n">
        <f aca="false">IF(OR(ABS(Sales_Transactions!F786*Sales_Transactions!G786-Sales_Transactions!I786)&gt;0.01,ABS(Sales_Transactions!F786*Sales_Transactions!H786-Sales_Transactions!J786)&gt;0.01,ABS(Sales_Transactions!I786-Sales_Transactions!J786-Sales_Transactions!K786)&gt;0.01),1,0)</f>
        <v>0</v>
      </c>
      <c r="V786" s="42" t="n">
        <f aca="false">IF(C786&lt;&gt;L786,1,0)</f>
        <v>0</v>
      </c>
      <c r="W786" s="42" t="n">
        <f aca="false">IF(SUM(Q786:V786)&gt;0,1,0)</f>
        <v>0</v>
      </c>
    </row>
    <row r="787" customFormat="false" ht="15" hidden="false" customHeight="false" outlineLevel="0" collapsed="false">
      <c r="A787" s="42" t="str">
        <f aca="false">Sales_Transactions!A787</f>
        <v>INV-22-030</v>
      </c>
      <c r="B787" s="42" t="str">
        <f aca="false">Sales_Transactions!B787</f>
        <v>2026-10</v>
      </c>
      <c r="C787" s="42" t="str">
        <f aca="false">Sales_Transactions!C787</f>
        <v>Forecast</v>
      </c>
      <c r="D787" s="42" t="str">
        <f aca="false">Sales_Transactions!D787</f>
        <v>C027</v>
      </c>
      <c r="E787" s="42" t="str">
        <f aca="false">Sales_Transactions!E787</f>
        <v>P007</v>
      </c>
      <c r="F787" s="42" t="str">
        <f aca="false">IFERROR(INDEX(Customer_Master!$C$2:$C$49,MATCH(D787,Customer_Master!$A$2:$A$49,0)),"UNMATCHED")</f>
        <v>West</v>
      </c>
      <c r="G787" s="42" t="str">
        <f aca="false">IFERROR(INDEX(Customer_Master!$D$2:$D$49,MATCH(D787,Customer_Master!$A$2:$A$49,0)),"UNMATCHED")</f>
        <v>Retail</v>
      </c>
      <c r="H787" s="42" t="str">
        <f aca="false">IFERROR(INDEX(Product_Master!$C$2:$C$9,MATCH(E787,Product_Master!$A$2:$A$9,0)),"UNMATCHED")</f>
        <v>Home Care</v>
      </c>
      <c r="I787" s="42" t="str">
        <f aca="false">IFERROR(INDEX(Product_Master!$B$2:$B$9,MATCH(E787,Product_Master!$A$2:$A$9,0)),"UNMATCHED")</f>
        <v>Floor Cleaner</v>
      </c>
      <c r="J787" s="42" t="n">
        <f aca="false">IFERROR(INDEX(Calendar!$B$2:$B$25,MATCH(B787,Calendar!$A$2:$A$25,0)),0)</f>
        <v>2026</v>
      </c>
      <c r="K787" s="42" t="n">
        <f aca="false">IFERROR(VALUE(RIGHT(B787,2)),0)</f>
        <v>10</v>
      </c>
      <c r="L787" s="42" t="str">
        <f aca="false">IFERROR(INDEX(Calendar!$E$2:$E$25,MATCH(B787,Calendar!$A$2:$A$25,0)),"UNMATCHED")</f>
        <v>Forecast</v>
      </c>
      <c r="M787" s="42" t="n">
        <f aca="false">Sales_Transactions!F787</f>
        <v>185</v>
      </c>
      <c r="N787" s="52" t="n">
        <f aca="false">Sales_Transactions!I787</f>
        <v>32791.25</v>
      </c>
      <c r="O787" s="52" t="n">
        <f aca="false">Sales_Transactions!J787</f>
        <v>20836.55</v>
      </c>
      <c r="P787" s="52" t="n">
        <f aca="false">Sales_Transactions!K787</f>
        <v>11954.7</v>
      </c>
      <c r="Q787" s="42" t="n">
        <f aca="false">IF(ISNUMBER(MATCH(E787,Product_Master!$A$2:$A$9,0)),0,1)</f>
        <v>0</v>
      </c>
      <c r="R787" s="42" t="n">
        <f aca="false">IF(ISNUMBER(MATCH(D787,Customer_Master!$A$2:$A$49,0)),0,1)</f>
        <v>0</v>
      </c>
      <c r="S787" s="42" t="n">
        <f aca="false">IF(ISNUMBER(MATCH(B787,Calendar!$A$2:$A$25,0)),0,1)</f>
        <v>0</v>
      </c>
      <c r="T787" s="42" t="n">
        <f aca="false">IF(COUNTIF(Sales_Transactions!$A$2:$A$865,A787)&gt;1,1,0)</f>
        <v>0</v>
      </c>
      <c r="U787" s="42" t="n">
        <f aca="false">IF(OR(ABS(Sales_Transactions!F787*Sales_Transactions!G787-Sales_Transactions!I787)&gt;0.01,ABS(Sales_Transactions!F787*Sales_Transactions!H787-Sales_Transactions!J787)&gt;0.01,ABS(Sales_Transactions!I787-Sales_Transactions!J787-Sales_Transactions!K787)&gt;0.01),1,0)</f>
        <v>0</v>
      </c>
      <c r="V787" s="42" t="n">
        <f aca="false">IF(C787&lt;&gt;L787,1,0)</f>
        <v>0</v>
      </c>
      <c r="W787" s="42" t="n">
        <f aca="false">IF(SUM(Q787:V787)&gt;0,1,0)</f>
        <v>0</v>
      </c>
    </row>
    <row r="788" customFormat="false" ht="15" hidden="false" customHeight="false" outlineLevel="0" collapsed="false">
      <c r="A788" s="42" t="str">
        <f aca="false">Sales_Transactions!A788</f>
        <v>INV-22-031</v>
      </c>
      <c r="B788" s="42" t="str">
        <f aca="false">Sales_Transactions!B788</f>
        <v>2026-10</v>
      </c>
      <c r="C788" s="42" t="str">
        <f aca="false">Sales_Transactions!C788</f>
        <v>Forecast</v>
      </c>
      <c r="D788" s="42" t="str">
        <f aca="false">Sales_Transactions!D788</f>
        <v>C034</v>
      </c>
      <c r="E788" s="42" t="str">
        <f aca="false">Sales_Transactions!E788</f>
        <v>P004</v>
      </c>
      <c r="F788" s="42" t="str">
        <f aca="false">IFERROR(INDEX(Customer_Master!$C$2:$C$49,MATCH(D788,Customer_Master!$A$2:$A$49,0)),"UNMATCHED")</f>
        <v>North</v>
      </c>
      <c r="G788" s="42" t="str">
        <f aca="false">IFERROR(INDEX(Customer_Master!$D$2:$D$49,MATCH(D788,Customer_Master!$A$2:$A$49,0)),"UNMATCHED")</f>
        <v>Distributor</v>
      </c>
      <c r="H788" s="42" t="str">
        <f aca="false">IFERROR(INDEX(Product_Master!$C$2:$C$9,MATCH(E788,Product_Master!$A$2:$A$9,0)),"UNMATCHED")</f>
        <v>Personal Care</v>
      </c>
      <c r="I788" s="42" t="str">
        <f aca="false">IFERROR(INDEX(Product_Master!$B$2:$B$9,MATCH(E788,Product_Master!$A$2:$A$9,0)),"UNMATCHED")</f>
        <v>Soap 4-pack</v>
      </c>
      <c r="J788" s="42" t="n">
        <f aca="false">IFERROR(INDEX(Calendar!$B$2:$B$25,MATCH(B788,Calendar!$A$2:$A$25,0)),0)</f>
        <v>2026</v>
      </c>
      <c r="K788" s="42" t="n">
        <f aca="false">IFERROR(VALUE(RIGHT(B788,2)),0)</f>
        <v>10</v>
      </c>
      <c r="L788" s="42" t="str">
        <f aca="false">IFERROR(INDEX(Calendar!$E$2:$E$25,MATCH(B788,Calendar!$A$2:$A$25,0)),"UNMATCHED")</f>
        <v>Forecast</v>
      </c>
      <c r="M788" s="42" t="n">
        <f aca="false">Sales_Transactions!F788</f>
        <v>210</v>
      </c>
      <c r="N788" s="52" t="n">
        <f aca="false">Sales_Transactions!I788</f>
        <v>35093.1</v>
      </c>
      <c r="O788" s="52" t="n">
        <f aca="false">Sales_Transactions!J788</f>
        <v>20937</v>
      </c>
      <c r="P788" s="52" t="n">
        <f aca="false">Sales_Transactions!K788</f>
        <v>14156.1</v>
      </c>
      <c r="Q788" s="42" t="n">
        <f aca="false">IF(ISNUMBER(MATCH(E788,Product_Master!$A$2:$A$9,0)),0,1)</f>
        <v>0</v>
      </c>
      <c r="R788" s="42" t="n">
        <f aca="false">IF(ISNUMBER(MATCH(D788,Customer_Master!$A$2:$A$49,0)),0,1)</f>
        <v>0</v>
      </c>
      <c r="S788" s="42" t="n">
        <f aca="false">IF(ISNUMBER(MATCH(B788,Calendar!$A$2:$A$25,0)),0,1)</f>
        <v>0</v>
      </c>
      <c r="T788" s="42" t="n">
        <f aca="false">IF(COUNTIF(Sales_Transactions!$A$2:$A$865,A788)&gt;1,1,0)</f>
        <v>0</v>
      </c>
      <c r="U788" s="42" t="n">
        <f aca="false">IF(OR(ABS(Sales_Transactions!F788*Sales_Transactions!G788-Sales_Transactions!I788)&gt;0.01,ABS(Sales_Transactions!F788*Sales_Transactions!H788-Sales_Transactions!J788)&gt;0.01,ABS(Sales_Transactions!I788-Sales_Transactions!J788-Sales_Transactions!K788)&gt;0.01),1,0)</f>
        <v>0</v>
      </c>
      <c r="V788" s="42" t="n">
        <f aca="false">IF(C788&lt;&gt;L788,1,0)</f>
        <v>0</v>
      </c>
      <c r="W788" s="42" t="n">
        <f aca="false">IF(SUM(Q788:V788)&gt;0,1,0)</f>
        <v>0</v>
      </c>
    </row>
    <row r="789" customFormat="false" ht="15" hidden="false" customHeight="false" outlineLevel="0" collapsed="false">
      <c r="A789" s="42" t="str">
        <f aca="false">Sales_Transactions!A789</f>
        <v>INV-22-032</v>
      </c>
      <c r="B789" s="42" t="str">
        <f aca="false">Sales_Transactions!B789</f>
        <v>2026-10</v>
      </c>
      <c r="C789" s="42" t="str">
        <f aca="false">Sales_Transactions!C789</f>
        <v>Forecast</v>
      </c>
      <c r="D789" s="42" t="str">
        <f aca="false">Sales_Transactions!D789</f>
        <v>C041</v>
      </c>
      <c r="E789" s="42" t="str">
        <f aca="false">Sales_Transactions!E789</f>
        <v>P001</v>
      </c>
      <c r="F789" s="42" t="str">
        <f aca="false">IFERROR(INDEX(Customer_Master!$C$2:$C$49,MATCH(D789,Customer_Master!$A$2:$A$49,0)),"UNMATCHED")</f>
        <v>South</v>
      </c>
      <c r="G789" s="42" t="str">
        <f aca="false">IFERROR(INDEX(Customer_Master!$D$2:$D$49,MATCH(D789,Customer_Master!$A$2:$A$49,0)),"UNMATCHED")</f>
        <v>Modern Trade</v>
      </c>
      <c r="H789" s="42" t="str">
        <f aca="false">IFERROR(INDEX(Product_Master!$C$2:$C$9,MATCH(E789,Product_Master!$A$2:$A$9,0)),"UNMATCHED")</f>
        <v>Home Care</v>
      </c>
      <c r="I789" s="42" t="str">
        <f aca="false">IFERROR(INDEX(Product_Master!$B$2:$B$9,MATCH(E789,Product_Master!$A$2:$A$9,0)),"UNMATCHED")</f>
        <v>Detergent 1kg</v>
      </c>
      <c r="J789" s="42" t="n">
        <f aca="false">IFERROR(INDEX(Calendar!$B$2:$B$25,MATCH(B789,Calendar!$A$2:$A$25,0)),0)</f>
        <v>2026</v>
      </c>
      <c r="K789" s="42" t="n">
        <f aca="false">IFERROR(VALUE(RIGHT(B789,2)),0)</f>
        <v>10</v>
      </c>
      <c r="L789" s="42" t="str">
        <f aca="false">IFERROR(INDEX(Calendar!$E$2:$E$25,MATCH(B789,Calendar!$A$2:$A$25,0)),"UNMATCHED")</f>
        <v>Forecast</v>
      </c>
      <c r="M789" s="42" t="n">
        <f aca="false">Sales_Transactions!F789</f>
        <v>435</v>
      </c>
      <c r="N789" s="52" t="n">
        <f aca="false">Sales_Transactions!I789</f>
        <v>85312.2</v>
      </c>
      <c r="O789" s="52" t="n">
        <f aca="false">Sales_Transactions!J789</f>
        <v>60382.35</v>
      </c>
      <c r="P789" s="52" t="n">
        <f aca="false">Sales_Transactions!K789</f>
        <v>24929.85</v>
      </c>
      <c r="Q789" s="42" t="n">
        <f aca="false">IF(ISNUMBER(MATCH(E789,Product_Master!$A$2:$A$9,0)),0,1)</f>
        <v>0</v>
      </c>
      <c r="R789" s="42" t="n">
        <f aca="false">IF(ISNUMBER(MATCH(D789,Customer_Master!$A$2:$A$49,0)),0,1)</f>
        <v>0</v>
      </c>
      <c r="S789" s="42" t="n">
        <f aca="false">IF(ISNUMBER(MATCH(B789,Calendar!$A$2:$A$25,0)),0,1)</f>
        <v>0</v>
      </c>
      <c r="T789" s="42" t="n">
        <f aca="false">IF(COUNTIF(Sales_Transactions!$A$2:$A$865,A789)&gt;1,1,0)</f>
        <v>0</v>
      </c>
      <c r="U789" s="42" t="n">
        <f aca="false">IF(OR(ABS(Sales_Transactions!F789*Sales_Transactions!G789-Sales_Transactions!I789)&gt;0.01,ABS(Sales_Transactions!F789*Sales_Transactions!H789-Sales_Transactions!J789)&gt;0.01,ABS(Sales_Transactions!I789-Sales_Transactions!J789-Sales_Transactions!K789)&gt;0.01),1,0)</f>
        <v>0</v>
      </c>
      <c r="V789" s="42" t="n">
        <f aca="false">IF(C789&lt;&gt;L789,1,0)</f>
        <v>0</v>
      </c>
      <c r="W789" s="42" t="n">
        <f aca="false">IF(SUM(Q789:V789)&gt;0,1,0)</f>
        <v>0</v>
      </c>
    </row>
    <row r="790" customFormat="false" ht="15" hidden="false" customHeight="false" outlineLevel="0" collapsed="false">
      <c r="A790" s="42" t="str">
        <f aca="false">Sales_Transactions!A790</f>
        <v>INV-22-033</v>
      </c>
      <c r="B790" s="42" t="str">
        <f aca="false">Sales_Transactions!B790</f>
        <v>2026-10</v>
      </c>
      <c r="C790" s="42" t="str">
        <f aca="false">Sales_Transactions!C790</f>
        <v>Forecast</v>
      </c>
      <c r="D790" s="42" t="str">
        <f aca="false">Sales_Transactions!D790</f>
        <v>C048</v>
      </c>
      <c r="E790" s="42" t="str">
        <f aca="false">Sales_Transactions!E790</f>
        <v>P006</v>
      </c>
      <c r="F790" s="42" t="str">
        <f aca="false">IFERROR(INDEX(Customer_Master!$C$2:$C$49,MATCH(D790,Customer_Master!$A$2:$A$49,0)),"UNMATCHED")</f>
        <v>East</v>
      </c>
      <c r="G790" s="42" t="str">
        <f aca="false">IFERROR(INDEX(Customer_Master!$D$2:$D$49,MATCH(D790,Customer_Master!$A$2:$A$49,0)),"UNMATCHED")</f>
        <v>Retail</v>
      </c>
      <c r="H790" s="42" t="str">
        <f aca="false">IFERROR(INDEX(Product_Master!$C$2:$C$9,MATCH(E790,Product_Master!$A$2:$A$9,0)),"UNMATCHED")</f>
        <v>Foods</v>
      </c>
      <c r="I790" s="42" t="str">
        <f aca="false">IFERROR(INDEX(Product_Master!$B$2:$B$9,MATCH(E790,Product_Master!$A$2:$A$9,0)),"UNMATCHED")</f>
        <v>Breakfast Cereal</v>
      </c>
      <c r="J790" s="42" t="n">
        <f aca="false">IFERROR(INDEX(Calendar!$B$2:$B$25,MATCH(B790,Calendar!$A$2:$A$25,0)),0)</f>
        <v>2026</v>
      </c>
      <c r="K790" s="42" t="n">
        <f aca="false">IFERROR(VALUE(RIGHT(B790,2)),0)</f>
        <v>10</v>
      </c>
      <c r="L790" s="42" t="str">
        <f aca="false">IFERROR(INDEX(Calendar!$E$2:$E$25,MATCH(B790,Calendar!$A$2:$A$25,0)),"UNMATCHED")</f>
        <v>Forecast</v>
      </c>
      <c r="M790" s="42" t="n">
        <f aca="false">Sales_Transactions!F790</f>
        <v>335</v>
      </c>
      <c r="N790" s="52" t="n">
        <f aca="false">Sales_Transactions!I790</f>
        <v>86761.65</v>
      </c>
      <c r="O790" s="52" t="n">
        <f aca="false">Sales_Transactions!J790</f>
        <v>54192.95</v>
      </c>
      <c r="P790" s="52" t="n">
        <f aca="false">Sales_Transactions!K790</f>
        <v>32568.7</v>
      </c>
      <c r="Q790" s="42" t="n">
        <f aca="false">IF(ISNUMBER(MATCH(E790,Product_Master!$A$2:$A$9,0)),0,1)</f>
        <v>0</v>
      </c>
      <c r="R790" s="42" t="n">
        <f aca="false">IF(ISNUMBER(MATCH(D790,Customer_Master!$A$2:$A$49,0)),0,1)</f>
        <v>0</v>
      </c>
      <c r="S790" s="42" t="n">
        <f aca="false">IF(ISNUMBER(MATCH(B790,Calendar!$A$2:$A$25,0)),0,1)</f>
        <v>0</v>
      </c>
      <c r="T790" s="42" t="n">
        <f aca="false">IF(COUNTIF(Sales_Transactions!$A$2:$A$865,A790)&gt;1,1,0)</f>
        <v>0</v>
      </c>
      <c r="U790" s="42" t="n">
        <f aca="false">IF(OR(ABS(Sales_Transactions!F790*Sales_Transactions!G790-Sales_Transactions!I790)&gt;0.01,ABS(Sales_Transactions!F790*Sales_Transactions!H790-Sales_Transactions!J790)&gt;0.01,ABS(Sales_Transactions!I790-Sales_Transactions!J790-Sales_Transactions!K790)&gt;0.01),1,0)</f>
        <v>0</v>
      </c>
      <c r="V790" s="42" t="n">
        <f aca="false">IF(C790&lt;&gt;L790,1,0)</f>
        <v>0</v>
      </c>
      <c r="W790" s="42" t="n">
        <f aca="false">IF(SUM(Q790:V790)&gt;0,1,0)</f>
        <v>0</v>
      </c>
    </row>
    <row r="791" customFormat="false" ht="15" hidden="false" customHeight="false" outlineLevel="0" collapsed="false">
      <c r="A791" s="42" t="str">
        <f aca="false">Sales_Transactions!A791</f>
        <v>INV-22-034</v>
      </c>
      <c r="B791" s="42" t="str">
        <f aca="false">Sales_Transactions!B791</f>
        <v>2026-10</v>
      </c>
      <c r="C791" s="42" t="str">
        <f aca="false">Sales_Transactions!C791</f>
        <v>Forecast</v>
      </c>
      <c r="D791" s="42" t="str">
        <f aca="false">Sales_Transactions!D791</f>
        <v>C007</v>
      </c>
      <c r="E791" s="42" t="str">
        <f aca="false">Sales_Transactions!E791</f>
        <v>P003</v>
      </c>
      <c r="F791" s="42" t="str">
        <f aca="false">IFERROR(INDEX(Customer_Master!$C$2:$C$49,MATCH(D791,Customer_Master!$A$2:$A$49,0)),"UNMATCHED")</f>
        <v>West</v>
      </c>
      <c r="G791" s="42" t="str">
        <f aca="false">IFERROR(INDEX(Customer_Master!$D$2:$D$49,MATCH(D791,Customer_Master!$A$2:$A$49,0)),"UNMATCHED")</f>
        <v>Distributor</v>
      </c>
      <c r="H791" s="42" t="str">
        <f aca="false">IFERROR(INDEX(Product_Master!$C$2:$C$9,MATCH(E791,Product_Master!$A$2:$A$9,0)),"UNMATCHED")</f>
        <v>Personal Care</v>
      </c>
      <c r="I791" s="42" t="str">
        <f aca="false">IFERROR(INDEX(Product_Master!$B$2:$B$9,MATCH(E791,Product_Master!$A$2:$A$9,0)),"UNMATCHED")</f>
        <v>Shampoo 400ml</v>
      </c>
      <c r="J791" s="42" t="n">
        <f aca="false">IFERROR(INDEX(Calendar!$B$2:$B$25,MATCH(B791,Calendar!$A$2:$A$25,0)),0)</f>
        <v>2026</v>
      </c>
      <c r="K791" s="42" t="n">
        <f aca="false">IFERROR(VALUE(RIGHT(B791,2)),0)</f>
        <v>10</v>
      </c>
      <c r="L791" s="42" t="str">
        <f aca="false">IFERROR(INDEX(Calendar!$E$2:$E$25,MATCH(B791,Calendar!$A$2:$A$25,0)),"UNMATCHED")</f>
        <v>Forecast</v>
      </c>
      <c r="M791" s="42" t="n">
        <f aca="false">Sales_Transactions!F791</f>
        <v>336</v>
      </c>
      <c r="N791" s="52" t="n">
        <f aca="false">Sales_Transactions!I791</f>
        <v>89365.92</v>
      </c>
      <c r="O791" s="52" t="n">
        <f aca="false">Sales_Transactions!J791</f>
        <v>60211.2</v>
      </c>
      <c r="P791" s="52" t="n">
        <f aca="false">Sales_Transactions!K791</f>
        <v>29154.72</v>
      </c>
      <c r="Q791" s="42" t="n">
        <f aca="false">IF(ISNUMBER(MATCH(E791,Product_Master!$A$2:$A$9,0)),0,1)</f>
        <v>0</v>
      </c>
      <c r="R791" s="42" t="n">
        <f aca="false">IF(ISNUMBER(MATCH(D791,Customer_Master!$A$2:$A$49,0)),0,1)</f>
        <v>0</v>
      </c>
      <c r="S791" s="42" t="n">
        <f aca="false">IF(ISNUMBER(MATCH(B791,Calendar!$A$2:$A$25,0)),0,1)</f>
        <v>0</v>
      </c>
      <c r="T791" s="42" t="n">
        <f aca="false">IF(COUNTIF(Sales_Transactions!$A$2:$A$865,A791)&gt;1,1,0)</f>
        <v>0</v>
      </c>
      <c r="U791" s="42" t="n">
        <f aca="false">IF(OR(ABS(Sales_Transactions!F791*Sales_Transactions!G791-Sales_Transactions!I791)&gt;0.01,ABS(Sales_Transactions!F791*Sales_Transactions!H791-Sales_Transactions!J791)&gt;0.01,ABS(Sales_Transactions!I791-Sales_Transactions!J791-Sales_Transactions!K791)&gt;0.01),1,0)</f>
        <v>0</v>
      </c>
      <c r="V791" s="42" t="n">
        <f aca="false">IF(C791&lt;&gt;L791,1,0)</f>
        <v>0</v>
      </c>
      <c r="W791" s="42" t="n">
        <f aca="false">IF(SUM(Q791:V791)&gt;0,1,0)</f>
        <v>0</v>
      </c>
    </row>
    <row r="792" customFormat="false" ht="15" hidden="false" customHeight="false" outlineLevel="0" collapsed="false">
      <c r="A792" s="42" t="str">
        <f aca="false">Sales_Transactions!A792</f>
        <v>INV-22-035</v>
      </c>
      <c r="B792" s="42" t="str">
        <f aca="false">Sales_Transactions!B792</f>
        <v>2026-10</v>
      </c>
      <c r="C792" s="42" t="str">
        <f aca="false">Sales_Transactions!C792</f>
        <v>Forecast</v>
      </c>
      <c r="D792" s="42" t="str">
        <f aca="false">Sales_Transactions!D792</f>
        <v>C014</v>
      </c>
      <c r="E792" s="42" t="str">
        <f aca="false">Sales_Transactions!E792</f>
        <v>P008</v>
      </c>
      <c r="F792" s="42" t="str">
        <f aca="false">IFERROR(INDEX(Customer_Master!$C$2:$C$49,MATCH(D792,Customer_Master!$A$2:$A$49,0)),"UNMATCHED")</f>
        <v>North</v>
      </c>
      <c r="G792" s="42" t="str">
        <f aca="false">IFERROR(INDEX(Customer_Master!$D$2:$D$49,MATCH(D792,Customer_Master!$A$2:$A$49,0)),"UNMATCHED")</f>
        <v>Modern Trade</v>
      </c>
      <c r="H792" s="42" t="str">
        <f aca="false">IFERROR(INDEX(Product_Master!$C$2:$C$9,MATCH(E792,Product_Master!$A$2:$A$9,0)),"UNMATCHED")</f>
        <v>Personal Care</v>
      </c>
      <c r="I792" s="42" t="str">
        <f aca="false">IFERROR(INDEX(Product_Master!$B$2:$B$9,MATCH(E792,Product_Master!$A$2:$A$9,0)),"UNMATCHED")</f>
        <v>Body Lotion</v>
      </c>
      <c r="J792" s="42" t="n">
        <f aca="false">IFERROR(INDEX(Calendar!$B$2:$B$25,MATCH(B792,Calendar!$A$2:$A$25,0)),0)</f>
        <v>2026</v>
      </c>
      <c r="K792" s="42" t="n">
        <f aca="false">IFERROR(VALUE(RIGHT(B792,2)),0)</f>
        <v>10</v>
      </c>
      <c r="L792" s="42" t="str">
        <f aca="false">IFERROR(INDEX(Calendar!$E$2:$E$25,MATCH(B792,Calendar!$A$2:$A$25,0)),"UNMATCHED")</f>
        <v>Forecast</v>
      </c>
      <c r="M792" s="42" t="n">
        <f aca="false">Sales_Transactions!F792</f>
        <v>265</v>
      </c>
      <c r="N792" s="52" t="n">
        <f aca="false">Sales_Transactions!I792</f>
        <v>78546</v>
      </c>
      <c r="O792" s="52" t="n">
        <f aca="false">Sales_Transactions!J792</f>
        <v>56015.7</v>
      </c>
      <c r="P792" s="52" t="n">
        <f aca="false">Sales_Transactions!K792</f>
        <v>22530.3</v>
      </c>
      <c r="Q792" s="42" t="n">
        <f aca="false">IF(ISNUMBER(MATCH(E792,Product_Master!$A$2:$A$9,0)),0,1)</f>
        <v>0</v>
      </c>
      <c r="R792" s="42" t="n">
        <f aca="false">IF(ISNUMBER(MATCH(D792,Customer_Master!$A$2:$A$49,0)),0,1)</f>
        <v>0</v>
      </c>
      <c r="S792" s="42" t="n">
        <f aca="false">IF(ISNUMBER(MATCH(B792,Calendar!$A$2:$A$25,0)),0,1)</f>
        <v>0</v>
      </c>
      <c r="T792" s="42" t="n">
        <f aca="false">IF(COUNTIF(Sales_Transactions!$A$2:$A$865,A792)&gt;1,1,0)</f>
        <v>0</v>
      </c>
      <c r="U792" s="42" t="n">
        <f aca="false">IF(OR(ABS(Sales_Transactions!F792*Sales_Transactions!G792-Sales_Transactions!I792)&gt;0.01,ABS(Sales_Transactions!F792*Sales_Transactions!H792-Sales_Transactions!J792)&gt;0.01,ABS(Sales_Transactions!I792-Sales_Transactions!J792-Sales_Transactions!K792)&gt;0.01),1,0)</f>
        <v>0</v>
      </c>
      <c r="V792" s="42" t="n">
        <f aca="false">IF(C792&lt;&gt;L792,1,0)</f>
        <v>0</v>
      </c>
      <c r="W792" s="42" t="n">
        <f aca="false">IF(SUM(Q792:V792)&gt;0,1,0)</f>
        <v>0</v>
      </c>
    </row>
    <row r="793" customFormat="false" ht="15" hidden="false" customHeight="false" outlineLevel="0" collapsed="false">
      <c r="A793" s="42" t="str">
        <f aca="false">Sales_Transactions!A793</f>
        <v>INV-22-036</v>
      </c>
      <c r="B793" s="42" t="str">
        <f aca="false">Sales_Transactions!B793</f>
        <v>2026-10</v>
      </c>
      <c r="C793" s="42" t="str">
        <f aca="false">Sales_Transactions!C793</f>
        <v>Forecast</v>
      </c>
      <c r="D793" s="42" t="str">
        <f aca="false">Sales_Transactions!D793</f>
        <v>C021</v>
      </c>
      <c r="E793" s="42" t="str">
        <f aca="false">Sales_Transactions!E793</f>
        <v>P005</v>
      </c>
      <c r="F793" s="42" t="str">
        <f aca="false">IFERROR(INDEX(Customer_Master!$C$2:$C$49,MATCH(D793,Customer_Master!$A$2:$A$49,0)),"UNMATCHED")</f>
        <v>South</v>
      </c>
      <c r="G793" s="42" t="str">
        <f aca="false">IFERROR(INDEX(Customer_Master!$D$2:$D$49,MATCH(D793,Customer_Master!$A$2:$A$49,0)),"UNMATCHED")</f>
        <v>Retail</v>
      </c>
      <c r="H793" s="42" t="str">
        <f aca="false">IFERROR(INDEX(Product_Master!$C$2:$C$9,MATCH(E793,Product_Master!$A$2:$A$9,0)),"UNMATCHED")</f>
        <v>Foods</v>
      </c>
      <c r="I793" s="42" t="str">
        <f aca="false">IFERROR(INDEX(Product_Master!$B$2:$B$9,MATCH(E793,Product_Master!$A$2:$A$9,0)),"UNMATCHED")</f>
        <v>Biscuits 500g</v>
      </c>
      <c r="J793" s="42" t="n">
        <f aca="false">IFERROR(INDEX(Calendar!$B$2:$B$25,MATCH(B793,Calendar!$A$2:$A$25,0)),0)</f>
        <v>2026</v>
      </c>
      <c r="K793" s="42" t="n">
        <f aca="false">IFERROR(VALUE(RIGHT(B793,2)),0)</f>
        <v>10</v>
      </c>
      <c r="L793" s="42" t="str">
        <f aca="false">IFERROR(INDEX(Calendar!$E$2:$E$25,MATCH(B793,Calendar!$A$2:$A$25,0)),"UNMATCHED")</f>
        <v>Forecast</v>
      </c>
      <c r="M793" s="42" t="n">
        <f aca="false">Sales_Transactions!F793</f>
        <v>335</v>
      </c>
      <c r="N793" s="52" t="n">
        <f aca="false">Sales_Transactions!I793</f>
        <v>33677.55</v>
      </c>
      <c r="O793" s="52" t="n">
        <f aca="false">Sales_Transactions!J793</f>
        <v>23942.45</v>
      </c>
      <c r="P793" s="52" t="n">
        <f aca="false">Sales_Transactions!K793</f>
        <v>9735.1</v>
      </c>
      <c r="Q793" s="42" t="n">
        <f aca="false">IF(ISNUMBER(MATCH(E793,Product_Master!$A$2:$A$9,0)),0,1)</f>
        <v>0</v>
      </c>
      <c r="R793" s="42" t="n">
        <f aca="false">IF(ISNUMBER(MATCH(D793,Customer_Master!$A$2:$A$49,0)),0,1)</f>
        <v>0</v>
      </c>
      <c r="S793" s="42" t="n">
        <f aca="false">IF(ISNUMBER(MATCH(B793,Calendar!$A$2:$A$25,0)),0,1)</f>
        <v>0</v>
      </c>
      <c r="T793" s="42" t="n">
        <f aca="false">IF(COUNTIF(Sales_Transactions!$A$2:$A$865,A793)&gt;1,1,0)</f>
        <v>0</v>
      </c>
      <c r="U793" s="42" t="n">
        <f aca="false">IF(OR(ABS(Sales_Transactions!F793*Sales_Transactions!G793-Sales_Transactions!I793)&gt;0.01,ABS(Sales_Transactions!F793*Sales_Transactions!H793-Sales_Transactions!J793)&gt;0.01,ABS(Sales_Transactions!I793-Sales_Transactions!J793-Sales_Transactions!K793)&gt;0.01),1,0)</f>
        <v>0</v>
      </c>
      <c r="V793" s="42" t="n">
        <f aca="false">IF(C793&lt;&gt;L793,1,0)</f>
        <v>0</v>
      </c>
      <c r="W793" s="42" t="n">
        <f aca="false">IF(SUM(Q793:V793)&gt;0,1,0)</f>
        <v>0</v>
      </c>
    </row>
    <row r="794" customFormat="false" ht="15" hidden="false" customHeight="false" outlineLevel="0" collapsed="false">
      <c r="A794" s="42" t="str">
        <f aca="false">Sales_Transactions!A794</f>
        <v>INV-23-001</v>
      </c>
      <c r="B794" s="42" t="str">
        <f aca="false">Sales_Transactions!B794</f>
        <v>2026-11</v>
      </c>
      <c r="C794" s="42" t="str">
        <f aca="false">Sales_Transactions!C794</f>
        <v>Forecast</v>
      </c>
      <c r="D794" s="42" t="str">
        <f aca="false">Sales_Transactions!D794</f>
        <v>C019</v>
      </c>
      <c r="E794" s="42" t="str">
        <f aca="false">Sales_Transactions!E794</f>
        <v>P007</v>
      </c>
      <c r="F794" s="42" t="str">
        <f aca="false">IFERROR(INDEX(Customer_Master!$C$2:$C$49,MATCH(D794,Customer_Master!$A$2:$A$49,0)),"UNMATCHED")</f>
        <v>West</v>
      </c>
      <c r="G794" s="42" t="str">
        <f aca="false">IFERROR(INDEX(Customer_Master!$D$2:$D$49,MATCH(D794,Customer_Master!$A$2:$A$49,0)),"UNMATCHED")</f>
        <v>Distributor</v>
      </c>
      <c r="H794" s="42" t="str">
        <f aca="false">IFERROR(INDEX(Product_Master!$C$2:$C$9,MATCH(E794,Product_Master!$A$2:$A$9,0)),"UNMATCHED")</f>
        <v>Home Care</v>
      </c>
      <c r="I794" s="42" t="str">
        <f aca="false">IFERROR(INDEX(Product_Master!$B$2:$B$9,MATCH(E794,Product_Master!$A$2:$A$9,0)),"UNMATCHED")</f>
        <v>Floor Cleaner</v>
      </c>
      <c r="J794" s="42" t="n">
        <f aca="false">IFERROR(INDEX(Calendar!$B$2:$B$25,MATCH(B794,Calendar!$A$2:$A$25,0)),0)</f>
        <v>2026</v>
      </c>
      <c r="K794" s="42" t="n">
        <f aca="false">IFERROR(VALUE(RIGHT(B794,2)),0)</f>
        <v>11</v>
      </c>
      <c r="L794" s="42" t="str">
        <f aca="false">IFERROR(INDEX(Calendar!$E$2:$E$25,MATCH(B794,Calendar!$A$2:$A$25,0)),"UNMATCHED")</f>
        <v>Forecast</v>
      </c>
      <c r="M794" s="42" t="n">
        <f aca="false">Sales_Transactions!F794</f>
        <v>413</v>
      </c>
      <c r="N794" s="52" t="n">
        <f aca="false">Sales_Transactions!I794</f>
        <v>79601.62</v>
      </c>
      <c r="O794" s="52" t="n">
        <f aca="false">Sales_Transactions!J794</f>
        <v>47313.28</v>
      </c>
      <c r="P794" s="52" t="n">
        <f aca="false">Sales_Transactions!K794</f>
        <v>32288.34</v>
      </c>
      <c r="Q794" s="42" t="n">
        <f aca="false">IF(ISNUMBER(MATCH(E794,Product_Master!$A$2:$A$9,0)),0,1)</f>
        <v>0</v>
      </c>
      <c r="R794" s="42" t="n">
        <f aca="false">IF(ISNUMBER(MATCH(D794,Customer_Master!$A$2:$A$49,0)),0,1)</f>
        <v>0</v>
      </c>
      <c r="S794" s="42" t="n">
        <f aca="false">IF(ISNUMBER(MATCH(B794,Calendar!$A$2:$A$25,0)),0,1)</f>
        <v>0</v>
      </c>
      <c r="T794" s="42" t="n">
        <f aca="false">IF(COUNTIF(Sales_Transactions!$A$2:$A$865,A794)&gt;1,1,0)</f>
        <v>0</v>
      </c>
      <c r="U794" s="42" t="n">
        <f aca="false">IF(OR(ABS(Sales_Transactions!F794*Sales_Transactions!G794-Sales_Transactions!I794)&gt;0.01,ABS(Sales_Transactions!F794*Sales_Transactions!H794-Sales_Transactions!J794)&gt;0.01,ABS(Sales_Transactions!I794-Sales_Transactions!J794-Sales_Transactions!K794)&gt;0.01),1,0)</f>
        <v>0</v>
      </c>
      <c r="V794" s="42" t="n">
        <f aca="false">IF(C794&lt;&gt;L794,1,0)</f>
        <v>0</v>
      </c>
      <c r="W794" s="42" t="n">
        <f aca="false">IF(SUM(Q794:V794)&gt;0,1,0)</f>
        <v>0</v>
      </c>
    </row>
    <row r="795" customFormat="false" ht="15" hidden="false" customHeight="false" outlineLevel="0" collapsed="false">
      <c r="A795" s="42" t="str">
        <f aca="false">Sales_Transactions!A795</f>
        <v>INV-23-002</v>
      </c>
      <c r="B795" s="42" t="str">
        <f aca="false">Sales_Transactions!B795</f>
        <v>2026-11</v>
      </c>
      <c r="C795" s="42" t="str">
        <f aca="false">Sales_Transactions!C795</f>
        <v>Forecast</v>
      </c>
      <c r="D795" s="42" t="str">
        <f aca="false">Sales_Transactions!D795</f>
        <v>C026</v>
      </c>
      <c r="E795" s="42" t="str">
        <f aca="false">Sales_Transactions!E795</f>
        <v>P004</v>
      </c>
      <c r="F795" s="42" t="str">
        <f aca="false">IFERROR(INDEX(Customer_Master!$C$2:$C$49,MATCH(D795,Customer_Master!$A$2:$A$49,0)),"UNMATCHED")</f>
        <v>North</v>
      </c>
      <c r="G795" s="42" t="str">
        <f aca="false">IFERROR(INDEX(Customer_Master!$D$2:$D$49,MATCH(D795,Customer_Master!$A$2:$A$49,0)),"UNMATCHED")</f>
        <v>Modern Trade</v>
      </c>
      <c r="H795" s="42" t="str">
        <f aca="false">IFERROR(INDEX(Product_Master!$C$2:$C$9,MATCH(E795,Product_Master!$A$2:$A$9,0)),"UNMATCHED")</f>
        <v>Personal Care</v>
      </c>
      <c r="I795" s="42" t="str">
        <f aca="false">IFERROR(INDEX(Product_Master!$B$2:$B$9,MATCH(E795,Product_Master!$A$2:$A$9,0)),"UNMATCHED")</f>
        <v>Soap 4-pack</v>
      </c>
      <c r="J795" s="42" t="n">
        <f aca="false">IFERROR(INDEX(Calendar!$B$2:$B$25,MATCH(B795,Calendar!$A$2:$A$25,0)),0)</f>
        <v>2026</v>
      </c>
      <c r="K795" s="42" t="n">
        <f aca="false">IFERROR(VALUE(RIGHT(B795,2)),0)</f>
        <v>11</v>
      </c>
      <c r="L795" s="42" t="str">
        <f aca="false">IFERROR(INDEX(Calendar!$E$2:$E$25,MATCH(B795,Calendar!$A$2:$A$25,0)),"UNMATCHED")</f>
        <v>Forecast</v>
      </c>
      <c r="M795" s="42" t="n">
        <f aca="false">Sales_Transactions!F795</f>
        <v>123</v>
      </c>
      <c r="N795" s="52" t="n">
        <f aca="false">Sales_Transactions!I795</f>
        <v>21801.75</v>
      </c>
      <c r="O795" s="52" t="n">
        <f aca="false">Sales_Transactions!J795</f>
        <v>12282.78</v>
      </c>
      <c r="P795" s="52" t="n">
        <f aca="false">Sales_Transactions!K795</f>
        <v>9518.97</v>
      </c>
      <c r="Q795" s="42" t="n">
        <f aca="false">IF(ISNUMBER(MATCH(E795,Product_Master!$A$2:$A$9,0)),0,1)</f>
        <v>0</v>
      </c>
      <c r="R795" s="42" t="n">
        <f aca="false">IF(ISNUMBER(MATCH(D795,Customer_Master!$A$2:$A$49,0)),0,1)</f>
        <v>0</v>
      </c>
      <c r="S795" s="42" t="n">
        <f aca="false">IF(ISNUMBER(MATCH(B795,Calendar!$A$2:$A$25,0)),0,1)</f>
        <v>0</v>
      </c>
      <c r="T795" s="42" t="n">
        <f aca="false">IF(COUNTIF(Sales_Transactions!$A$2:$A$865,A795)&gt;1,1,0)</f>
        <v>0</v>
      </c>
      <c r="U795" s="42" t="n">
        <f aca="false">IF(OR(ABS(Sales_Transactions!F795*Sales_Transactions!G795-Sales_Transactions!I795)&gt;0.01,ABS(Sales_Transactions!F795*Sales_Transactions!H795-Sales_Transactions!J795)&gt;0.01,ABS(Sales_Transactions!I795-Sales_Transactions!J795-Sales_Transactions!K795)&gt;0.01),1,0)</f>
        <v>0</v>
      </c>
      <c r="V795" s="42" t="n">
        <f aca="false">IF(C795&lt;&gt;L795,1,0)</f>
        <v>0</v>
      </c>
      <c r="W795" s="42" t="n">
        <f aca="false">IF(SUM(Q795:V795)&gt;0,1,0)</f>
        <v>0</v>
      </c>
    </row>
    <row r="796" customFormat="false" ht="15" hidden="false" customHeight="false" outlineLevel="0" collapsed="false">
      <c r="A796" s="42" t="str">
        <f aca="false">Sales_Transactions!A796</f>
        <v>INV-23-003</v>
      </c>
      <c r="B796" s="42" t="str">
        <f aca="false">Sales_Transactions!B796</f>
        <v>2026-11</v>
      </c>
      <c r="C796" s="42" t="str">
        <f aca="false">Sales_Transactions!C796</f>
        <v>Forecast</v>
      </c>
      <c r="D796" s="42" t="str">
        <f aca="false">Sales_Transactions!D796</f>
        <v>C033</v>
      </c>
      <c r="E796" s="42" t="str">
        <f aca="false">Sales_Transactions!E796</f>
        <v>P001</v>
      </c>
      <c r="F796" s="42" t="str">
        <f aca="false">IFERROR(INDEX(Customer_Master!$C$2:$C$49,MATCH(D796,Customer_Master!$A$2:$A$49,0)),"UNMATCHED")</f>
        <v>South</v>
      </c>
      <c r="G796" s="42" t="str">
        <f aca="false">IFERROR(INDEX(Customer_Master!$D$2:$D$49,MATCH(D796,Customer_Master!$A$2:$A$49,0)),"UNMATCHED")</f>
        <v>Retail</v>
      </c>
      <c r="H796" s="42" t="str">
        <f aca="false">IFERROR(INDEX(Product_Master!$C$2:$C$9,MATCH(E796,Product_Master!$A$2:$A$9,0)),"UNMATCHED")</f>
        <v>Home Care</v>
      </c>
      <c r="I796" s="42" t="str">
        <f aca="false">IFERROR(INDEX(Product_Master!$B$2:$B$9,MATCH(E796,Product_Master!$A$2:$A$9,0)),"UNMATCHED")</f>
        <v>Detergent 1kg</v>
      </c>
      <c r="J796" s="42" t="n">
        <f aca="false">IFERROR(INDEX(Calendar!$B$2:$B$25,MATCH(B796,Calendar!$A$2:$A$25,0)),0)</f>
        <v>2026</v>
      </c>
      <c r="K796" s="42" t="n">
        <f aca="false">IFERROR(VALUE(RIGHT(B796,2)),0)</f>
        <v>11</v>
      </c>
      <c r="L796" s="42" t="str">
        <f aca="false">IFERROR(INDEX(Calendar!$E$2:$E$25,MATCH(B796,Calendar!$A$2:$A$25,0)),"UNMATCHED")</f>
        <v>Forecast</v>
      </c>
      <c r="M796" s="42" t="n">
        <f aca="false">Sales_Transactions!F796</f>
        <v>88</v>
      </c>
      <c r="N796" s="52" t="n">
        <f aca="false">Sales_Transactions!I796</f>
        <v>17438.08</v>
      </c>
      <c r="O796" s="52" t="n">
        <f aca="false">Sales_Transactions!J796</f>
        <v>12326.16</v>
      </c>
      <c r="P796" s="52" t="n">
        <f aca="false">Sales_Transactions!K796</f>
        <v>5111.92</v>
      </c>
      <c r="Q796" s="42" t="n">
        <f aca="false">IF(ISNUMBER(MATCH(E796,Product_Master!$A$2:$A$9,0)),0,1)</f>
        <v>0</v>
      </c>
      <c r="R796" s="42" t="n">
        <f aca="false">IF(ISNUMBER(MATCH(D796,Customer_Master!$A$2:$A$49,0)),0,1)</f>
        <v>0</v>
      </c>
      <c r="S796" s="42" t="n">
        <f aca="false">IF(ISNUMBER(MATCH(B796,Calendar!$A$2:$A$25,0)),0,1)</f>
        <v>0</v>
      </c>
      <c r="T796" s="42" t="n">
        <f aca="false">IF(COUNTIF(Sales_Transactions!$A$2:$A$865,A796)&gt;1,1,0)</f>
        <v>0</v>
      </c>
      <c r="U796" s="42" t="n">
        <f aca="false">IF(OR(ABS(Sales_Transactions!F796*Sales_Transactions!G796-Sales_Transactions!I796)&gt;0.01,ABS(Sales_Transactions!F796*Sales_Transactions!H796-Sales_Transactions!J796)&gt;0.01,ABS(Sales_Transactions!I796-Sales_Transactions!J796-Sales_Transactions!K796)&gt;0.01),1,0)</f>
        <v>0</v>
      </c>
      <c r="V796" s="42" t="n">
        <f aca="false">IF(C796&lt;&gt;L796,1,0)</f>
        <v>0</v>
      </c>
      <c r="W796" s="42" t="n">
        <f aca="false">IF(SUM(Q796:V796)&gt;0,1,0)</f>
        <v>0</v>
      </c>
    </row>
    <row r="797" customFormat="false" ht="15" hidden="false" customHeight="false" outlineLevel="0" collapsed="false">
      <c r="A797" s="42" t="str">
        <f aca="false">Sales_Transactions!A797</f>
        <v>INV-23-004</v>
      </c>
      <c r="B797" s="42" t="str">
        <f aca="false">Sales_Transactions!B797</f>
        <v>2026-11</v>
      </c>
      <c r="C797" s="42" t="str">
        <f aca="false">Sales_Transactions!C797</f>
        <v>Forecast</v>
      </c>
      <c r="D797" s="42" t="str">
        <f aca="false">Sales_Transactions!D797</f>
        <v>C040</v>
      </c>
      <c r="E797" s="42" t="str">
        <f aca="false">Sales_Transactions!E797</f>
        <v>P006</v>
      </c>
      <c r="F797" s="42" t="str">
        <f aca="false">IFERROR(INDEX(Customer_Master!$C$2:$C$49,MATCH(D797,Customer_Master!$A$2:$A$49,0)),"UNMATCHED")</f>
        <v>East</v>
      </c>
      <c r="G797" s="42" t="str">
        <f aca="false">IFERROR(INDEX(Customer_Master!$D$2:$D$49,MATCH(D797,Customer_Master!$A$2:$A$49,0)),"UNMATCHED")</f>
        <v>Distributor</v>
      </c>
      <c r="H797" s="42" t="str">
        <f aca="false">IFERROR(INDEX(Product_Master!$C$2:$C$9,MATCH(E797,Product_Master!$A$2:$A$9,0)),"UNMATCHED")</f>
        <v>Foods</v>
      </c>
      <c r="I797" s="42" t="str">
        <f aca="false">IFERROR(INDEX(Product_Master!$B$2:$B$9,MATCH(E797,Product_Master!$A$2:$A$9,0)),"UNMATCHED")</f>
        <v>Breakfast Cereal</v>
      </c>
      <c r="J797" s="42" t="n">
        <f aca="false">IFERROR(INDEX(Calendar!$B$2:$B$25,MATCH(B797,Calendar!$A$2:$A$25,0)),0)</f>
        <v>2026</v>
      </c>
      <c r="K797" s="42" t="n">
        <f aca="false">IFERROR(VALUE(RIGHT(B797,2)),0)</f>
        <v>11</v>
      </c>
      <c r="L797" s="42" t="str">
        <f aca="false">IFERROR(INDEX(Calendar!$E$2:$E$25,MATCH(B797,Calendar!$A$2:$A$25,0)),"UNMATCHED")</f>
        <v>Forecast</v>
      </c>
      <c r="M797" s="42" t="n">
        <f aca="false">Sales_Transactions!F797</f>
        <v>203</v>
      </c>
      <c r="N797" s="52" t="n">
        <f aca="false">Sales_Transactions!I797</f>
        <v>46527.6</v>
      </c>
      <c r="O797" s="52" t="n">
        <f aca="false">Sales_Transactions!J797</f>
        <v>30975.77</v>
      </c>
      <c r="P797" s="52" t="n">
        <f aca="false">Sales_Transactions!K797</f>
        <v>15551.83</v>
      </c>
      <c r="Q797" s="42" t="n">
        <f aca="false">IF(ISNUMBER(MATCH(E797,Product_Master!$A$2:$A$9,0)),0,1)</f>
        <v>0</v>
      </c>
      <c r="R797" s="42" t="n">
        <f aca="false">IF(ISNUMBER(MATCH(D797,Customer_Master!$A$2:$A$49,0)),0,1)</f>
        <v>0</v>
      </c>
      <c r="S797" s="42" t="n">
        <f aca="false">IF(ISNUMBER(MATCH(B797,Calendar!$A$2:$A$25,0)),0,1)</f>
        <v>0</v>
      </c>
      <c r="T797" s="42" t="n">
        <f aca="false">IF(COUNTIF(Sales_Transactions!$A$2:$A$865,A797)&gt;1,1,0)</f>
        <v>0</v>
      </c>
      <c r="U797" s="42" t="n">
        <f aca="false">IF(OR(ABS(Sales_Transactions!F797*Sales_Transactions!G797-Sales_Transactions!I797)&gt;0.01,ABS(Sales_Transactions!F797*Sales_Transactions!H797-Sales_Transactions!J797)&gt;0.01,ABS(Sales_Transactions!I797-Sales_Transactions!J797-Sales_Transactions!K797)&gt;0.01),1,0)</f>
        <v>0</v>
      </c>
      <c r="V797" s="42" t="n">
        <f aca="false">IF(C797&lt;&gt;L797,1,0)</f>
        <v>0</v>
      </c>
      <c r="W797" s="42" t="n">
        <f aca="false">IF(SUM(Q797:V797)&gt;0,1,0)</f>
        <v>0</v>
      </c>
    </row>
    <row r="798" customFormat="false" ht="15" hidden="false" customHeight="false" outlineLevel="0" collapsed="false">
      <c r="A798" s="42" t="str">
        <f aca="false">Sales_Transactions!A798</f>
        <v>INV-23-005</v>
      </c>
      <c r="B798" s="42" t="str">
        <f aca="false">Sales_Transactions!B798</f>
        <v>2026-11</v>
      </c>
      <c r="C798" s="42" t="str">
        <f aca="false">Sales_Transactions!C798</f>
        <v>Forecast</v>
      </c>
      <c r="D798" s="42" t="str">
        <f aca="false">Sales_Transactions!D798</f>
        <v>C047</v>
      </c>
      <c r="E798" s="42" t="str">
        <f aca="false">Sales_Transactions!E798</f>
        <v>P003</v>
      </c>
      <c r="F798" s="42" t="str">
        <f aca="false">IFERROR(INDEX(Customer_Master!$C$2:$C$49,MATCH(D798,Customer_Master!$A$2:$A$49,0)),"UNMATCHED")</f>
        <v>West</v>
      </c>
      <c r="G798" s="42" t="str">
        <f aca="false">IFERROR(INDEX(Customer_Master!$D$2:$D$49,MATCH(D798,Customer_Master!$A$2:$A$49,0)),"UNMATCHED")</f>
        <v>Modern Trade</v>
      </c>
      <c r="H798" s="42" t="str">
        <f aca="false">IFERROR(INDEX(Product_Master!$C$2:$C$9,MATCH(E798,Product_Master!$A$2:$A$9,0)),"UNMATCHED")</f>
        <v>Personal Care</v>
      </c>
      <c r="I798" s="42" t="str">
        <f aca="false">IFERROR(INDEX(Product_Master!$B$2:$B$9,MATCH(E798,Product_Master!$A$2:$A$9,0)),"UNMATCHED")</f>
        <v>Shampoo 400ml</v>
      </c>
      <c r="J798" s="42" t="n">
        <f aca="false">IFERROR(INDEX(Calendar!$B$2:$B$25,MATCH(B798,Calendar!$A$2:$A$25,0)),0)</f>
        <v>2026</v>
      </c>
      <c r="K798" s="42" t="n">
        <f aca="false">IFERROR(VALUE(RIGHT(B798,2)),0)</f>
        <v>11</v>
      </c>
      <c r="L798" s="42" t="str">
        <f aca="false">IFERROR(INDEX(Calendar!$E$2:$E$25,MATCH(B798,Calendar!$A$2:$A$25,0)),"UNMATCHED")</f>
        <v>Forecast</v>
      </c>
      <c r="M798" s="42" t="n">
        <f aca="false">Sales_Transactions!F798</f>
        <v>196</v>
      </c>
      <c r="N798" s="52" t="n">
        <f aca="false">Sales_Transactions!I798</f>
        <v>52451.56</v>
      </c>
      <c r="O798" s="52" t="n">
        <f aca="false">Sales_Transactions!J798</f>
        <v>33676.72</v>
      </c>
      <c r="P798" s="52" t="n">
        <f aca="false">Sales_Transactions!K798</f>
        <v>18774.84</v>
      </c>
      <c r="Q798" s="42" t="n">
        <f aca="false">IF(ISNUMBER(MATCH(E798,Product_Master!$A$2:$A$9,0)),0,1)</f>
        <v>0</v>
      </c>
      <c r="R798" s="42" t="n">
        <f aca="false">IF(ISNUMBER(MATCH(D798,Customer_Master!$A$2:$A$49,0)),0,1)</f>
        <v>0</v>
      </c>
      <c r="S798" s="42" t="n">
        <f aca="false">IF(ISNUMBER(MATCH(B798,Calendar!$A$2:$A$25,0)),0,1)</f>
        <v>0</v>
      </c>
      <c r="T798" s="42" t="n">
        <f aca="false">IF(COUNTIF(Sales_Transactions!$A$2:$A$865,A798)&gt;1,1,0)</f>
        <v>0</v>
      </c>
      <c r="U798" s="42" t="n">
        <f aca="false">IF(OR(ABS(Sales_Transactions!F798*Sales_Transactions!G798-Sales_Transactions!I798)&gt;0.01,ABS(Sales_Transactions!F798*Sales_Transactions!H798-Sales_Transactions!J798)&gt;0.01,ABS(Sales_Transactions!I798-Sales_Transactions!J798-Sales_Transactions!K798)&gt;0.01),1,0)</f>
        <v>0</v>
      </c>
      <c r="V798" s="42" t="n">
        <f aca="false">IF(C798&lt;&gt;L798,1,0)</f>
        <v>0</v>
      </c>
      <c r="W798" s="42" t="n">
        <f aca="false">IF(SUM(Q798:V798)&gt;0,1,0)</f>
        <v>0</v>
      </c>
    </row>
    <row r="799" customFormat="false" ht="15" hidden="false" customHeight="false" outlineLevel="0" collapsed="false">
      <c r="A799" s="42" t="str">
        <f aca="false">Sales_Transactions!A799</f>
        <v>INV-23-006</v>
      </c>
      <c r="B799" s="42" t="str">
        <f aca="false">Sales_Transactions!B799</f>
        <v>2026-11</v>
      </c>
      <c r="C799" s="42" t="str">
        <f aca="false">Sales_Transactions!C799</f>
        <v>Forecast</v>
      </c>
      <c r="D799" s="42" t="str">
        <f aca="false">Sales_Transactions!D799</f>
        <v>C006</v>
      </c>
      <c r="E799" s="42" t="str">
        <f aca="false">Sales_Transactions!E799</f>
        <v>P008</v>
      </c>
      <c r="F799" s="42" t="str">
        <f aca="false">IFERROR(INDEX(Customer_Master!$C$2:$C$49,MATCH(D799,Customer_Master!$A$2:$A$49,0)),"UNMATCHED")</f>
        <v>North</v>
      </c>
      <c r="G799" s="42" t="str">
        <f aca="false">IFERROR(INDEX(Customer_Master!$D$2:$D$49,MATCH(D799,Customer_Master!$A$2:$A$49,0)),"UNMATCHED")</f>
        <v>Retail</v>
      </c>
      <c r="H799" s="42" t="str">
        <f aca="false">IFERROR(INDEX(Product_Master!$C$2:$C$9,MATCH(E799,Product_Master!$A$2:$A$9,0)),"UNMATCHED")</f>
        <v>Personal Care</v>
      </c>
      <c r="I799" s="42" t="str">
        <f aca="false">IFERROR(INDEX(Product_Master!$B$2:$B$9,MATCH(E799,Product_Master!$A$2:$A$9,0)),"UNMATCHED")</f>
        <v>Body Lotion</v>
      </c>
      <c r="J799" s="42" t="n">
        <f aca="false">IFERROR(INDEX(Calendar!$B$2:$B$25,MATCH(B799,Calendar!$A$2:$A$25,0)),0)</f>
        <v>2026</v>
      </c>
      <c r="K799" s="42" t="n">
        <f aca="false">IFERROR(VALUE(RIGHT(B799,2)),0)</f>
        <v>11</v>
      </c>
      <c r="L799" s="42" t="str">
        <f aca="false">IFERROR(INDEX(Calendar!$E$2:$E$25,MATCH(B799,Calendar!$A$2:$A$25,0)),"UNMATCHED")</f>
        <v>Forecast</v>
      </c>
      <c r="M799" s="42" t="n">
        <f aca="false">Sales_Transactions!F799</f>
        <v>401</v>
      </c>
      <c r="N799" s="52" t="n">
        <f aca="false">Sales_Transactions!I799</f>
        <v>126792.19</v>
      </c>
      <c r="O799" s="52" t="n">
        <f aca="false">Sales_Transactions!J799</f>
        <v>86840.56</v>
      </c>
      <c r="P799" s="52" t="n">
        <f aca="false">Sales_Transactions!K799</f>
        <v>39951.63</v>
      </c>
      <c r="Q799" s="42" t="n">
        <f aca="false">IF(ISNUMBER(MATCH(E799,Product_Master!$A$2:$A$9,0)),0,1)</f>
        <v>0</v>
      </c>
      <c r="R799" s="42" t="n">
        <f aca="false">IF(ISNUMBER(MATCH(D799,Customer_Master!$A$2:$A$49,0)),0,1)</f>
        <v>0</v>
      </c>
      <c r="S799" s="42" t="n">
        <f aca="false">IF(ISNUMBER(MATCH(B799,Calendar!$A$2:$A$25,0)),0,1)</f>
        <v>0</v>
      </c>
      <c r="T799" s="42" t="n">
        <f aca="false">IF(COUNTIF(Sales_Transactions!$A$2:$A$865,A799)&gt;1,1,0)</f>
        <v>0</v>
      </c>
      <c r="U799" s="42" t="n">
        <f aca="false">IF(OR(ABS(Sales_Transactions!F799*Sales_Transactions!G799-Sales_Transactions!I799)&gt;0.01,ABS(Sales_Transactions!F799*Sales_Transactions!H799-Sales_Transactions!J799)&gt;0.01,ABS(Sales_Transactions!I799-Sales_Transactions!J799-Sales_Transactions!K799)&gt;0.01),1,0)</f>
        <v>0</v>
      </c>
      <c r="V799" s="42" t="n">
        <f aca="false">IF(C799&lt;&gt;L799,1,0)</f>
        <v>0</v>
      </c>
      <c r="W799" s="42" t="n">
        <f aca="false">IF(SUM(Q799:V799)&gt;0,1,0)</f>
        <v>0</v>
      </c>
    </row>
    <row r="800" customFormat="false" ht="15" hidden="false" customHeight="false" outlineLevel="0" collapsed="false">
      <c r="A800" s="42" t="str">
        <f aca="false">Sales_Transactions!A800</f>
        <v>INV-23-007</v>
      </c>
      <c r="B800" s="42" t="str">
        <f aca="false">Sales_Transactions!B800</f>
        <v>2026-11</v>
      </c>
      <c r="C800" s="42" t="str">
        <f aca="false">Sales_Transactions!C800</f>
        <v>Forecast</v>
      </c>
      <c r="D800" s="42" t="str">
        <f aca="false">Sales_Transactions!D800</f>
        <v>C013</v>
      </c>
      <c r="E800" s="42" t="str">
        <f aca="false">Sales_Transactions!E800</f>
        <v>P005</v>
      </c>
      <c r="F800" s="42" t="str">
        <f aca="false">IFERROR(INDEX(Customer_Master!$C$2:$C$49,MATCH(D800,Customer_Master!$A$2:$A$49,0)),"UNMATCHED")</f>
        <v>South</v>
      </c>
      <c r="G800" s="42" t="str">
        <f aca="false">IFERROR(INDEX(Customer_Master!$D$2:$D$49,MATCH(D800,Customer_Master!$A$2:$A$49,0)),"UNMATCHED")</f>
        <v>Distributor</v>
      </c>
      <c r="H800" s="42" t="str">
        <f aca="false">IFERROR(INDEX(Product_Master!$C$2:$C$9,MATCH(E800,Product_Master!$A$2:$A$9,0)),"UNMATCHED")</f>
        <v>Foods</v>
      </c>
      <c r="I800" s="42" t="str">
        <f aca="false">IFERROR(INDEX(Product_Master!$B$2:$B$9,MATCH(E800,Product_Master!$A$2:$A$9,0)),"UNMATCHED")</f>
        <v>Biscuits 500g</v>
      </c>
      <c r="J800" s="42" t="n">
        <f aca="false">IFERROR(INDEX(Calendar!$B$2:$B$25,MATCH(B800,Calendar!$A$2:$A$25,0)),0)</f>
        <v>2026</v>
      </c>
      <c r="K800" s="42" t="n">
        <f aca="false">IFERROR(VALUE(RIGHT(B800,2)),0)</f>
        <v>11</v>
      </c>
      <c r="L800" s="42" t="str">
        <f aca="false">IFERROR(INDEX(Calendar!$E$2:$E$25,MATCH(B800,Calendar!$A$2:$A$25,0)),"UNMATCHED")</f>
        <v>Forecast</v>
      </c>
      <c r="M800" s="42" t="n">
        <f aca="false">Sales_Transactions!F800</f>
        <v>332</v>
      </c>
      <c r="N800" s="52" t="n">
        <f aca="false">Sales_Transactions!I800</f>
        <v>35633.56</v>
      </c>
      <c r="O800" s="52" t="n">
        <f aca="false">Sales_Transactions!J800</f>
        <v>21397.4</v>
      </c>
      <c r="P800" s="52" t="n">
        <f aca="false">Sales_Transactions!K800</f>
        <v>14236.16</v>
      </c>
      <c r="Q800" s="42" t="n">
        <f aca="false">IF(ISNUMBER(MATCH(E800,Product_Master!$A$2:$A$9,0)),0,1)</f>
        <v>0</v>
      </c>
      <c r="R800" s="42" t="n">
        <f aca="false">IF(ISNUMBER(MATCH(D800,Customer_Master!$A$2:$A$49,0)),0,1)</f>
        <v>0</v>
      </c>
      <c r="S800" s="42" t="n">
        <f aca="false">IF(ISNUMBER(MATCH(B800,Calendar!$A$2:$A$25,0)),0,1)</f>
        <v>0</v>
      </c>
      <c r="T800" s="42" t="n">
        <f aca="false">IF(COUNTIF(Sales_Transactions!$A$2:$A$865,A800)&gt;1,1,0)</f>
        <v>0</v>
      </c>
      <c r="U800" s="42" t="n">
        <f aca="false">IF(OR(ABS(Sales_Transactions!F800*Sales_Transactions!G800-Sales_Transactions!I800)&gt;0.01,ABS(Sales_Transactions!F800*Sales_Transactions!H800-Sales_Transactions!J800)&gt;0.01,ABS(Sales_Transactions!I800-Sales_Transactions!J800-Sales_Transactions!K800)&gt;0.01),1,0)</f>
        <v>0</v>
      </c>
      <c r="V800" s="42" t="n">
        <f aca="false">IF(C800&lt;&gt;L800,1,0)</f>
        <v>0</v>
      </c>
      <c r="W800" s="42" t="n">
        <f aca="false">IF(SUM(Q800:V800)&gt;0,1,0)</f>
        <v>0</v>
      </c>
    </row>
    <row r="801" customFormat="false" ht="15" hidden="false" customHeight="false" outlineLevel="0" collapsed="false">
      <c r="A801" s="42" t="str">
        <f aca="false">Sales_Transactions!A801</f>
        <v>INV-23-008</v>
      </c>
      <c r="B801" s="42" t="str">
        <f aca="false">Sales_Transactions!B801</f>
        <v>2026-11</v>
      </c>
      <c r="C801" s="42" t="str">
        <f aca="false">Sales_Transactions!C801</f>
        <v>Forecast</v>
      </c>
      <c r="D801" s="42" t="str">
        <f aca="false">Sales_Transactions!D801</f>
        <v>C020</v>
      </c>
      <c r="E801" s="42" t="str">
        <f aca="false">Sales_Transactions!E801</f>
        <v>P002</v>
      </c>
      <c r="F801" s="42" t="str">
        <f aca="false">IFERROR(INDEX(Customer_Master!$C$2:$C$49,MATCH(D801,Customer_Master!$A$2:$A$49,0)),"UNMATCHED")</f>
        <v>East</v>
      </c>
      <c r="G801" s="42" t="str">
        <f aca="false">IFERROR(INDEX(Customer_Master!$D$2:$D$49,MATCH(D801,Customer_Master!$A$2:$A$49,0)),"UNMATCHED")</f>
        <v>Modern Trade</v>
      </c>
      <c r="H801" s="42" t="str">
        <f aca="false">IFERROR(INDEX(Product_Master!$C$2:$C$9,MATCH(E801,Product_Master!$A$2:$A$9,0)),"UNMATCHED")</f>
        <v>Home Care</v>
      </c>
      <c r="I801" s="42" t="str">
        <f aca="false">IFERROR(INDEX(Product_Master!$B$2:$B$9,MATCH(E801,Product_Master!$A$2:$A$9,0)),"UNMATCHED")</f>
        <v>Dishwash Gel</v>
      </c>
      <c r="J801" s="42" t="n">
        <f aca="false">IFERROR(INDEX(Calendar!$B$2:$B$25,MATCH(B801,Calendar!$A$2:$A$25,0)),0)</f>
        <v>2026</v>
      </c>
      <c r="K801" s="42" t="n">
        <f aca="false">IFERROR(VALUE(RIGHT(B801,2)),0)</f>
        <v>11</v>
      </c>
      <c r="L801" s="42" t="str">
        <f aca="false">IFERROR(INDEX(Calendar!$E$2:$E$25,MATCH(B801,Calendar!$A$2:$A$25,0)),"UNMATCHED")</f>
        <v>Forecast</v>
      </c>
      <c r="M801" s="42" t="n">
        <f aca="false">Sales_Transactions!F801</f>
        <v>357</v>
      </c>
      <c r="N801" s="52" t="n">
        <f aca="false">Sales_Transactions!I801</f>
        <v>49783.65</v>
      </c>
      <c r="O801" s="52" t="n">
        <f aca="false">Sales_Transactions!J801</f>
        <v>28145.88</v>
      </c>
      <c r="P801" s="52" t="n">
        <f aca="false">Sales_Transactions!K801</f>
        <v>21637.77</v>
      </c>
      <c r="Q801" s="42" t="n">
        <f aca="false">IF(ISNUMBER(MATCH(E801,Product_Master!$A$2:$A$9,0)),0,1)</f>
        <v>0</v>
      </c>
      <c r="R801" s="42" t="n">
        <f aca="false">IF(ISNUMBER(MATCH(D801,Customer_Master!$A$2:$A$49,0)),0,1)</f>
        <v>0</v>
      </c>
      <c r="S801" s="42" t="n">
        <f aca="false">IF(ISNUMBER(MATCH(B801,Calendar!$A$2:$A$25,0)),0,1)</f>
        <v>0</v>
      </c>
      <c r="T801" s="42" t="n">
        <f aca="false">IF(COUNTIF(Sales_Transactions!$A$2:$A$865,A801)&gt;1,1,0)</f>
        <v>0</v>
      </c>
      <c r="U801" s="42" t="n">
        <f aca="false">IF(OR(ABS(Sales_Transactions!F801*Sales_Transactions!G801-Sales_Transactions!I801)&gt;0.01,ABS(Sales_Transactions!F801*Sales_Transactions!H801-Sales_Transactions!J801)&gt;0.01,ABS(Sales_Transactions!I801-Sales_Transactions!J801-Sales_Transactions!K801)&gt;0.01),1,0)</f>
        <v>0</v>
      </c>
      <c r="V801" s="42" t="n">
        <f aca="false">IF(C801&lt;&gt;L801,1,0)</f>
        <v>0</v>
      </c>
      <c r="W801" s="42" t="n">
        <f aca="false">IF(SUM(Q801:V801)&gt;0,1,0)</f>
        <v>0</v>
      </c>
    </row>
    <row r="802" customFormat="false" ht="15" hidden="false" customHeight="false" outlineLevel="0" collapsed="false">
      <c r="A802" s="42" t="str">
        <f aca="false">Sales_Transactions!A802</f>
        <v>INV-23-009</v>
      </c>
      <c r="B802" s="42" t="str">
        <f aca="false">Sales_Transactions!B802</f>
        <v>2026-11</v>
      </c>
      <c r="C802" s="42" t="str">
        <f aca="false">Sales_Transactions!C802</f>
        <v>Forecast</v>
      </c>
      <c r="D802" s="42" t="str">
        <f aca="false">Sales_Transactions!D802</f>
        <v>C027</v>
      </c>
      <c r="E802" s="42" t="str">
        <f aca="false">Sales_Transactions!E802</f>
        <v>P007</v>
      </c>
      <c r="F802" s="42" t="str">
        <f aca="false">IFERROR(INDEX(Customer_Master!$C$2:$C$49,MATCH(D802,Customer_Master!$A$2:$A$49,0)),"UNMATCHED")</f>
        <v>West</v>
      </c>
      <c r="G802" s="42" t="str">
        <f aca="false">IFERROR(INDEX(Customer_Master!$D$2:$D$49,MATCH(D802,Customer_Master!$A$2:$A$49,0)),"UNMATCHED")</f>
        <v>Retail</v>
      </c>
      <c r="H802" s="42" t="str">
        <f aca="false">IFERROR(INDEX(Product_Master!$C$2:$C$9,MATCH(E802,Product_Master!$A$2:$A$9,0)),"UNMATCHED")</f>
        <v>Home Care</v>
      </c>
      <c r="I802" s="42" t="str">
        <f aca="false">IFERROR(INDEX(Product_Master!$B$2:$B$9,MATCH(E802,Product_Master!$A$2:$A$9,0)),"UNMATCHED")</f>
        <v>Floor Cleaner</v>
      </c>
      <c r="J802" s="42" t="n">
        <f aca="false">IFERROR(INDEX(Calendar!$B$2:$B$25,MATCH(B802,Calendar!$A$2:$A$25,0)),0)</f>
        <v>2026</v>
      </c>
      <c r="K802" s="42" t="n">
        <f aca="false">IFERROR(VALUE(RIGHT(B802,2)),0)</f>
        <v>11</v>
      </c>
      <c r="L802" s="42" t="str">
        <f aca="false">IFERROR(INDEX(Calendar!$E$2:$E$25,MATCH(B802,Calendar!$A$2:$A$25,0)),"UNMATCHED")</f>
        <v>Forecast</v>
      </c>
      <c r="M802" s="42" t="n">
        <f aca="false">Sales_Transactions!F802</f>
        <v>356</v>
      </c>
      <c r="N802" s="52" t="n">
        <f aca="false">Sales_Transactions!I802</f>
        <v>66550.64</v>
      </c>
      <c r="O802" s="52" t="n">
        <f aca="false">Sales_Transactions!J802</f>
        <v>40840.32</v>
      </c>
      <c r="P802" s="52" t="n">
        <f aca="false">Sales_Transactions!K802</f>
        <v>25710.32</v>
      </c>
      <c r="Q802" s="42" t="n">
        <f aca="false">IF(ISNUMBER(MATCH(E802,Product_Master!$A$2:$A$9,0)),0,1)</f>
        <v>0</v>
      </c>
      <c r="R802" s="42" t="n">
        <f aca="false">IF(ISNUMBER(MATCH(D802,Customer_Master!$A$2:$A$49,0)),0,1)</f>
        <v>0</v>
      </c>
      <c r="S802" s="42" t="n">
        <f aca="false">IF(ISNUMBER(MATCH(B802,Calendar!$A$2:$A$25,0)),0,1)</f>
        <v>0</v>
      </c>
      <c r="T802" s="42" t="n">
        <f aca="false">IF(COUNTIF(Sales_Transactions!$A$2:$A$865,A802)&gt;1,1,0)</f>
        <v>0</v>
      </c>
      <c r="U802" s="42" t="n">
        <f aca="false">IF(OR(ABS(Sales_Transactions!F802*Sales_Transactions!G802-Sales_Transactions!I802)&gt;0.01,ABS(Sales_Transactions!F802*Sales_Transactions!H802-Sales_Transactions!J802)&gt;0.01,ABS(Sales_Transactions!I802-Sales_Transactions!J802-Sales_Transactions!K802)&gt;0.01),1,0)</f>
        <v>0</v>
      </c>
      <c r="V802" s="42" t="n">
        <f aca="false">IF(C802&lt;&gt;L802,1,0)</f>
        <v>0</v>
      </c>
      <c r="W802" s="42" t="n">
        <f aca="false">IF(SUM(Q802:V802)&gt;0,1,0)</f>
        <v>0</v>
      </c>
    </row>
    <row r="803" customFormat="false" ht="15" hidden="false" customHeight="false" outlineLevel="0" collapsed="false">
      <c r="A803" s="42" t="str">
        <f aca="false">Sales_Transactions!A803</f>
        <v>INV-23-010</v>
      </c>
      <c r="B803" s="42" t="str">
        <f aca="false">Sales_Transactions!B803</f>
        <v>2026-11</v>
      </c>
      <c r="C803" s="42" t="str">
        <f aca="false">Sales_Transactions!C803</f>
        <v>Forecast</v>
      </c>
      <c r="D803" s="42" t="str">
        <f aca="false">Sales_Transactions!D803</f>
        <v>C034</v>
      </c>
      <c r="E803" s="42" t="str">
        <f aca="false">Sales_Transactions!E803</f>
        <v>P004</v>
      </c>
      <c r="F803" s="42" t="str">
        <f aca="false">IFERROR(INDEX(Customer_Master!$C$2:$C$49,MATCH(D803,Customer_Master!$A$2:$A$49,0)),"UNMATCHED")</f>
        <v>North</v>
      </c>
      <c r="G803" s="42" t="str">
        <f aca="false">IFERROR(INDEX(Customer_Master!$D$2:$D$49,MATCH(D803,Customer_Master!$A$2:$A$49,0)),"UNMATCHED")</f>
        <v>Distributor</v>
      </c>
      <c r="H803" s="42" t="str">
        <f aca="false">IFERROR(INDEX(Product_Master!$C$2:$C$9,MATCH(E803,Product_Master!$A$2:$A$9,0)),"UNMATCHED")</f>
        <v>Personal Care</v>
      </c>
      <c r="I803" s="42" t="str">
        <f aca="false">IFERROR(INDEX(Product_Master!$B$2:$B$9,MATCH(E803,Product_Master!$A$2:$A$9,0)),"UNMATCHED")</f>
        <v>Soap 4-pack</v>
      </c>
      <c r="J803" s="42" t="n">
        <f aca="false">IFERROR(INDEX(Calendar!$B$2:$B$25,MATCH(B803,Calendar!$A$2:$A$25,0)),0)</f>
        <v>2026</v>
      </c>
      <c r="K803" s="42" t="n">
        <f aca="false">IFERROR(VALUE(RIGHT(B803,2)),0)</f>
        <v>11</v>
      </c>
      <c r="L803" s="42" t="str">
        <f aca="false">IFERROR(INDEX(Calendar!$E$2:$E$25,MATCH(B803,Calendar!$A$2:$A$25,0)),"UNMATCHED")</f>
        <v>Forecast</v>
      </c>
      <c r="M803" s="42" t="n">
        <f aca="false">Sales_Transactions!F803</f>
        <v>231</v>
      </c>
      <c r="N803" s="52" t="n">
        <f aca="false">Sales_Transactions!I803</f>
        <v>36068.34</v>
      </c>
      <c r="O803" s="52" t="n">
        <f aca="false">Sales_Transactions!J803</f>
        <v>23453.43</v>
      </c>
      <c r="P803" s="52" t="n">
        <f aca="false">Sales_Transactions!K803</f>
        <v>12614.91</v>
      </c>
      <c r="Q803" s="42" t="n">
        <f aca="false">IF(ISNUMBER(MATCH(E803,Product_Master!$A$2:$A$9,0)),0,1)</f>
        <v>0</v>
      </c>
      <c r="R803" s="42" t="n">
        <f aca="false">IF(ISNUMBER(MATCH(D803,Customer_Master!$A$2:$A$49,0)),0,1)</f>
        <v>0</v>
      </c>
      <c r="S803" s="42" t="n">
        <f aca="false">IF(ISNUMBER(MATCH(B803,Calendar!$A$2:$A$25,0)),0,1)</f>
        <v>0</v>
      </c>
      <c r="T803" s="42" t="n">
        <f aca="false">IF(COUNTIF(Sales_Transactions!$A$2:$A$865,A803)&gt;1,1,0)</f>
        <v>0</v>
      </c>
      <c r="U803" s="42" t="n">
        <f aca="false">IF(OR(ABS(Sales_Transactions!F803*Sales_Transactions!G803-Sales_Transactions!I803)&gt;0.01,ABS(Sales_Transactions!F803*Sales_Transactions!H803-Sales_Transactions!J803)&gt;0.01,ABS(Sales_Transactions!I803-Sales_Transactions!J803-Sales_Transactions!K803)&gt;0.01),1,0)</f>
        <v>0</v>
      </c>
      <c r="V803" s="42" t="n">
        <f aca="false">IF(C803&lt;&gt;L803,1,0)</f>
        <v>0</v>
      </c>
      <c r="W803" s="42" t="n">
        <f aca="false">IF(SUM(Q803:V803)&gt;0,1,0)</f>
        <v>0</v>
      </c>
    </row>
    <row r="804" customFormat="false" ht="15" hidden="false" customHeight="false" outlineLevel="0" collapsed="false">
      <c r="A804" s="42" t="str">
        <f aca="false">Sales_Transactions!A804</f>
        <v>INV-23-011</v>
      </c>
      <c r="B804" s="42" t="str">
        <f aca="false">Sales_Transactions!B804</f>
        <v>2026-11</v>
      </c>
      <c r="C804" s="42" t="str">
        <f aca="false">Sales_Transactions!C804</f>
        <v>Forecast</v>
      </c>
      <c r="D804" s="42" t="str">
        <f aca="false">Sales_Transactions!D804</f>
        <v>C041</v>
      </c>
      <c r="E804" s="42" t="str">
        <f aca="false">Sales_Transactions!E804</f>
        <v>P001</v>
      </c>
      <c r="F804" s="42" t="str">
        <f aca="false">IFERROR(INDEX(Customer_Master!$C$2:$C$49,MATCH(D804,Customer_Master!$A$2:$A$49,0)),"UNMATCHED")</f>
        <v>South</v>
      </c>
      <c r="G804" s="42" t="str">
        <f aca="false">IFERROR(INDEX(Customer_Master!$D$2:$D$49,MATCH(D804,Customer_Master!$A$2:$A$49,0)),"UNMATCHED")</f>
        <v>Modern Trade</v>
      </c>
      <c r="H804" s="42" t="str">
        <f aca="false">IFERROR(INDEX(Product_Master!$C$2:$C$9,MATCH(E804,Product_Master!$A$2:$A$9,0)),"UNMATCHED")</f>
        <v>Home Care</v>
      </c>
      <c r="I804" s="42" t="str">
        <f aca="false">IFERROR(INDEX(Product_Master!$B$2:$B$9,MATCH(E804,Product_Master!$A$2:$A$9,0)),"UNMATCHED")</f>
        <v>Detergent 1kg</v>
      </c>
      <c r="J804" s="42" t="n">
        <f aca="false">IFERROR(INDEX(Calendar!$B$2:$B$25,MATCH(B804,Calendar!$A$2:$A$25,0)),0)</f>
        <v>2026</v>
      </c>
      <c r="K804" s="42" t="n">
        <f aca="false">IFERROR(VALUE(RIGHT(B804,2)),0)</f>
        <v>11</v>
      </c>
      <c r="L804" s="42" t="str">
        <f aca="false">IFERROR(INDEX(Calendar!$E$2:$E$25,MATCH(B804,Calendar!$A$2:$A$25,0)),"UNMATCHED")</f>
        <v>Forecast</v>
      </c>
      <c r="M804" s="42" t="n">
        <f aca="false">Sales_Transactions!F804</f>
        <v>430</v>
      </c>
      <c r="N804" s="52" t="n">
        <f aca="false">Sales_Transactions!I804</f>
        <v>85419.5</v>
      </c>
      <c r="O804" s="52" t="n">
        <f aca="false">Sales_Transactions!J804</f>
        <v>60892.3</v>
      </c>
      <c r="P804" s="52" t="n">
        <f aca="false">Sales_Transactions!K804</f>
        <v>24527.2</v>
      </c>
      <c r="Q804" s="42" t="n">
        <f aca="false">IF(ISNUMBER(MATCH(E804,Product_Master!$A$2:$A$9,0)),0,1)</f>
        <v>0</v>
      </c>
      <c r="R804" s="42" t="n">
        <f aca="false">IF(ISNUMBER(MATCH(D804,Customer_Master!$A$2:$A$49,0)),0,1)</f>
        <v>0</v>
      </c>
      <c r="S804" s="42" t="n">
        <f aca="false">IF(ISNUMBER(MATCH(B804,Calendar!$A$2:$A$25,0)),0,1)</f>
        <v>0</v>
      </c>
      <c r="T804" s="42" t="n">
        <f aca="false">IF(COUNTIF(Sales_Transactions!$A$2:$A$865,A804)&gt;1,1,0)</f>
        <v>0</v>
      </c>
      <c r="U804" s="42" t="n">
        <f aca="false">IF(OR(ABS(Sales_Transactions!F804*Sales_Transactions!G804-Sales_Transactions!I804)&gt;0.01,ABS(Sales_Transactions!F804*Sales_Transactions!H804-Sales_Transactions!J804)&gt;0.01,ABS(Sales_Transactions!I804-Sales_Transactions!J804-Sales_Transactions!K804)&gt;0.01),1,0)</f>
        <v>0</v>
      </c>
      <c r="V804" s="42" t="n">
        <f aca="false">IF(C804&lt;&gt;L804,1,0)</f>
        <v>0</v>
      </c>
      <c r="W804" s="42" t="n">
        <f aca="false">IF(SUM(Q804:V804)&gt;0,1,0)</f>
        <v>0</v>
      </c>
    </row>
    <row r="805" customFormat="false" ht="15" hidden="false" customHeight="false" outlineLevel="0" collapsed="false">
      <c r="A805" s="42" t="str">
        <f aca="false">Sales_Transactions!A805</f>
        <v>INV-23-012</v>
      </c>
      <c r="B805" s="42" t="str">
        <f aca="false">Sales_Transactions!B805</f>
        <v>2026-11</v>
      </c>
      <c r="C805" s="42" t="str">
        <f aca="false">Sales_Transactions!C805</f>
        <v>Forecast</v>
      </c>
      <c r="D805" s="42" t="str">
        <f aca="false">Sales_Transactions!D805</f>
        <v>C048</v>
      </c>
      <c r="E805" s="42" t="str">
        <f aca="false">Sales_Transactions!E805</f>
        <v>P006</v>
      </c>
      <c r="F805" s="42" t="str">
        <f aca="false">IFERROR(INDEX(Customer_Master!$C$2:$C$49,MATCH(D805,Customer_Master!$A$2:$A$49,0)),"UNMATCHED")</f>
        <v>East</v>
      </c>
      <c r="G805" s="42" t="str">
        <f aca="false">IFERROR(INDEX(Customer_Master!$D$2:$D$49,MATCH(D805,Customer_Master!$A$2:$A$49,0)),"UNMATCHED")</f>
        <v>Retail</v>
      </c>
      <c r="H805" s="42" t="str">
        <f aca="false">IFERROR(INDEX(Product_Master!$C$2:$C$9,MATCH(E805,Product_Master!$A$2:$A$9,0)),"UNMATCHED")</f>
        <v>Foods</v>
      </c>
      <c r="I805" s="42" t="str">
        <f aca="false">IFERROR(INDEX(Product_Master!$B$2:$B$9,MATCH(E805,Product_Master!$A$2:$A$9,0)),"UNMATCHED")</f>
        <v>Breakfast Cereal</v>
      </c>
      <c r="J805" s="42" t="n">
        <f aca="false">IFERROR(INDEX(Calendar!$B$2:$B$25,MATCH(B805,Calendar!$A$2:$A$25,0)),0)</f>
        <v>2026</v>
      </c>
      <c r="K805" s="42" t="n">
        <f aca="false">IFERROR(VALUE(RIGHT(B805,2)),0)</f>
        <v>11</v>
      </c>
      <c r="L805" s="42" t="str">
        <f aca="false">IFERROR(INDEX(Calendar!$E$2:$E$25,MATCH(B805,Calendar!$A$2:$A$25,0)),"UNMATCHED")</f>
        <v>Forecast</v>
      </c>
      <c r="M805" s="42" t="n">
        <f aca="false">Sales_Transactions!F805</f>
        <v>176</v>
      </c>
      <c r="N805" s="52" t="n">
        <f aca="false">Sales_Transactions!I805</f>
        <v>40568</v>
      </c>
      <c r="O805" s="52" t="n">
        <f aca="false">Sales_Transactions!J805</f>
        <v>26674.56</v>
      </c>
      <c r="P805" s="52" t="n">
        <f aca="false">Sales_Transactions!K805</f>
        <v>13893.44</v>
      </c>
      <c r="Q805" s="42" t="n">
        <f aca="false">IF(ISNUMBER(MATCH(E805,Product_Master!$A$2:$A$9,0)),0,1)</f>
        <v>0</v>
      </c>
      <c r="R805" s="42" t="n">
        <f aca="false">IF(ISNUMBER(MATCH(D805,Customer_Master!$A$2:$A$49,0)),0,1)</f>
        <v>0</v>
      </c>
      <c r="S805" s="42" t="n">
        <f aca="false">IF(ISNUMBER(MATCH(B805,Calendar!$A$2:$A$25,0)),0,1)</f>
        <v>0</v>
      </c>
      <c r="T805" s="42" t="n">
        <f aca="false">IF(COUNTIF(Sales_Transactions!$A$2:$A$865,A805)&gt;1,1,0)</f>
        <v>0</v>
      </c>
      <c r="U805" s="42" t="n">
        <f aca="false">IF(OR(ABS(Sales_Transactions!F805*Sales_Transactions!G805-Sales_Transactions!I805)&gt;0.01,ABS(Sales_Transactions!F805*Sales_Transactions!H805-Sales_Transactions!J805)&gt;0.01,ABS(Sales_Transactions!I805-Sales_Transactions!J805-Sales_Transactions!K805)&gt;0.01),1,0)</f>
        <v>0</v>
      </c>
      <c r="V805" s="42" t="n">
        <f aca="false">IF(C805&lt;&gt;L805,1,0)</f>
        <v>0</v>
      </c>
      <c r="W805" s="42" t="n">
        <f aca="false">IF(SUM(Q805:V805)&gt;0,1,0)</f>
        <v>0</v>
      </c>
    </row>
    <row r="806" customFormat="false" ht="15" hidden="false" customHeight="false" outlineLevel="0" collapsed="false">
      <c r="A806" s="42" t="str">
        <f aca="false">Sales_Transactions!A806</f>
        <v>INV-23-013</v>
      </c>
      <c r="B806" s="42" t="str">
        <f aca="false">Sales_Transactions!B806</f>
        <v>2026-11</v>
      </c>
      <c r="C806" s="42" t="str">
        <f aca="false">Sales_Transactions!C806</f>
        <v>Forecast</v>
      </c>
      <c r="D806" s="42" t="str">
        <f aca="false">Sales_Transactions!D806</f>
        <v>C007</v>
      </c>
      <c r="E806" s="42" t="str">
        <f aca="false">Sales_Transactions!E806</f>
        <v>P003</v>
      </c>
      <c r="F806" s="42" t="str">
        <f aca="false">IFERROR(INDEX(Customer_Master!$C$2:$C$49,MATCH(D806,Customer_Master!$A$2:$A$49,0)),"UNMATCHED")</f>
        <v>West</v>
      </c>
      <c r="G806" s="42" t="str">
        <f aca="false">IFERROR(INDEX(Customer_Master!$D$2:$D$49,MATCH(D806,Customer_Master!$A$2:$A$49,0)),"UNMATCHED")</f>
        <v>Distributor</v>
      </c>
      <c r="H806" s="42" t="str">
        <f aca="false">IFERROR(INDEX(Product_Master!$C$2:$C$9,MATCH(E806,Product_Master!$A$2:$A$9,0)),"UNMATCHED")</f>
        <v>Personal Care</v>
      </c>
      <c r="I806" s="42" t="str">
        <f aca="false">IFERROR(INDEX(Product_Master!$B$2:$B$9,MATCH(E806,Product_Master!$A$2:$A$9,0)),"UNMATCHED")</f>
        <v>Shampoo 400ml</v>
      </c>
      <c r="J806" s="42" t="n">
        <f aca="false">IFERROR(INDEX(Calendar!$B$2:$B$25,MATCH(B806,Calendar!$A$2:$A$25,0)),0)</f>
        <v>2026</v>
      </c>
      <c r="K806" s="42" t="n">
        <f aca="false">IFERROR(VALUE(RIGHT(B806,2)),0)</f>
        <v>11</v>
      </c>
      <c r="L806" s="42" t="str">
        <f aca="false">IFERROR(INDEX(Calendar!$E$2:$E$25,MATCH(B806,Calendar!$A$2:$A$25,0)),"UNMATCHED")</f>
        <v>Forecast</v>
      </c>
      <c r="M806" s="42" t="n">
        <f aca="false">Sales_Transactions!F806</f>
        <v>161</v>
      </c>
      <c r="N806" s="52" t="n">
        <f aca="false">Sales_Transactions!I806</f>
        <v>41533.17</v>
      </c>
      <c r="O806" s="52" t="n">
        <f aca="false">Sales_Transactions!J806</f>
        <v>28477.68</v>
      </c>
      <c r="P806" s="52" t="n">
        <f aca="false">Sales_Transactions!K806</f>
        <v>13055.49</v>
      </c>
      <c r="Q806" s="42" t="n">
        <f aca="false">IF(ISNUMBER(MATCH(E806,Product_Master!$A$2:$A$9,0)),0,1)</f>
        <v>0</v>
      </c>
      <c r="R806" s="42" t="n">
        <f aca="false">IF(ISNUMBER(MATCH(D806,Customer_Master!$A$2:$A$49,0)),0,1)</f>
        <v>0</v>
      </c>
      <c r="S806" s="42" t="n">
        <f aca="false">IF(ISNUMBER(MATCH(B806,Calendar!$A$2:$A$25,0)),0,1)</f>
        <v>0</v>
      </c>
      <c r="T806" s="42" t="n">
        <f aca="false">IF(COUNTIF(Sales_Transactions!$A$2:$A$865,A806)&gt;1,1,0)</f>
        <v>0</v>
      </c>
      <c r="U806" s="42" t="n">
        <f aca="false">IF(OR(ABS(Sales_Transactions!F806*Sales_Transactions!G806-Sales_Transactions!I806)&gt;0.01,ABS(Sales_Transactions!F806*Sales_Transactions!H806-Sales_Transactions!J806)&gt;0.01,ABS(Sales_Transactions!I806-Sales_Transactions!J806-Sales_Transactions!K806)&gt;0.01),1,0)</f>
        <v>0</v>
      </c>
      <c r="V806" s="42" t="n">
        <f aca="false">IF(C806&lt;&gt;L806,1,0)</f>
        <v>0</v>
      </c>
      <c r="W806" s="42" t="n">
        <f aca="false">IF(SUM(Q806:V806)&gt;0,1,0)</f>
        <v>0</v>
      </c>
    </row>
    <row r="807" customFormat="false" ht="15" hidden="false" customHeight="false" outlineLevel="0" collapsed="false">
      <c r="A807" s="42" t="str">
        <f aca="false">Sales_Transactions!A807</f>
        <v>INV-23-014</v>
      </c>
      <c r="B807" s="42" t="str">
        <f aca="false">Sales_Transactions!B807</f>
        <v>2026-11</v>
      </c>
      <c r="C807" s="42" t="str">
        <f aca="false">Sales_Transactions!C807</f>
        <v>Forecast</v>
      </c>
      <c r="D807" s="42" t="str">
        <f aca="false">Sales_Transactions!D807</f>
        <v>C014</v>
      </c>
      <c r="E807" s="42" t="str">
        <f aca="false">Sales_Transactions!E807</f>
        <v>P008</v>
      </c>
      <c r="F807" s="42" t="str">
        <f aca="false">IFERROR(INDEX(Customer_Master!$C$2:$C$49,MATCH(D807,Customer_Master!$A$2:$A$49,0)),"UNMATCHED")</f>
        <v>North</v>
      </c>
      <c r="G807" s="42" t="str">
        <f aca="false">IFERROR(INDEX(Customer_Master!$D$2:$D$49,MATCH(D807,Customer_Master!$A$2:$A$49,0)),"UNMATCHED")</f>
        <v>Modern Trade</v>
      </c>
      <c r="H807" s="42" t="str">
        <f aca="false">IFERROR(INDEX(Product_Master!$C$2:$C$9,MATCH(E807,Product_Master!$A$2:$A$9,0)),"UNMATCHED")</f>
        <v>Personal Care</v>
      </c>
      <c r="I807" s="42" t="str">
        <f aca="false">IFERROR(INDEX(Product_Master!$B$2:$B$9,MATCH(E807,Product_Master!$A$2:$A$9,0)),"UNMATCHED")</f>
        <v>Body Lotion</v>
      </c>
      <c r="J807" s="42" t="n">
        <f aca="false">IFERROR(INDEX(Calendar!$B$2:$B$25,MATCH(B807,Calendar!$A$2:$A$25,0)),0)</f>
        <v>2026</v>
      </c>
      <c r="K807" s="42" t="n">
        <f aca="false">IFERROR(VALUE(RIGHT(B807,2)),0)</f>
        <v>11</v>
      </c>
      <c r="L807" s="42" t="str">
        <f aca="false">IFERROR(INDEX(Calendar!$E$2:$E$25,MATCH(B807,Calendar!$A$2:$A$25,0)),"UNMATCHED")</f>
        <v>Forecast</v>
      </c>
      <c r="M807" s="42" t="n">
        <f aca="false">Sales_Transactions!F807</f>
        <v>214</v>
      </c>
      <c r="N807" s="52" t="n">
        <f aca="false">Sales_Transactions!I807</f>
        <v>69269.66</v>
      </c>
      <c r="O807" s="52" t="n">
        <f aca="false">Sales_Transactions!J807</f>
        <v>42885.6</v>
      </c>
      <c r="P807" s="52" t="n">
        <f aca="false">Sales_Transactions!K807</f>
        <v>26384.06</v>
      </c>
      <c r="Q807" s="42" t="n">
        <f aca="false">IF(ISNUMBER(MATCH(E807,Product_Master!$A$2:$A$9,0)),0,1)</f>
        <v>0</v>
      </c>
      <c r="R807" s="42" t="n">
        <f aca="false">IF(ISNUMBER(MATCH(D807,Customer_Master!$A$2:$A$49,0)),0,1)</f>
        <v>0</v>
      </c>
      <c r="S807" s="42" t="n">
        <f aca="false">IF(ISNUMBER(MATCH(B807,Calendar!$A$2:$A$25,0)),0,1)</f>
        <v>0</v>
      </c>
      <c r="T807" s="42" t="n">
        <f aca="false">IF(COUNTIF(Sales_Transactions!$A$2:$A$865,A807)&gt;1,1,0)</f>
        <v>0</v>
      </c>
      <c r="U807" s="42" t="n">
        <f aca="false">IF(OR(ABS(Sales_Transactions!F807*Sales_Transactions!G807-Sales_Transactions!I807)&gt;0.01,ABS(Sales_Transactions!F807*Sales_Transactions!H807-Sales_Transactions!J807)&gt;0.01,ABS(Sales_Transactions!I807-Sales_Transactions!J807-Sales_Transactions!K807)&gt;0.01),1,0)</f>
        <v>0</v>
      </c>
      <c r="V807" s="42" t="n">
        <f aca="false">IF(C807&lt;&gt;L807,1,0)</f>
        <v>0</v>
      </c>
      <c r="W807" s="42" t="n">
        <f aca="false">IF(SUM(Q807:V807)&gt;0,1,0)</f>
        <v>0</v>
      </c>
    </row>
    <row r="808" customFormat="false" ht="15" hidden="false" customHeight="false" outlineLevel="0" collapsed="false">
      <c r="A808" s="42" t="str">
        <f aca="false">Sales_Transactions!A808</f>
        <v>INV-23-015</v>
      </c>
      <c r="B808" s="42" t="str">
        <f aca="false">Sales_Transactions!B808</f>
        <v>2026-11</v>
      </c>
      <c r="C808" s="42" t="str">
        <f aca="false">Sales_Transactions!C808</f>
        <v>Forecast</v>
      </c>
      <c r="D808" s="42" t="str">
        <f aca="false">Sales_Transactions!D808</f>
        <v>C021</v>
      </c>
      <c r="E808" s="42" t="str">
        <f aca="false">Sales_Transactions!E808</f>
        <v>P005</v>
      </c>
      <c r="F808" s="42" t="str">
        <f aca="false">IFERROR(INDEX(Customer_Master!$C$2:$C$49,MATCH(D808,Customer_Master!$A$2:$A$49,0)),"UNMATCHED")</f>
        <v>South</v>
      </c>
      <c r="G808" s="42" t="str">
        <f aca="false">IFERROR(INDEX(Customer_Master!$D$2:$D$49,MATCH(D808,Customer_Master!$A$2:$A$49,0)),"UNMATCHED")</f>
        <v>Retail</v>
      </c>
      <c r="H808" s="42" t="str">
        <f aca="false">IFERROR(INDEX(Product_Master!$C$2:$C$9,MATCH(E808,Product_Master!$A$2:$A$9,0)),"UNMATCHED")</f>
        <v>Foods</v>
      </c>
      <c r="I808" s="42" t="str">
        <f aca="false">IFERROR(INDEX(Product_Master!$B$2:$B$9,MATCH(E808,Product_Master!$A$2:$A$9,0)),"UNMATCHED")</f>
        <v>Biscuits 500g</v>
      </c>
      <c r="J808" s="42" t="n">
        <f aca="false">IFERROR(INDEX(Calendar!$B$2:$B$25,MATCH(B808,Calendar!$A$2:$A$25,0)),0)</f>
        <v>2026</v>
      </c>
      <c r="K808" s="42" t="n">
        <f aca="false">IFERROR(VALUE(RIGHT(B808,2)),0)</f>
        <v>11</v>
      </c>
      <c r="L808" s="42" t="str">
        <f aca="false">IFERROR(INDEX(Calendar!$E$2:$E$25,MATCH(B808,Calendar!$A$2:$A$25,0)),"UNMATCHED")</f>
        <v>Forecast</v>
      </c>
      <c r="M808" s="42" t="n">
        <f aca="false">Sales_Transactions!F808</f>
        <v>288</v>
      </c>
      <c r="N808" s="52" t="n">
        <f aca="false">Sales_Transactions!I808</f>
        <v>28520.64</v>
      </c>
      <c r="O808" s="52" t="n">
        <f aca="false">Sales_Transactions!J808</f>
        <v>20744.64</v>
      </c>
      <c r="P808" s="52" t="n">
        <f aca="false">Sales_Transactions!K808</f>
        <v>7776</v>
      </c>
      <c r="Q808" s="42" t="n">
        <f aca="false">IF(ISNUMBER(MATCH(E808,Product_Master!$A$2:$A$9,0)),0,1)</f>
        <v>0</v>
      </c>
      <c r="R808" s="42" t="n">
        <f aca="false">IF(ISNUMBER(MATCH(D808,Customer_Master!$A$2:$A$49,0)),0,1)</f>
        <v>0</v>
      </c>
      <c r="S808" s="42" t="n">
        <f aca="false">IF(ISNUMBER(MATCH(B808,Calendar!$A$2:$A$25,0)),0,1)</f>
        <v>0</v>
      </c>
      <c r="T808" s="42" t="n">
        <f aca="false">IF(COUNTIF(Sales_Transactions!$A$2:$A$865,A808)&gt;1,1,0)</f>
        <v>0</v>
      </c>
      <c r="U808" s="42" t="n">
        <f aca="false">IF(OR(ABS(Sales_Transactions!F808*Sales_Transactions!G808-Sales_Transactions!I808)&gt;0.01,ABS(Sales_Transactions!F808*Sales_Transactions!H808-Sales_Transactions!J808)&gt;0.01,ABS(Sales_Transactions!I808-Sales_Transactions!J808-Sales_Transactions!K808)&gt;0.01),1,0)</f>
        <v>0</v>
      </c>
      <c r="V808" s="42" t="n">
        <f aca="false">IF(C808&lt;&gt;L808,1,0)</f>
        <v>0</v>
      </c>
      <c r="W808" s="42" t="n">
        <f aca="false">IF(SUM(Q808:V808)&gt;0,1,0)</f>
        <v>0</v>
      </c>
    </row>
    <row r="809" customFormat="false" ht="15" hidden="false" customHeight="false" outlineLevel="0" collapsed="false">
      <c r="A809" s="42" t="str">
        <f aca="false">Sales_Transactions!A809</f>
        <v>INV-23-016</v>
      </c>
      <c r="B809" s="42" t="str">
        <f aca="false">Sales_Transactions!B809</f>
        <v>2026-11</v>
      </c>
      <c r="C809" s="42" t="str">
        <f aca="false">Sales_Transactions!C809</f>
        <v>Forecast</v>
      </c>
      <c r="D809" s="42" t="str">
        <f aca="false">Sales_Transactions!D809</f>
        <v>C028</v>
      </c>
      <c r="E809" s="42" t="str">
        <f aca="false">Sales_Transactions!E809</f>
        <v>P002</v>
      </c>
      <c r="F809" s="42" t="str">
        <f aca="false">IFERROR(INDEX(Customer_Master!$C$2:$C$49,MATCH(D809,Customer_Master!$A$2:$A$49,0)),"UNMATCHED")</f>
        <v>East</v>
      </c>
      <c r="G809" s="42" t="str">
        <f aca="false">IFERROR(INDEX(Customer_Master!$D$2:$D$49,MATCH(D809,Customer_Master!$A$2:$A$49,0)),"UNMATCHED")</f>
        <v>Distributor</v>
      </c>
      <c r="H809" s="42" t="str">
        <f aca="false">IFERROR(INDEX(Product_Master!$C$2:$C$9,MATCH(E809,Product_Master!$A$2:$A$9,0)),"UNMATCHED")</f>
        <v>Home Care</v>
      </c>
      <c r="I809" s="42" t="str">
        <f aca="false">IFERROR(INDEX(Product_Master!$B$2:$B$9,MATCH(E809,Product_Master!$A$2:$A$9,0)),"UNMATCHED")</f>
        <v>Dishwash Gel</v>
      </c>
      <c r="J809" s="42" t="n">
        <f aca="false">IFERROR(INDEX(Calendar!$B$2:$B$25,MATCH(B809,Calendar!$A$2:$A$25,0)),0)</f>
        <v>2026</v>
      </c>
      <c r="K809" s="42" t="n">
        <f aca="false">IFERROR(VALUE(RIGHT(B809,2)),0)</f>
        <v>11</v>
      </c>
      <c r="L809" s="42" t="str">
        <f aca="false">IFERROR(INDEX(Calendar!$E$2:$E$25,MATCH(B809,Calendar!$A$2:$A$25,0)),"UNMATCHED")</f>
        <v>Forecast</v>
      </c>
      <c r="M809" s="42" t="n">
        <f aca="false">Sales_Transactions!F809</f>
        <v>320</v>
      </c>
      <c r="N809" s="52" t="n">
        <f aca="false">Sales_Transactions!I809</f>
        <v>44704</v>
      </c>
      <c r="O809" s="52" t="n">
        <f aca="false">Sales_Transactions!J809</f>
        <v>28307.2</v>
      </c>
      <c r="P809" s="52" t="n">
        <f aca="false">Sales_Transactions!K809</f>
        <v>16396.8</v>
      </c>
      <c r="Q809" s="42" t="n">
        <f aca="false">IF(ISNUMBER(MATCH(E809,Product_Master!$A$2:$A$9,0)),0,1)</f>
        <v>0</v>
      </c>
      <c r="R809" s="42" t="n">
        <f aca="false">IF(ISNUMBER(MATCH(D809,Customer_Master!$A$2:$A$49,0)),0,1)</f>
        <v>0</v>
      </c>
      <c r="S809" s="42" t="n">
        <f aca="false">IF(ISNUMBER(MATCH(B809,Calendar!$A$2:$A$25,0)),0,1)</f>
        <v>0</v>
      </c>
      <c r="T809" s="42" t="n">
        <f aca="false">IF(COUNTIF(Sales_Transactions!$A$2:$A$865,A809)&gt;1,1,0)</f>
        <v>0</v>
      </c>
      <c r="U809" s="42" t="n">
        <f aca="false">IF(OR(ABS(Sales_Transactions!F809*Sales_Transactions!G809-Sales_Transactions!I809)&gt;0.01,ABS(Sales_Transactions!F809*Sales_Transactions!H809-Sales_Transactions!J809)&gt;0.01,ABS(Sales_Transactions!I809-Sales_Transactions!J809-Sales_Transactions!K809)&gt;0.01),1,0)</f>
        <v>0</v>
      </c>
      <c r="V809" s="42" t="n">
        <f aca="false">IF(C809&lt;&gt;L809,1,0)</f>
        <v>0</v>
      </c>
      <c r="W809" s="42" t="n">
        <f aca="false">IF(SUM(Q809:V809)&gt;0,1,0)</f>
        <v>0</v>
      </c>
    </row>
    <row r="810" customFormat="false" ht="15" hidden="false" customHeight="false" outlineLevel="0" collapsed="false">
      <c r="A810" s="42" t="str">
        <f aca="false">Sales_Transactions!A810</f>
        <v>INV-23-017</v>
      </c>
      <c r="B810" s="42" t="str">
        <f aca="false">Sales_Transactions!B810</f>
        <v>2026-11</v>
      </c>
      <c r="C810" s="42" t="str">
        <f aca="false">Sales_Transactions!C810</f>
        <v>Forecast</v>
      </c>
      <c r="D810" s="42" t="str">
        <f aca="false">Sales_Transactions!D810</f>
        <v>C035</v>
      </c>
      <c r="E810" s="42" t="str">
        <f aca="false">Sales_Transactions!E810</f>
        <v>P007</v>
      </c>
      <c r="F810" s="42" t="str">
        <f aca="false">IFERROR(INDEX(Customer_Master!$C$2:$C$49,MATCH(D810,Customer_Master!$A$2:$A$49,0)),"UNMATCHED")</f>
        <v>West</v>
      </c>
      <c r="G810" s="42" t="str">
        <f aca="false">IFERROR(INDEX(Customer_Master!$D$2:$D$49,MATCH(D810,Customer_Master!$A$2:$A$49,0)),"UNMATCHED")</f>
        <v>Modern Trade</v>
      </c>
      <c r="H810" s="42" t="str">
        <f aca="false">IFERROR(INDEX(Product_Master!$C$2:$C$9,MATCH(E810,Product_Master!$A$2:$A$9,0)),"UNMATCHED")</f>
        <v>Home Care</v>
      </c>
      <c r="I810" s="42" t="str">
        <f aca="false">IFERROR(INDEX(Product_Master!$B$2:$B$9,MATCH(E810,Product_Master!$A$2:$A$9,0)),"UNMATCHED")</f>
        <v>Floor Cleaner</v>
      </c>
      <c r="J810" s="42" t="n">
        <f aca="false">IFERROR(INDEX(Calendar!$B$2:$B$25,MATCH(B810,Calendar!$A$2:$A$25,0)),0)</f>
        <v>2026</v>
      </c>
      <c r="K810" s="42" t="n">
        <f aca="false">IFERROR(VALUE(RIGHT(B810,2)),0)</f>
        <v>11</v>
      </c>
      <c r="L810" s="42" t="str">
        <f aca="false">IFERROR(INDEX(Calendar!$E$2:$E$25,MATCH(B810,Calendar!$A$2:$A$25,0)),"UNMATCHED")</f>
        <v>Forecast</v>
      </c>
      <c r="M810" s="42" t="n">
        <f aca="false">Sales_Transactions!F810</f>
        <v>200</v>
      </c>
      <c r="N810" s="52" t="n">
        <f aca="false">Sales_Transactions!I810</f>
        <v>35302</v>
      </c>
      <c r="O810" s="52" t="n">
        <f aca="false">Sales_Transactions!J810</f>
        <v>23730</v>
      </c>
      <c r="P810" s="52" t="n">
        <f aca="false">Sales_Transactions!K810</f>
        <v>11572</v>
      </c>
      <c r="Q810" s="42" t="n">
        <f aca="false">IF(ISNUMBER(MATCH(E810,Product_Master!$A$2:$A$9,0)),0,1)</f>
        <v>0</v>
      </c>
      <c r="R810" s="42" t="n">
        <f aca="false">IF(ISNUMBER(MATCH(D810,Customer_Master!$A$2:$A$49,0)),0,1)</f>
        <v>0</v>
      </c>
      <c r="S810" s="42" t="n">
        <f aca="false">IF(ISNUMBER(MATCH(B810,Calendar!$A$2:$A$25,0)),0,1)</f>
        <v>0</v>
      </c>
      <c r="T810" s="42" t="n">
        <f aca="false">IF(COUNTIF(Sales_Transactions!$A$2:$A$865,A810)&gt;1,1,0)</f>
        <v>0</v>
      </c>
      <c r="U810" s="42" t="n">
        <f aca="false">IF(OR(ABS(Sales_Transactions!F810*Sales_Transactions!G810-Sales_Transactions!I810)&gt;0.01,ABS(Sales_Transactions!F810*Sales_Transactions!H810-Sales_Transactions!J810)&gt;0.01,ABS(Sales_Transactions!I810-Sales_Transactions!J810-Sales_Transactions!K810)&gt;0.01),1,0)</f>
        <v>0</v>
      </c>
      <c r="V810" s="42" t="n">
        <f aca="false">IF(C810&lt;&gt;L810,1,0)</f>
        <v>0</v>
      </c>
      <c r="W810" s="42" t="n">
        <f aca="false">IF(SUM(Q810:V810)&gt;0,1,0)</f>
        <v>0</v>
      </c>
    </row>
    <row r="811" customFormat="false" ht="15" hidden="false" customHeight="false" outlineLevel="0" collapsed="false">
      <c r="A811" s="42" t="str">
        <f aca="false">Sales_Transactions!A811</f>
        <v>INV-23-018</v>
      </c>
      <c r="B811" s="42" t="str">
        <f aca="false">Sales_Transactions!B811</f>
        <v>2026-11</v>
      </c>
      <c r="C811" s="42" t="str">
        <f aca="false">Sales_Transactions!C811</f>
        <v>Forecast</v>
      </c>
      <c r="D811" s="42" t="str">
        <f aca="false">Sales_Transactions!D811</f>
        <v>C042</v>
      </c>
      <c r="E811" s="42" t="str">
        <f aca="false">Sales_Transactions!E811</f>
        <v>P004</v>
      </c>
      <c r="F811" s="42" t="str">
        <f aca="false">IFERROR(INDEX(Customer_Master!$C$2:$C$49,MATCH(D811,Customer_Master!$A$2:$A$49,0)),"UNMATCHED")</f>
        <v>North</v>
      </c>
      <c r="G811" s="42" t="str">
        <f aca="false">IFERROR(INDEX(Customer_Master!$D$2:$D$49,MATCH(D811,Customer_Master!$A$2:$A$49,0)),"UNMATCHED")</f>
        <v>Retail</v>
      </c>
      <c r="H811" s="42" t="str">
        <f aca="false">IFERROR(INDEX(Product_Master!$C$2:$C$9,MATCH(E811,Product_Master!$A$2:$A$9,0)),"UNMATCHED")</f>
        <v>Personal Care</v>
      </c>
      <c r="I811" s="42" t="str">
        <f aca="false">IFERROR(INDEX(Product_Master!$B$2:$B$9,MATCH(E811,Product_Master!$A$2:$A$9,0)),"UNMATCHED")</f>
        <v>Soap 4-pack</v>
      </c>
      <c r="J811" s="42" t="n">
        <f aca="false">IFERROR(INDEX(Calendar!$B$2:$B$25,MATCH(B811,Calendar!$A$2:$A$25,0)),0)</f>
        <v>2026</v>
      </c>
      <c r="K811" s="42" t="n">
        <f aca="false">IFERROR(VALUE(RIGHT(B811,2)),0)</f>
        <v>11</v>
      </c>
      <c r="L811" s="42" t="str">
        <f aca="false">IFERROR(INDEX(Calendar!$E$2:$E$25,MATCH(B811,Calendar!$A$2:$A$25,0)),"UNMATCHED")</f>
        <v>Forecast</v>
      </c>
      <c r="M811" s="42" t="n">
        <f aca="false">Sales_Transactions!F811</f>
        <v>126</v>
      </c>
      <c r="N811" s="52" t="n">
        <f aca="false">Sales_Transactions!I811</f>
        <v>21498.12</v>
      </c>
      <c r="O811" s="52" t="n">
        <f aca="false">Sales_Transactions!J811</f>
        <v>12858.3</v>
      </c>
      <c r="P811" s="52" t="n">
        <f aca="false">Sales_Transactions!K811</f>
        <v>8639.82</v>
      </c>
      <c r="Q811" s="42" t="n">
        <f aca="false">IF(ISNUMBER(MATCH(E811,Product_Master!$A$2:$A$9,0)),0,1)</f>
        <v>0</v>
      </c>
      <c r="R811" s="42" t="n">
        <f aca="false">IF(ISNUMBER(MATCH(D811,Customer_Master!$A$2:$A$49,0)),0,1)</f>
        <v>0</v>
      </c>
      <c r="S811" s="42" t="n">
        <f aca="false">IF(ISNUMBER(MATCH(B811,Calendar!$A$2:$A$25,0)),0,1)</f>
        <v>0</v>
      </c>
      <c r="T811" s="42" t="n">
        <f aca="false">IF(COUNTIF(Sales_Transactions!$A$2:$A$865,A811)&gt;1,1,0)</f>
        <v>0</v>
      </c>
      <c r="U811" s="42" t="n">
        <f aca="false">IF(OR(ABS(Sales_Transactions!F811*Sales_Transactions!G811-Sales_Transactions!I811)&gt;0.01,ABS(Sales_Transactions!F811*Sales_Transactions!H811-Sales_Transactions!J811)&gt;0.01,ABS(Sales_Transactions!I811-Sales_Transactions!J811-Sales_Transactions!K811)&gt;0.01),1,0)</f>
        <v>0</v>
      </c>
      <c r="V811" s="42" t="n">
        <f aca="false">IF(C811&lt;&gt;L811,1,0)</f>
        <v>0</v>
      </c>
      <c r="W811" s="42" t="n">
        <f aca="false">IF(SUM(Q811:V811)&gt;0,1,0)</f>
        <v>0</v>
      </c>
    </row>
    <row r="812" customFormat="false" ht="15" hidden="false" customHeight="false" outlineLevel="0" collapsed="false">
      <c r="A812" s="42" t="str">
        <f aca="false">Sales_Transactions!A812</f>
        <v>INV-23-019</v>
      </c>
      <c r="B812" s="42" t="str">
        <f aca="false">Sales_Transactions!B812</f>
        <v>2026-11</v>
      </c>
      <c r="C812" s="42" t="str">
        <f aca="false">Sales_Transactions!C812</f>
        <v>Forecast</v>
      </c>
      <c r="D812" s="42" t="str">
        <f aca="false">Sales_Transactions!D812</f>
        <v>C001</v>
      </c>
      <c r="E812" s="42" t="str">
        <f aca="false">Sales_Transactions!E812</f>
        <v>P001</v>
      </c>
      <c r="F812" s="42" t="str">
        <f aca="false">IFERROR(INDEX(Customer_Master!$C$2:$C$49,MATCH(D812,Customer_Master!$A$2:$A$49,0)),"UNMATCHED")</f>
        <v>South</v>
      </c>
      <c r="G812" s="42" t="str">
        <f aca="false">IFERROR(INDEX(Customer_Master!$D$2:$D$49,MATCH(D812,Customer_Master!$A$2:$A$49,0)),"UNMATCHED")</f>
        <v>Distributor</v>
      </c>
      <c r="H812" s="42" t="str">
        <f aca="false">IFERROR(INDEX(Product_Master!$C$2:$C$9,MATCH(E812,Product_Master!$A$2:$A$9,0)),"UNMATCHED")</f>
        <v>Home Care</v>
      </c>
      <c r="I812" s="42" t="str">
        <f aca="false">IFERROR(INDEX(Product_Master!$B$2:$B$9,MATCH(E812,Product_Master!$A$2:$A$9,0)),"UNMATCHED")</f>
        <v>Detergent 1kg</v>
      </c>
      <c r="J812" s="42" t="n">
        <f aca="false">IFERROR(INDEX(Calendar!$B$2:$B$25,MATCH(B812,Calendar!$A$2:$A$25,0)),0)</f>
        <v>2026</v>
      </c>
      <c r="K812" s="42" t="n">
        <f aca="false">IFERROR(VALUE(RIGHT(B812,2)),0)</f>
        <v>11</v>
      </c>
      <c r="L812" s="42" t="str">
        <f aca="false">IFERROR(INDEX(Calendar!$E$2:$E$25,MATCH(B812,Calendar!$A$2:$A$25,0)),"UNMATCHED")</f>
        <v>Forecast</v>
      </c>
      <c r="M812" s="42" t="n">
        <f aca="false">Sales_Transactions!F812</f>
        <v>101</v>
      </c>
      <c r="N812" s="52" t="n">
        <f aca="false">Sales_Transactions!I812</f>
        <v>19134.45</v>
      </c>
      <c r="O812" s="52" t="n">
        <f aca="false">Sales_Transactions!J812</f>
        <v>13405.73</v>
      </c>
      <c r="P812" s="52" t="n">
        <f aca="false">Sales_Transactions!K812</f>
        <v>5728.72</v>
      </c>
      <c r="Q812" s="42" t="n">
        <f aca="false">IF(ISNUMBER(MATCH(E812,Product_Master!$A$2:$A$9,0)),0,1)</f>
        <v>0</v>
      </c>
      <c r="R812" s="42" t="n">
        <f aca="false">IF(ISNUMBER(MATCH(D812,Customer_Master!$A$2:$A$49,0)),0,1)</f>
        <v>0</v>
      </c>
      <c r="S812" s="42" t="n">
        <f aca="false">IF(ISNUMBER(MATCH(B812,Calendar!$A$2:$A$25,0)),0,1)</f>
        <v>0</v>
      </c>
      <c r="T812" s="42" t="n">
        <f aca="false">IF(COUNTIF(Sales_Transactions!$A$2:$A$865,A812)&gt;1,1,0)</f>
        <v>0</v>
      </c>
      <c r="U812" s="42" t="n">
        <f aca="false">IF(OR(ABS(Sales_Transactions!F812*Sales_Transactions!G812-Sales_Transactions!I812)&gt;0.01,ABS(Sales_Transactions!F812*Sales_Transactions!H812-Sales_Transactions!J812)&gt;0.01,ABS(Sales_Transactions!I812-Sales_Transactions!J812-Sales_Transactions!K812)&gt;0.01),1,0)</f>
        <v>0</v>
      </c>
      <c r="V812" s="42" t="n">
        <f aca="false">IF(C812&lt;&gt;L812,1,0)</f>
        <v>0</v>
      </c>
      <c r="W812" s="42" t="n">
        <f aca="false">IF(SUM(Q812:V812)&gt;0,1,0)</f>
        <v>0</v>
      </c>
    </row>
    <row r="813" customFormat="false" ht="15" hidden="false" customHeight="false" outlineLevel="0" collapsed="false">
      <c r="A813" s="42" t="str">
        <f aca="false">Sales_Transactions!A813</f>
        <v>INV-23-020</v>
      </c>
      <c r="B813" s="42" t="str">
        <f aca="false">Sales_Transactions!B813</f>
        <v>2026-11</v>
      </c>
      <c r="C813" s="42" t="str">
        <f aca="false">Sales_Transactions!C813</f>
        <v>Forecast</v>
      </c>
      <c r="D813" s="42" t="str">
        <f aca="false">Sales_Transactions!D813</f>
        <v>C008</v>
      </c>
      <c r="E813" s="42" t="str">
        <f aca="false">Sales_Transactions!E813</f>
        <v>P006</v>
      </c>
      <c r="F813" s="42" t="str">
        <f aca="false">IFERROR(INDEX(Customer_Master!$C$2:$C$49,MATCH(D813,Customer_Master!$A$2:$A$49,0)),"UNMATCHED")</f>
        <v>East</v>
      </c>
      <c r="G813" s="42" t="str">
        <f aca="false">IFERROR(INDEX(Customer_Master!$D$2:$D$49,MATCH(D813,Customer_Master!$A$2:$A$49,0)),"UNMATCHED")</f>
        <v>Modern Trade</v>
      </c>
      <c r="H813" s="42" t="str">
        <f aca="false">IFERROR(INDEX(Product_Master!$C$2:$C$9,MATCH(E813,Product_Master!$A$2:$A$9,0)),"UNMATCHED")</f>
        <v>Foods</v>
      </c>
      <c r="I813" s="42" t="str">
        <f aca="false">IFERROR(INDEX(Product_Master!$B$2:$B$9,MATCH(E813,Product_Master!$A$2:$A$9,0)),"UNMATCHED")</f>
        <v>Breakfast Cereal</v>
      </c>
      <c r="J813" s="42" t="n">
        <f aca="false">IFERROR(INDEX(Calendar!$B$2:$B$25,MATCH(B813,Calendar!$A$2:$A$25,0)),0)</f>
        <v>2026</v>
      </c>
      <c r="K813" s="42" t="n">
        <f aca="false">IFERROR(VALUE(RIGHT(B813,2)),0)</f>
        <v>11</v>
      </c>
      <c r="L813" s="42" t="str">
        <f aca="false">IFERROR(INDEX(Calendar!$E$2:$E$25,MATCH(B813,Calendar!$A$2:$A$25,0)),"UNMATCHED")</f>
        <v>Forecast</v>
      </c>
      <c r="M813" s="42" t="n">
        <f aca="false">Sales_Transactions!F813</f>
        <v>367</v>
      </c>
      <c r="N813" s="52" t="n">
        <f aca="false">Sales_Transactions!I813</f>
        <v>89081.91</v>
      </c>
      <c r="O813" s="52" t="n">
        <f aca="false">Sales_Transactions!J813</f>
        <v>59336.56</v>
      </c>
      <c r="P813" s="52" t="n">
        <f aca="false">Sales_Transactions!K813</f>
        <v>29745.35</v>
      </c>
      <c r="Q813" s="42" t="n">
        <f aca="false">IF(ISNUMBER(MATCH(E813,Product_Master!$A$2:$A$9,0)),0,1)</f>
        <v>0</v>
      </c>
      <c r="R813" s="42" t="n">
        <f aca="false">IF(ISNUMBER(MATCH(D813,Customer_Master!$A$2:$A$49,0)),0,1)</f>
        <v>0</v>
      </c>
      <c r="S813" s="42" t="n">
        <f aca="false">IF(ISNUMBER(MATCH(B813,Calendar!$A$2:$A$25,0)),0,1)</f>
        <v>0</v>
      </c>
      <c r="T813" s="42" t="n">
        <f aca="false">IF(COUNTIF(Sales_Transactions!$A$2:$A$865,A813)&gt;1,1,0)</f>
        <v>0</v>
      </c>
      <c r="U813" s="42" t="n">
        <f aca="false">IF(OR(ABS(Sales_Transactions!F813*Sales_Transactions!G813-Sales_Transactions!I813)&gt;0.01,ABS(Sales_Transactions!F813*Sales_Transactions!H813-Sales_Transactions!J813)&gt;0.01,ABS(Sales_Transactions!I813-Sales_Transactions!J813-Sales_Transactions!K813)&gt;0.01),1,0)</f>
        <v>0</v>
      </c>
      <c r="V813" s="42" t="n">
        <f aca="false">IF(C813&lt;&gt;L813,1,0)</f>
        <v>0</v>
      </c>
      <c r="W813" s="42" t="n">
        <f aca="false">IF(SUM(Q813:V813)&gt;0,1,0)</f>
        <v>0</v>
      </c>
    </row>
    <row r="814" customFormat="false" ht="15" hidden="false" customHeight="false" outlineLevel="0" collapsed="false">
      <c r="A814" s="42" t="str">
        <f aca="false">Sales_Transactions!A814</f>
        <v>INV-23-021</v>
      </c>
      <c r="B814" s="42" t="str">
        <f aca="false">Sales_Transactions!B814</f>
        <v>2026-11</v>
      </c>
      <c r="C814" s="42" t="str">
        <f aca="false">Sales_Transactions!C814</f>
        <v>Forecast</v>
      </c>
      <c r="D814" s="42" t="str">
        <f aca="false">Sales_Transactions!D814</f>
        <v>C015</v>
      </c>
      <c r="E814" s="42" t="str">
        <f aca="false">Sales_Transactions!E814</f>
        <v>P003</v>
      </c>
      <c r="F814" s="42" t="str">
        <f aca="false">IFERROR(INDEX(Customer_Master!$C$2:$C$49,MATCH(D814,Customer_Master!$A$2:$A$49,0)),"UNMATCHED")</f>
        <v>West</v>
      </c>
      <c r="G814" s="42" t="str">
        <f aca="false">IFERROR(INDEX(Customer_Master!$D$2:$D$49,MATCH(D814,Customer_Master!$A$2:$A$49,0)),"UNMATCHED")</f>
        <v>Retail</v>
      </c>
      <c r="H814" s="42" t="str">
        <f aca="false">IFERROR(INDEX(Product_Master!$C$2:$C$9,MATCH(E814,Product_Master!$A$2:$A$9,0)),"UNMATCHED")</f>
        <v>Personal Care</v>
      </c>
      <c r="I814" s="42" t="str">
        <f aca="false">IFERROR(INDEX(Product_Master!$B$2:$B$9,MATCH(E814,Product_Master!$A$2:$A$9,0)),"UNMATCHED")</f>
        <v>Shampoo 400ml</v>
      </c>
      <c r="J814" s="42" t="n">
        <f aca="false">IFERROR(INDEX(Calendar!$B$2:$B$25,MATCH(B814,Calendar!$A$2:$A$25,0)),0)</f>
        <v>2026</v>
      </c>
      <c r="K814" s="42" t="n">
        <f aca="false">IFERROR(VALUE(RIGHT(B814,2)),0)</f>
        <v>11</v>
      </c>
      <c r="L814" s="42" t="str">
        <f aca="false">IFERROR(INDEX(Calendar!$E$2:$E$25,MATCH(B814,Calendar!$A$2:$A$25,0)),"UNMATCHED")</f>
        <v>Forecast</v>
      </c>
      <c r="M814" s="42" t="n">
        <f aca="false">Sales_Transactions!F814</f>
        <v>444</v>
      </c>
      <c r="N814" s="52" t="n">
        <f aca="false">Sales_Transactions!I814</f>
        <v>113415.36</v>
      </c>
      <c r="O814" s="52" t="n">
        <f aca="false">Sales_Transactions!J814</f>
        <v>77442.48</v>
      </c>
      <c r="P814" s="52" t="n">
        <f aca="false">Sales_Transactions!K814</f>
        <v>35972.88</v>
      </c>
      <c r="Q814" s="42" t="n">
        <f aca="false">IF(ISNUMBER(MATCH(E814,Product_Master!$A$2:$A$9,0)),0,1)</f>
        <v>0</v>
      </c>
      <c r="R814" s="42" t="n">
        <f aca="false">IF(ISNUMBER(MATCH(D814,Customer_Master!$A$2:$A$49,0)),0,1)</f>
        <v>0</v>
      </c>
      <c r="S814" s="42" t="n">
        <f aca="false">IF(ISNUMBER(MATCH(B814,Calendar!$A$2:$A$25,0)),0,1)</f>
        <v>0</v>
      </c>
      <c r="T814" s="42" t="n">
        <f aca="false">IF(COUNTIF(Sales_Transactions!$A$2:$A$865,A814)&gt;1,1,0)</f>
        <v>0</v>
      </c>
      <c r="U814" s="42" t="n">
        <f aca="false">IF(OR(ABS(Sales_Transactions!F814*Sales_Transactions!G814-Sales_Transactions!I814)&gt;0.01,ABS(Sales_Transactions!F814*Sales_Transactions!H814-Sales_Transactions!J814)&gt;0.01,ABS(Sales_Transactions!I814-Sales_Transactions!J814-Sales_Transactions!K814)&gt;0.01),1,0)</f>
        <v>0</v>
      </c>
      <c r="V814" s="42" t="n">
        <f aca="false">IF(C814&lt;&gt;L814,1,0)</f>
        <v>0</v>
      </c>
      <c r="W814" s="42" t="n">
        <f aca="false">IF(SUM(Q814:V814)&gt;0,1,0)</f>
        <v>0</v>
      </c>
    </row>
    <row r="815" customFormat="false" ht="15" hidden="false" customHeight="false" outlineLevel="0" collapsed="false">
      <c r="A815" s="42" t="str">
        <f aca="false">Sales_Transactions!A815</f>
        <v>INV-23-022</v>
      </c>
      <c r="B815" s="42" t="str">
        <f aca="false">Sales_Transactions!B815</f>
        <v>2026-11</v>
      </c>
      <c r="C815" s="42" t="str">
        <f aca="false">Sales_Transactions!C815</f>
        <v>Forecast</v>
      </c>
      <c r="D815" s="42" t="str">
        <f aca="false">Sales_Transactions!D815</f>
        <v>C022</v>
      </c>
      <c r="E815" s="42" t="str">
        <f aca="false">Sales_Transactions!E815</f>
        <v>P008</v>
      </c>
      <c r="F815" s="42" t="str">
        <f aca="false">IFERROR(INDEX(Customer_Master!$C$2:$C$49,MATCH(D815,Customer_Master!$A$2:$A$49,0)),"UNMATCHED")</f>
        <v>North</v>
      </c>
      <c r="G815" s="42" t="str">
        <f aca="false">IFERROR(INDEX(Customer_Master!$D$2:$D$49,MATCH(D815,Customer_Master!$A$2:$A$49,0)),"UNMATCHED")</f>
        <v>Distributor</v>
      </c>
      <c r="H815" s="42" t="str">
        <f aca="false">IFERROR(INDEX(Product_Master!$C$2:$C$9,MATCH(E815,Product_Master!$A$2:$A$9,0)),"UNMATCHED")</f>
        <v>Personal Care</v>
      </c>
      <c r="I815" s="42" t="str">
        <f aca="false">IFERROR(INDEX(Product_Master!$B$2:$B$9,MATCH(E815,Product_Master!$A$2:$A$9,0)),"UNMATCHED")</f>
        <v>Body Lotion</v>
      </c>
      <c r="J815" s="42" t="n">
        <f aca="false">IFERROR(INDEX(Calendar!$B$2:$B$25,MATCH(B815,Calendar!$A$2:$A$25,0)),0)</f>
        <v>2026</v>
      </c>
      <c r="K815" s="42" t="n">
        <f aca="false">IFERROR(VALUE(RIGHT(B815,2)),0)</f>
        <v>11</v>
      </c>
      <c r="L815" s="42" t="str">
        <f aca="false">IFERROR(INDEX(Calendar!$E$2:$E$25,MATCH(B815,Calendar!$A$2:$A$25,0)),"UNMATCHED")</f>
        <v>Forecast</v>
      </c>
      <c r="M815" s="42" t="n">
        <f aca="false">Sales_Transactions!F815</f>
        <v>307</v>
      </c>
      <c r="N815" s="52" t="n">
        <f aca="false">Sales_Transactions!I815</f>
        <v>97165.5</v>
      </c>
      <c r="O815" s="52" t="n">
        <f aca="false">Sales_Transactions!J815</f>
        <v>61998.65</v>
      </c>
      <c r="P815" s="52" t="n">
        <f aca="false">Sales_Transactions!K815</f>
        <v>35166.85</v>
      </c>
      <c r="Q815" s="42" t="n">
        <f aca="false">IF(ISNUMBER(MATCH(E815,Product_Master!$A$2:$A$9,0)),0,1)</f>
        <v>0</v>
      </c>
      <c r="R815" s="42" t="n">
        <f aca="false">IF(ISNUMBER(MATCH(D815,Customer_Master!$A$2:$A$49,0)),0,1)</f>
        <v>0</v>
      </c>
      <c r="S815" s="42" t="n">
        <f aca="false">IF(ISNUMBER(MATCH(B815,Calendar!$A$2:$A$25,0)),0,1)</f>
        <v>0</v>
      </c>
      <c r="T815" s="42" t="n">
        <f aca="false">IF(COUNTIF(Sales_Transactions!$A$2:$A$865,A815)&gt;1,1,0)</f>
        <v>0</v>
      </c>
      <c r="U815" s="42" t="n">
        <f aca="false">IF(OR(ABS(Sales_Transactions!F815*Sales_Transactions!G815-Sales_Transactions!I815)&gt;0.01,ABS(Sales_Transactions!F815*Sales_Transactions!H815-Sales_Transactions!J815)&gt;0.01,ABS(Sales_Transactions!I815-Sales_Transactions!J815-Sales_Transactions!K815)&gt;0.01),1,0)</f>
        <v>0</v>
      </c>
      <c r="V815" s="42" t="n">
        <f aca="false">IF(C815&lt;&gt;L815,1,0)</f>
        <v>0</v>
      </c>
      <c r="W815" s="42" t="n">
        <f aca="false">IF(SUM(Q815:V815)&gt;0,1,0)</f>
        <v>0</v>
      </c>
    </row>
    <row r="816" customFormat="false" ht="15" hidden="false" customHeight="false" outlineLevel="0" collapsed="false">
      <c r="A816" s="42" t="str">
        <f aca="false">Sales_Transactions!A816</f>
        <v>INV-23-023</v>
      </c>
      <c r="B816" s="42" t="str">
        <f aca="false">Sales_Transactions!B816</f>
        <v>2026-11</v>
      </c>
      <c r="C816" s="42" t="str">
        <f aca="false">Sales_Transactions!C816</f>
        <v>Forecast</v>
      </c>
      <c r="D816" s="42" t="str">
        <f aca="false">Sales_Transactions!D816</f>
        <v>C029</v>
      </c>
      <c r="E816" s="42" t="str">
        <f aca="false">Sales_Transactions!E816</f>
        <v>P005</v>
      </c>
      <c r="F816" s="42" t="str">
        <f aca="false">IFERROR(INDEX(Customer_Master!$C$2:$C$49,MATCH(D816,Customer_Master!$A$2:$A$49,0)),"UNMATCHED")</f>
        <v>South</v>
      </c>
      <c r="G816" s="42" t="str">
        <f aca="false">IFERROR(INDEX(Customer_Master!$D$2:$D$49,MATCH(D816,Customer_Master!$A$2:$A$49,0)),"UNMATCHED")</f>
        <v>Modern Trade</v>
      </c>
      <c r="H816" s="42" t="str">
        <f aca="false">IFERROR(INDEX(Product_Master!$C$2:$C$9,MATCH(E816,Product_Master!$A$2:$A$9,0)),"UNMATCHED")</f>
        <v>Foods</v>
      </c>
      <c r="I816" s="42" t="str">
        <f aca="false">IFERROR(INDEX(Product_Master!$B$2:$B$9,MATCH(E816,Product_Master!$A$2:$A$9,0)),"UNMATCHED")</f>
        <v>Biscuits 500g</v>
      </c>
      <c r="J816" s="42" t="n">
        <f aca="false">IFERROR(INDEX(Calendar!$B$2:$B$25,MATCH(B816,Calendar!$A$2:$A$25,0)),0)</f>
        <v>2026</v>
      </c>
      <c r="K816" s="42" t="n">
        <f aca="false">IFERROR(VALUE(RIGHT(B816,2)),0)</f>
        <v>11</v>
      </c>
      <c r="L816" s="42" t="str">
        <f aca="false">IFERROR(INDEX(Calendar!$E$2:$E$25,MATCH(B816,Calendar!$A$2:$A$25,0)),"UNMATCHED")</f>
        <v>Forecast</v>
      </c>
      <c r="M816" s="42" t="n">
        <f aca="false">Sales_Transactions!F816</f>
        <v>133</v>
      </c>
      <c r="N816" s="52" t="n">
        <f aca="false">Sales_Transactions!I816</f>
        <v>14723.1</v>
      </c>
      <c r="O816" s="52" t="n">
        <f aca="false">Sales_Transactions!J816</f>
        <v>9537.43</v>
      </c>
      <c r="P816" s="52" t="n">
        <f aca="false">Sales_Transactions!K816</f>
        <v>5185.67</v>
      </c>
      <c r="Q816" s="42" t="n">
        <f aca="false">IF(ISNUMBER(MATCH(E816,Product_Master!$A$2:$A$9,0)),0,1)</f>
        <v>0</v>
      </c>
      <c r="R816" s="42" t="n">
        <f aca="false">IF(ISNUMBER(MATCH(D816,Customer_Master!$A$2:$A$49,0)),0,1)</f>
        <v>0</v>
      </c>
      <c r="S816" s="42" t="n">
        <f aca="false">IF(ISNUMBER(MATCH(B816,Calendar!$A$2:$A$25,0)),0,1)</f>
        <v>0</v>
      </c>
      <c r="T816" s="42" t="n">
        <f aca="false">IF(COUNTIF(Sales_Transactions!$A$2:$A$865,A816)&gt;1,1,0)</f>
        <v>0</v>
      </c>
      <c r="U816" s="42" t="n">
        <f aca="false">IF(OR(ABS(Sales_Transactions!F816*Sales_Transactions!G816-Sales_Transactions!I816)&gt;0.01,ABS(Sales_Transactions!F816*Sales_Transactions!H816-Sales_Transactions!J816)&gt;0.01,ABS(Sales_Transactions!I816-Sales_Transactions!J816-Sales_Transactions!K816)&gt;0.01),1,0)</f>
        <v>0</v>
      </c>
      <c r="V816" s="42" t="n">
        <f aca="false">IF(C816&lt;&gt;L816,1,0)</f>
        <v>0</v>
      </c>
      <c r="W816" s="42" t="n">
        <f aca="false">IF(SUM(Q816:V816)&gt;0,1,0)</f>
        <v>0</v>
      </c>
    </row>
    <row r="817" customFormat="false" ht="15" hidden="false" customHeight="false" outlineLevel="0" collapsed="false">
      <c r="A817" s="42" t="str">
        <f aca="false">Sales_Transactions!A817</f>
        <v>INV-23-024</v>
      </c>
      <c r="B817" s="42" t="str">
        <f aca="false">Sales_Transactions!B817</f>
        <v>2026-11</v>
      </c>
      <c r="C817" s="42" t="str">
        <f aca="false">Sales_Transactions!C817</f>
        <v>Forecast</v>
      </c>
      <c r="D817" s="42" t="str">
        <f aca="false">Sales_Transactions!D817</f>
        <v>C036</v>
      </c>
      <c r="E817" s="42" t="str">
        <f aca="false">Sales_Transactions!E817</f>
        <v>P002</v>
      </c>
      <c r="F817" s="42" t="str">
        <f aca="false">IFERROR(INDEX(Customer_Master!$C$2:$C$49,MATCH(D817,Customer_Master!$A$2:$A$49,0)),"UNMATCHED")</f>
        <v>East</v>
      </c>
      <c r="G817" s="42" t="str">
        <f aca="false">IFERROR(INDEX(Customer_Master!$D$2:$D$49,MATCH(D817,Customer_Master!$A$2:$A$49,0)),"UNMATCHED")</f>
        <v>Retail</v>
      </c>
      <c r="H817" s="42" t="str">
        <f aca="false">IFERROR(INDEX(Product_Master!$C$2:$C$9,MATCH(E817,Product_Master!$A$2:$A$9,0)),"UNMATCHED")</f>
        <v>Home Care</v>
      </c>
      <c r="I817" s="42" t="str">
        <f aca="false">IFERROR(INDEX(Product_Master!$B$2:$B$9,MATCH(E817,Product_Master!$A$2:$A$9,0)),"UNMATCHED")</f>
        <v>Dishwash Gel</v>
      </c>
      <c r="J817" s="42" t="n">
        <f aca="false">IFERROR(INDEX(Calendar!$B$2:$B$25,MATCH(B817,Calendar!$A$2:$A$25,0)),0)</f>
        <v>2026</v>
      </c>
      <c r="K817" s="42" t="n">
        <f aca="false">IFERROR(VALUE(RIGHT(B817,2)),0)</f>
        <v>11</v>
      </c>
      <c r="L817" s="42" t="str">
        <f aca="false">IFERROR(INDEX(Calendar!$E$2:$E$25,MATCH(B817,Calendar!$A$2:$A$25,0)),"UNMATCHED")</f>
        <v>Forecast</v>
      </c>
      <c r="M817" s="42" t="n">
        <f aca="false">Sales_Transactions!F817</f>
        <v>202</v>
      </c>
      <c r="N817" s="52" t="n">
        <f aca="false">Sales_Transactions!I817</f>
        <v>26874.08</v>
      </c>
      <c r="O817" s="52" t="n">
        <f aca="false">Sales_Transactions!J817</f>
        <v>17626.52</v>
      </c>
      <c r="P817" s="52" t="n">
        <f aca="false">Sales_Transactions!K817</f>
        <v>9247.56</v>
      </c>
      <c r="Q817" s="42" t="n">
        <f aca="false">IF(ISNUMBER(MATCH(E817,Product_Master!$A$2:$A$9,0)),0,1)</f>
        <v>0</v>
      </c>
      <c r="R817" s="42" t="n">
        <f aca="false">IF(ISNUMBER(MATCH(D817,Customer_Master!$A$2:$A$49,0)),0,1)</f>
        <v>0</v>
      </c>
      <c r="S817" s="42" t="n">
        <f aca="false">IF(ISNUMBER(MATCH(B817,Calendar!$A$2:$A$25,0)),0,1)</f>
        <v>0</v>
      </c>
      <c r="T817" s="42" t="n">
        <f aca="false">IF(COUNTIF(Sales_Transactions!$A$2:$A$865,A817)&gt;1,1,0)</f>
        <v>0</v>
      </c>
      <c r="U817" s="42" t="n">
        <f aca="false">IF(OR(ABS(Sales_Transactions!F817*Sales_Transactions!G817-Sales_Transactions!I817)&gt;0.01,ABS(Sales_Transactions!F817*Sales_Transactions!H817-Sales_Transactions!J817)&gt;0.01,ABS(Sales_Transactions!I817-Sales_Transactions!J817-Sales_Transactions!K817)&gt;0.01),1,0)</f>
        <v>0</v>
      </c>
      <c r="V817" s="42" t="n">
        <f aca="false">IF(C817&lt;&gt;L817,1,0)</f>
        <v>0</v>
      </c>
      <c r="W817" s="42" t="n">
        <f aca="false">IF(SUM(Q817:V817)&gt;0,1,0)</f>
        <v>0</v>
      </c>
    </row>
    <row r="818" customFormat="false" ht="15" hidden="false" customHeight="false" outlineLevel="0" collapsed="false">
      <c r="A818" s="42" t="str">
        <f aca="false">Sales_Transactions!A818</f>
        <v>INV-23-025</v>
      </c>
      <c r="B818" s="42" t="str">
        <f aca="false">Sales_Transactions!B818</f>
        <v>2026-11</v>
      </c>
      <c r="C818" s="42" t="str">
        <f aca="false">Sales_Transactions!C818</f>
        <v>Forecast</v>
      </c>
      <c r="D818" s="42" t="str">
        <f aca="false">Sales_Transactions!D818</f>
        <v>C043</v>
      </c>
      <c r="E818" s="42" t="str">
        <f aca="false">Sales_Transactions!E818</f>
        <v>P007</v>
      </c>
      <c r="F818" s="42" t="str">
        <f aca="false">IFERROR(INDEX(Customer_Master!$C$2:$C$49,MATCH(D818,Customer_Master!$A$2:$A$49,0)),"UNMATCHED")</f>
        <v>West</v>
      </c>
      <c r="G818" s="42" t="str">
        <f aca="false">IFERROR(INDEX(Customer_Master!$D$2:$D$49,MATCH(D818,Customer_Master!$A$2:$A$49,0)),"UNMATCHED")</f>
        <v>Distributor</v>
      </c>
      <c r="H818" s="42" t="str">
        <f aca="false">IFERROR(INDEX(Product_Master!$C$2:$C$9,MATCH(E818,Product_Master!$A$2:$A$9,0)),"UNMATCHED")</f>
        <v>Home Care</v>
      </c>
      <c r="I818" s="42" t="str">
        <f aca="false">IFERROR(INDEX(Product_Master!$B$2:$B$9,MATCH(E818,Product_Master!$A$2:$A$9,0)),"UNMATCHED")</f>
        <v>Floor Cleaner</v>
      </c>
      <c r="J818" s="42" t="n">
        <f aca="false">IFERROR(INDEX(Calendar!$B$2:$B$25,MATCH(B818,Calendar!$A$2:$A$25,0)),0)</f>
        <v>2026</v>
      </c>
      <c r="K818" s="42" t="n">
        <f aca="false">IFERROR(VALUE(RIGHT(B818,2)),0)</f>
        <v>11</v>
      </c>
      <c r="L818" s="42" t="str">
        <f aca="false">IFERROR(INDEX(Calendar!$E$2:$E$25,MATCH(B818,Calendar!$A$2:$A$25,0)),"UNMATCHED")</f>
        <v>Forecast</v>
      </c>
      <c r="M818" s="42" t="n">
        <f aca="false">Sales_Transactions!F818</f>
        <v>375</v>
      </c>
      <c r="N818" s="52" t="n">
        <f aca="false">Sales_Transactions!I818</f>
        <v>67815</v>
      </c>
      <c r="O818" s="52" t="n">
        <f aca="false">Sales_Transactions!J818</f>
        <v>40556.25</v>
      </c>
      <c r="P818" s="52" t="n">
        <f aca="false">Sales_Transactions!K818</f>
        <v>27258.75</v>
      </c>
      <c r="Q818" s="42" t="n">
        <f aca="false">IF(ISNUMBER(MATCH(E818,Product_Master!$A$2:$A$9,0)),0,1)</f>
        <v>0</v>
      </c>
      <c r="R818" s="42" t="n">
        <f aca="false">IF(ISNUMBER(MATCH(D818,Customer_Master!$A$2:$A$49,0)),0,1)</f>
        <v>0</v>
      </c>
      <c r="S818" s="42" t="n">
        <f aca="false">IF(ISNUMBER(MATCH(B818,Calendar!$A$2:$A$25,0)),0,1)</f>
        <v>0</v>
      </c>
      <c r="T818" s="42" t="n">
        <f aca="false">IF(COUNTIF(Sales_Transactions!$A$2:$A$865,A818)&gt;1,1,0)</f>
        <v>0</v>
      </c>
      <c r="U818" s="42" t="n">
        <f aca="false">IF(OR(ABS(Sales_Transactions!F818*Sales_Transactions!G818-Sales_Transactions!I818)&gt;0.01,ABS(Sales_Transactions!F818*Sales_Transactions!H818-Sales_Transactions!J818)&gt;0.01,ABS(Sales_Transactions!I818-Sales_Transactions!J818-Sales_Transactions!K818)&gt;0.01),1,0)</f>
        <v>0</v>
      </c>
      <c r="V818" s="42" t="n">
        <f aca="false">IF(C818&lt;&gt;L818,1,0)</f>
        <v>0</v>
      </c>
      <c r="W818" s="42" t="n">
        <f aca="false">IF(SUM(Q818:V818)&gt;0,1,0)</f>
        <v>0</v>
      </c>
    </row>
    <row r="819" customFormat="false" ht="15" hidden="false" customHeight="false" outlineLevel="0" collapsed="false">
      <c r="A819" s="42" t="str">
        <f aca="false">Sales_Transactions!A819</f>
        <v>INV-23-026</v>
      </c>
      <c r="B819" s="42" t="str">
        <f aca="false">Sales_Transactions!B819</f>
        <v>2026-11</v>
      </c>
      <c r="C819" s="42" t="str">
        <f aca="false">Sales_Transactions!C819</f>
        <v>Forecast</v>
      </c>
      <c r="D819" s="42" t="str">
        <f aca="false">Sales_Transactions!D819</f>
        <v>C002</v>
      </c>
      <c r="E819" s="42" t="str">
        <f aca="false">Sales_Transactions!E819</f>
        <v>P004</v>
      </c>
      <c r="F819" s="42" t="str">
        <f aca="false">IFERROR(INDEX(Customer_Master!$C$2:$C$49,MATCH(D819,Customer_Master!$A$2:$A$49,0)),"UNMATCHED")</f>
        <v>North</v>
      </c>
      <c r="G819" s="42" t="str">
        <f aca="false">IFERROR(INDEX(Customer_Master!$D$2:$D$49,MATCH(D819,Customer_Master!$A$2:$A$49,0)),"UNMATCHED")</f>
        <v>Modern Trade</v>
      </c>
      <c r="H819" s="42" t="str">
        <f aca="false">IFERROR(INDEX(Product_Master!$C$2:$C$9,MATCH(E819,Product_Master!$A$2:$A$9,0)),"UNMATCHED")</f>
        <v>Personal Care</v>
      </c>
      <c r="I819" s="42" t="str">
        <f aca="false">IFERROR(INDEX(Product_Master!$B$2:$B$9,MATCH(E819,Product_Master!$A$2:$A$9,0)),"UNMATCHED")</f>
        <v>Soap 4-pack</v>
      </c>
      <c r="J819" s="42" t="n">
        <f aca="false">IFERROR(INDEX(Calendar!$B$2:$B$25,MATCH(B819,Calendar!$A$2:$A$25,0)),0)</f>
        <v>2026</v>
      </c>
      <c r="K819" s="42" t="n">
        <f aca="false">IFERROR(VALUE(RIGHT(B819,2)),0)</f>
        <v>11</v>
      </c>
      <c r="L819" s="42" t="str">
        <f aca="false">IFERROR(INDEX(Calendar!$E$2:$E$25,MATCH(B819,Calendar!$A$2:$A$25,0)),"UNMATCHED")</f>
        <v>Forecast</v>
      </c>
      <c r="M819" s="42" t="n">
        <f aca="false">Sales_Transactions!F819</f>
        <v>123</v>
      </c>
      <c r="N819" s="52" t="n">
        <f aca="false">Sales_Transactions!I819</f>
        <v>21072.36</v>
      </c>
      <c r="O819" s="52" t="n">
        <f aca="false">Sales_Transactions!J819</f>
        <v>11732.97</v>
      </c>
      <c r="P819" s="52" t="n">
        <f aca="false">Sales_Transactions!K819</f>
        <v>9339.39</v>
      </c>
      <c r="Q819" s="42" t="n">
        <f aca="false">IF(ISNUMBER(MATCH(E819,Product_Master!$A$2:$A$9,0)),0,1)</f>
        <v>0</v>
      </c>
      <c r="R819" s="42" t="n">
        <f aca="false">IF(ISNUMBER(MATCH(D819,Customer_Master!$A$2:$A$49,0)),0,1)</f>
        <v>0</v>
      </c>
      <c r="S819" s="42" t="n">
        <f aca="false">IF(ISNUMBER(MATCH(B819,Calendar!$A$2:$A$25,0)),0,1)</f>
        <v>0</v>
      </c>
      <c r="T819" s="42" t="n">
        <f aca="false">IF(COUNTIF(Sales_Transactions!$A$2:$A$865,A819)&gt;1,1,0)</f>
        <v>0</v>
      </c>
      <c r="U819" s="42" t="n">
        <f aca="false">IF(OR(ABS(Sales_Transactions!F819*Sales_Transactions!G819-Sales_Transactions!I819)&gt;0.01,ABS(Sales_Transactions!F819*Sales_Transactions!H819-Sales_Transactions!J819)&gt;0.01,ABS(Sales_Transactions!I819-Sales_Transactions!J819-Sales_Transactions!K819)&gt;0.01),1,0)</f>
        <v>0</v>
      </c>
      <c r="V819" s="42" t="n">
        <f aca="false">IF(C819&lt;&gt;L819,1,0)</f>
        <v>0</v>
      </c>
      <c r="W819" s="42" t="n">
        <f aca="false">IF(SUM(Q819:V819)&gt;0,1,0)</f>
        <v>0</v>
      </c>
    </row>
    <row r="820" customFormat="false" ht="15" hidden="false" customHeight="false" outlineLevel="0" collapsed="false">
      <c r="A820" s="42" t="str">
        <f aca="false">Sales_Transactions!A820</f>
        <v>INV-23-027</v>
      </c>
      <c r="B820" s="42" t="str">
        <f aca="false">Sales_Transactions!B820</f>
        <v>2026-11</v>
      </c>
      <c r="C820" s="42" t="str">
        <f aca="false">Sales_Transactions!C820</f>
        <v>Forecast</v>
      </c>
      <c r="D820" s="42" t="str">
        <f aca="false">Sales_Transactions!D820</f>
        <v>C009</v>
      </c>
      <c r="E820" s="42" t="str">
        <f aca="false">Sales_Transactions!E820</f>
        <v>P001</v>
      </c>
      <c r="F820" s="42" t="str">
        <f aca="false">IFERROR(INDEX(Customer_Master!$C$2:$C$49,MATCH(D820,Customer_Master!$A$2:$A$49,0)),"UNMATCHED")</f>
        <v>South</v>
      </c>
      <c r="G820" s="42" t="str">
        <f aca="false">IFERROR(INDEX(Customer_Master!$D$2:$D$49,MATCH(D820,Customer_Master!$A$2:$A$49,0)),"UNMATCHED")</f>
        <v>Retail</v>
      </c>
      <c r="H820" s="42" t="str">
        <f aca="false">IFERROR(INDEX(Product_Master!$C$2:$C$9,MATCH(E820,Product_Master!$A$2:$A$9,0)),"UNMATCHED")</f>
        <v>Home Care</v>
      </c>
      <c r="I820" s="42" t="str">
        <f aca="false">IFERROR(INDEX(Product_Master!$B$2:$B$9,MATCH(E820,Product_Master!$A$2:$A$9,0)),"UNMATCHED")</f>
        <v>Detergent 1kg</v>
      </c>
      <c r="J820" s="42" t="n">
        <f aca="false">IFERROR(INDEX(Calendar!$B$2:$B$25,MATCH(B820,Calendar!$A$2:$A$25,0)),0)</f>
        <v>2026</v>
      </c>
      <c r="K820" s="42" t="n">
        <f aca="false">IFERROR(VALUE(RIGHT(B820,2)),0)</f>
        <v>11</v>
      </c>
      <c r="L820" s="42" t="str">
        <f aca="false">IFERROR(INDEX(Calendar!$E$2:$E$25,MATCH(B820,Calendar!$A$2:$A$25,0)),"UNMATCHED")</f>
        <v>Forecast</v>
      </c>
      <c r="M820" s="42" t="n">
        <f aca="false">Sales_Transactions!F820</f>
        <v>363</v>
      </c>
      <c r="N820" s="52" t="n">
        <f aca="false">Sales_Transactions!I820</f>
        <v>73427.64</v>
      </c>
      <c r="O820" s="52" t="n">
        <f aca="false">Sales_Transactions!J820</f>
        <v>46188.12</v>
      </c>
      <c r="P820" s="52" t="n">
        <f aca="false">Sales_Transactions!K820</f>
        <v>27239.52</v>
      </c>
      <c r="Q820" s="42" t="n">
        <f aca="false">IF(ISNUMBER(MATCH(E820,Product_Master!$A$2:$A$9,0)),0,1)</f>
        <v>0</v>
      </c>
      <c r="R820" s="42" t="n">
        <f aca="false">IF(ISNUMBER(MATCH(D820,Customer_Master!$A$2:$A$49,0)),0,1)</f>
        <v>0</v>
      </c>
      <c r="S820" s="42" t="n">
        <f aca="false">IF(ISNUMBER(MATCH(B820,Calendar!$A$2:$A$25,0)),0,1)</f>
        <v>0</v>
      </c>
      <c r="T820" s="42" t="n">
        <f aca="false">IF(COUNTIF(Sales_Transactions!$A$2:$A$865,A820)&gt;1,1,0)</f>
        <v>0</v>
      </c>
      <c r="U820" s="42" t="n">
        <f aca="false">IF(OR(ABS(Sales_Transactions!F820*Sales_Transactions!G820-Sales_Transactions!I820)&gt;0.01,ABS(Sales_Transactions!F820*Sales_Transactions!H820-Sales_Transactions!J820)&gt;0.01,ABS(Sales_Transactions!I820-Sales_Transactions!J820-Sales_Transactions!K820)&gt;0.01),1,0)</f>
        <v>0</v>
      </c>
      <c r="V820" s="42" t="n">
        <f aca="false">IF(C820&lt;&gt;L820,1,0)</f>
        <v>0</v>
      </c>
      <c r="W820" s="42" t="n">
        <f aca="false">IF(SUM(Q820:V820)&gt;0,1,0)</f>
        <v>0</v>
      </c>
    </row>
    <row r="821" customFormat="false" ht="15" hidden="false" customHeight="false" outlineLevel="0" collapsed="false">
      <c r="A821" s="42" t="str">
        <f aca="false">Sales_Transactions!A821</f>
        <v>INV-23-028</v>
      </c>
      <c r="B821" s="42" t="str">
        <f aca="false">Sales_Transactions!B821</f>
        <v>2026-11</v>
      </c>
      <c r="C821" s="42" t="str">
        <f aca="false">Sales_Transactions!C821</f>
        <v>Forecast</v>
      </c>
      <c r="D821" s="42" t="str">
        <f aca="false">Sales_Transactions!D821</f>
        <v>C016</v>
      </c>
      <c r="E821" s="42" t="str">
        <f aca="false">Sales_Transactions!E821</f>
        <v>P006</v>
      </c>
      <c r="F821" s="42" t="str">
        <f aca="false">IFERROR(INDEX(Customer_Master!$C$2:$C$49,MATCH(D821,Customer_Master!$A$2:$A$49,0)),"UNMATCHED")</f>
        <v>East</v>
      </c>
      <c r="G821" s="42" t="str">
        <f aca="false">IFERROR(INDEX(Customer_Master!$D$2:$D$49,MATCH(D821,Customer_Master!$A$2:$A$49,0)),"UNMATCHED")</f>
        <v>Distributor</v>
      </c>
      <c r="H821" s="42" t="str">
        <f aca="false">IFERROR(INDEX(Product_Master!$C$2:$C$9,MATCH(E821,Product_Master!$A$2:$A$9,0)),"UNMATCHED")</f>
        <v>Foods</v>
      </c>
      <c r="I821" s="42" t="str">
        <f aca="false">IFERROR(INDEX(Product_Master!$B$2:$B$9,MATCH(E821,Product_Master!$A$2:$A$9,0)),"UNMATCHED")</f>
        <v>Breakfast Cereal</v>
      </c>
      <c r="J821" s="42" t="n">
        <f aca="false">IFERROR(INDEX(Calendar!$B$2:$B$25,MATCH(B821,Calendar!$A$2:$A$25,0)),0)</f>
        <v>2026</v>
      </c>
      <c r="K821" s="42" t="n">
        <f aca="false">IFERROR(VALUE(RIGHT(B821,2)),0)</f>
        <v>11</v>
      </c>
      <c r="L821" s="42" t="str">
        <f aca="false">IFERROR(INDEX(Calendar!$E$2:$E$25,MATCH(B821,Calendar!$A$2:$A$25,0)),"UNMATCHED")</f>
        <v>Forecast</v>
      </c>
      <c r="M821" s="42" t="n">
        <f aca="false">Sales_Transactions!F821</f>
        <v>246</v>
      </c>
      <c r="N821" s="52" t="n">
        <f aca="false">Sales_Transactions!I821</f>
        <v>55957.62</v>
      </c>
      <c r="O821" s="52" t="n">
        <f aca="false">Sales_Transactions!J821</f>
        <v>37795.44</v>
      </c>
      <c r="P821" s="52" t="n">
        <f aca="false">Sales_Transactions!K821</f>
        <v>18162.18</v>
      </c>
      <c r="Q821" s="42" t="n">
        <f aca="false">IF(ISNUMBER(MATCH(E821,Product_Master!$A$2:$A$9,0)),0,1)</f>
        <v>0</v>
      </c>
      <c r="R821" s="42" t="n">
        <f aca="false">IF(ISNUMBER(MATCH(D821,Customer_Master!$A$2:$A$49,0)),0,1)</f>
        <v>0</v>
      </c>
      <c r="S821" s="42" t="n">
        <f aca="false">IF(ISNUMBER(MATCH(B821,Calendar!$A$2:$A$25,0)),0,1)</f>
        <v>0</v>
      </c>
      <c r="T821" s="42" t="n">
        <f aca="false">IF(COUNTIF(Sales_Transactions!$A$2:$A$865,A821)&gt;1,1,0)</f>
        <v>0</v>
      </c>
      <c r="U821" s="42" t="n">
        <f aca="false">IF(OR(ABS(Sales_Transactions!F821*Sales_Transactions!G821-Sales_Transactions!I821)&gt;0.01,ABS(Sales_Transactions!F821*Sales_Transactions!H821-Sales_Transactions!J821)&gt;0.01,ABS(Sales_Transactions!I821-Sales_Transactions!J821-Sales_Transactions!K821)&gt;0.01),1,0)</f>
        <v>0</v>
      </c>
      <c r="V821" s="42" t="n">
        <f aca="false">IF(C821&lt;&gt;L821,1,0)</f>
        <v>0</v>
      </c>
      <c r="W821" s="42" t="n">
        <f aca="false">IF(SUM(Q821:V821)&gt;0,1,0)</f>
        <v>0</v>
      </c>
    </row>
    <row r="822" customFormat="false" ht="15" hidden="false" customHeight="false" outlineLevel="0" collapsed="false">
      <c r="A822" s="42" t="str">
        <f aca="false">Sales_Transactions!A822</f>
        <v>INV-23-029</v>
      </c>
      <c r="B822" s="42" t="str">
        <f aca="false">Sales_Transactions!B822</f>
        <v>2026-11</v>
      </c>
      <c r="C822" s="42" t="str">
        <f aca="false">Sales_Transactions!C822</f>
        <v>Forecast</v>
      </c>
      <c r="D822" s="42" t="str">
        <f aca="false">Sales_Transactions!D822</f>
        <v>C023</v>
      </c>
      <c r="E822" s="42" t="str">
        <f aca="false">Sales_Transactions!E822</f>
        <v>P003</v>
      </c>
      <c r="F822" s="42" t="str">
        <f aca="false">IFERROR(INDEX(Customer_Master!$C$2:$C$49,MATCH(D822,Customer_Master!$A$2:$A$49,0)),"UNMATCHED")</f>
        <v>West</v>
      </c>
      <c r="G822" s="42" t="str">
        <f aca="false">IFERROR(INDEX(Customer_Master!$D$2:$D$49,MATCH(D822,Customer_Master!$A$2:$A$49,0)),"UNMATCHED")</f>
        <v>Modern Trade</v>
      </c>
      <c r="H822" s="42" t="str">
        <f aca="false">IFERROR(INDEX(Product_Master!$C$2:$C$9,MATCH(E822,Product_Master!$A$2:$A$9,0)),"UNMATCHED")</f>
        <v>Personal Care</v>
      </c>
      <c r="I822" s="42" t="str">
        <f aca="false">IFERROR(INDEX(Product_Master!$B$2:$B$9,MATCH(E822,Product_Master!$A$2:$A$9,0)),"UNMATCHED")</f>
        <v>Shampoo 400ml</v>
      </c>
      <c r="J822" s="42" t="n">
        <f aca="false">IFERROR(INDEX(Calendar!$B$2:$B$25,MATCH(B822,Calendar!$A$2:$A$25,0)),0)</f>
        <v>2026</v>
      </c>
      <c r="K822" s="42" t="n">
        <f aca="false">IFERROR(VALUE(RIGHT(B822,2)),0)</f>
        <v>11</v>
      </c>
      <c r="L822" s="42" t="str">
        <f aca="false">IFERROR(INDEX(Calendar!$E$2:$E$25,MATCH(B822,Calendar!$A$2:$A$25,0)),"UNMATCHED")</f>
        <v>Forecast</v>
      </c>
      <c r="M822" s="42" t="n">
        <f aca="false">Sales_Transactions!F822</f>
        <v>158</v>
      </c>
      <c r="N822" s="52" t="n">
        <f aca="false">Sales_Transactions!I822</f>
        <v>43699.64</v>
      </c>
      <c r="O822" s="52" t="n">
        <f aca="false">Sales_Transactions!J822</f>
        <v>28247.24</v>
      </c>
      <c r="P822" s="52" t="n">
        <f aca="false">Sales_Transactions!K822</f>
        <v>15452.4</v>
      </c>
      <c r="Q822" s="42" t="n">
        <f aca="false">IF(ISNUMBER(MATCH(E822,Product_Master!$A$2:$A$9,0)),0,1)</f>
        <v>0</v>
      </c>
      <c r="R822" s="42" t="n">
        <f aca="false">IF(ISNUMBER(MATCH(D822,Customer_Master!$A$2:$A$49,0)),0,1)</f>
        <v>0</v>
      </c>
      <c r="S822" s="42" t="n">
        <f aca="false">IF(ISNUMBER(MATCH(B822,Calendar!$A$2:$A$25,0)),0,1)</f>
        <v>0</v>
      </c>
      <c r="T822" s="42" t="n">
        <f aca="false">IF(COUNTIF(Sales_Transactions!$A$2:$A$865,A822)&gt;1,1,0)</f>
        <v>0</v>
      </c>
      <c r="U822" s="42" t="n">
        <f aca="false">IF(OR(ABS(Sales_Transactions!F822*Sales_Transactions!G822-Sales_Transactions!I822)&gt;0.01,ABS(Sales_Transactions!F822*Sales_Transactions!H822-Sales_Transactions!J822)&gt;0.01,ABS(Sales_Transactions!I822-Sales_Transactions!J822-Sales_Transactions!K822)&gt;0.01),1,0)</f>
        <v>0</v>
      </c>
      <c r="V822" s="42" t="n">
        <f aca="false">IF(C822&lt;&gt;L822,1,0)</f>
        <v>0</v>
      </c>
      <c r="W822" s="42" t="n">
        <f aca="false">IF(SUM(Q822:V822)&gt;0,1,0)</f>
        <v>0</v>
      </c>
    </row>
    <row r="823" customFormat="false" ht="15" hidden="false" customHeight="false" outlineLevel="0" collapsed="false">
      <c r="A823" s="42" t="str">
        <f aca="false">Sales_Transactions!A823</f>
        <v>INV-23-030</v>
      </c>
      <c r="B823" s="42" t="str">
        <f aca="false">Sales_Transactions!B823</f>
        <v>2026-11</v>
      </c>
      <c r="C823" s="42" t="str">
        <f aca="false">Sales_Transactions!C823</f>
        <v>Forecast</v>
      </c>
      <c r="D823" s="42" t="str">
        <f aca="false">Sales_Transactions!D823</f>
        <v>C030</v>
      </c>
      <c r="E823" s="42" t="str">
        <f aca="false">Sales_Transactions!E823</f>
        <v>P008</v>
      </c>
      <c r="F823" s="42" t="str">
        <f aca="false">IFERROR(INDEX(Customer_Master!$C$2:$C$49,MATCH(D823,Customer_Master!$A$2:$A$49,0)),"UNMATCHED")</f>
        <v>North</v>
      </c>
      <c r="G823" s="42" t="str">
        <f aca="false">IFERROR(INDEX(Customer_Master!$D$2:$D$49,MATCH(D823,Customer_Master!$A$2:$A$49,0)),"UNMATCHED")</f>
        <v>Retail</v>
      </c>
      <c r="H823" s="42" t="str">
        <f aca="false">IFERROR(INDEX(Product_Master!$C$2:$C$9,MATCH(E823,Product_Master!$A$2:$A$9,0)),"UNMATCHED")</f>
        <v>Personal Care</v>
      </c>
      <c r="I823" s="42" t="str">
        <f aca="false">IFERROR(INDEX(Product_Master!$B$2:$B$9,MATCH(E823,Product_Master!$A$2:$A$9,0)),"UNMATCHED")</f>
        <v>Body Lotion</v>
      </c>
      <c r="J823" s="42" t="n">
        <f aca="false">IFERROR(INDEX(Calendar!$B$2:$B$25,MATCH(B823,Calendar!$A$2:$A$25,0)),0)</f>
        <v>2026</v>
      </c>
      <c r="K823" s="42" t="n">
        <f aca="false">IFERROR(VALUE(RIGHT(B823,2)),0)</f>
        <v>11</v>
      </c>
      <c r="L823" s="42" t="str">
        <f aca="false">IFERROR(INDEX(Calendar!$E$2:$E$25,MATCH(B823,Calendar!$A$2:$A$25,0)),"UNMATCHED")</f>
        <v>Forecast</v>
      </c>
      <c r="M823" s="42" t="n">
        <f aca="false">Sales_Transactions!F823</f>
        <v>288</v>
      </c>
      <c r="N823" s="52" t="n">
        <f aca="false">Sales_Transactions!I823</f>
        <v>94605.12</v>
      </c>
      <c r="O823" s="52" t="n">
        <f aca="false">Sales_Transactions!J823</f>
        <v>57936.96</v>
      </c>
      <c r="P823" s="52" t="n">
        <f aca="false">Sales_Transactions!K823</f>
        <v>36668.16</v>
      </c>
      <c r="Q823" s="42" t="n">
        <f aca="false">IF(ISNUMBER(MATCH(E823,Product_Master!$A$2:$A$9,0)),0,1)</f>
        <v>0</v>
      </c>
      <c r="R823" s="42" t="n">
        <f aca="false">IF(ISNUMBER(MATCH(D823,Customer_Master!$A$2:$A$49,0)),0,1)</f>
        <v>0</v>
      </c>
      <c r="S823" s="42" t="n">
        <f aca="false">IF(ISNUMBER(MATCH(B823,Calendar!$A$2:$A$25,0)),0,1)</f>
        <v>0</v>
      </c>
      <c r="T823" s="42" t="n">
        <f aca="false">IF(COUNTIF(Sales_Transactions!$A$2:$A$865,A823)&gt;1,1,0)</f>
        <v>0</v>
      </c>
      <c r="U823" s="42" t="n">
        <f aca="false">IF(OR(ABS(Sales_Transactions!F823*Sales_Transactions!G823-Sales_Transactions!I823)&gt;0.01,ABS(Sales_Transactions!F823*Sales_Transactions!H823-Sales_Transactions!J823)&gt;0.01,ABS(Sales_Transactions!I823-Sales_Transactions!J823-Sales_Transactions!K823)&gt;0.01),1,0)</f>
        <v>0</v>
      </c>
      <c r="V823" s="42" t="n">
        <f aca="false">IF(C823&lt;&gt;L823,1,0)</f>
        <v>0</v>
      </c>
      <c r="W823" s="42" t="n">
        <f aca="false">IF(SUM(Q823:V823)&gt;0,1,0)</f>
        <v>0</v>
      </c>
    </row>
    <row r="824" customFormat="false" ht="15" hidden="false" customHeight="false" outlineLevel="0" collapsed="false">
      <c r="A824" s="42" t="str">
        <f aca="false">Sales_Transactions!A824</f>
        <v>INV-23-031</v>
      </c>
      <c r="B824" s="42" t="str">
        <f aca="false">Sales_Transactions!B824</f>
        <v>2026-11</v>
      </c>
      <c r="C824" s="42" t="str">
        <f aca="false">Sales_Transactions!C824</f>
        <v>Forecast</v>
      </c>
      <c r="D824" s="42" t="str">
        <f aca="false">Sales_Transactions!D824</f>
        <v>C037</v>
      </c>
      <c r="E824" s="42" t="str">
        <f aca="false">Sales_Transactions!E824</f>
        <v>P005</v>
      </c>
      <c r="F824" s="42" t="str">
        <f aca="false">IFERROR(INDEX(Customer_Master!$C$2:$C$49,MATCH(D824,Customer_Master!$A$2:$A$49,0)),"UNMATCHED")</f>
        <v>South</v>
      </c>
      <c r="G824" s="42" t="str">
        <f aca="false">IFERROR(INDEX(Customer_Master!$D$2:$D$49,MATCH(D824,Customer_Master!$A$2:$A$49,0)),"UNMATCHED")</f>
        <v>Distributor</v>
      </c>
      <c r="H824" s="42" t="str">
        <f aca="false">IFERROR(INDEX(Product_Master!$C$2:$C$9,MATCH(E824,Product_Master!$A$2:$A$9,0)),"UNMATCHED")</f>
        <v>Foods</v>
      </c>
      <c r="I824" s="42" t="str">
        <f aca="false">IFERROR(INDEX(Product_Master!$B$2:$B$9,MATCH(E824,Product_Master!$A$2:$A$9,0)),"UNMATCHED")</f>
        <v>Biscuits 500g</v>
      </c>
      <c r="J824" s="42" t="n">
        <f aca="false">IFERROR(INDEX(Calendar!$B$2:$B$25,MATCH(B824,Calendar!$A$2:$A$25,0)),0)</f>
        <v>2026</v>
      </c>
      <c r="K824" s="42" t="n">
        <f aca="false">IFERROR(VALUE(RIGHT(B824,2)),0)</f>
        <v>11</v>
      </c>
      <c r="L824" s="42" t="str">
        <f aca="false">IFERROR(INDEX(Calendar!$E$2:$E$25,MATCH(B824,Calendar!$A$2:$A$25,0)),"UNMATCHED")</f>
        <v>Forecast</v>
      </c>
      <c r="M824" s="42" t="n">
        <f aca="false">Sales_Transactions!F824</f>
        <v>373</v>
      </c>
      <c r="N824" s="52" t="n">
        <f aca="false">Sales_Transactions!I824</f>
        <v>37799.82</v>
      </c>
      <c r="O824" s="52" t="n">
        <f aca="false">Sales_Transactions!J824</f>
        <v>26494.19</v>
      </c>
      <c r="P824" s="52" t="n">
        <f aca="false">Sales_Transactions!K824</f>
        <v>11305.63</v>
      </c>
      <c r="Q824" s="42" t="n">
        <f aca="false">IF(ISNUMBER(MATCH(E824,Product_Master!$A$2:$A$9,0)),0,1)</f>
        <v>0</v>
      </c>
      <c r="R824" s="42" t="n">
        <f aca="false">IF(ISNUMBER(MATCH(D824,Customer_Master!$A$2:$A$49,0)),0,1)</f>
        <v>0</v>
      </c>
      <c r="S824" s="42" t="n">
        <f aca="false">IF(ISNUMBER(MATCH(B824,Calendar!$A$2:$A$25,0)),0,1)</f>
        <v>0</v>
      </c>
      <c r="T824" s="42" t="n">
        <f aca="false">IF(COUNTIF(Sales_Transactions!$A$2:$A$865,A824)&gt;1,1,0)</f>
        <v>0</v>
      </c>
      <c r="U824" s="42" t="n">
        <f aca="false">IF(OR(ABS(Sales_Transactions!F824*Sales_Transactions!G824-Sales_Transactions!I824)&gt;0.01,ABS(Sales_Transactions!F824*Sales_Transactions!H824-Sales_Transactions!J824)&gt;0.01,ABS(Sales_Transactions!I824-Sales_Transactions!J824-Sales_Transactions!K824)&gt;0.01),1,0)</f>
        <v>0</v>
      </c>
      <c r="V824" s="42" t="n">
        <f aca="false">IF(C824&lt;&gt;L824,1,0)</f>
        <v>0</v>
      </c>
      <c r="W824" s="42" t="n">
        <f aca="false">IF(SUM(Q824:V824)&gt;0,1,0)</f>
        <v>0</v>
      </c>
    </row>
    <row r="825" customFormat="false" ht="15" hidden="false" customHeight="false" outlineLevel="0" collapsed="false">
      <c r="A825" s="42" t="str">
        <f aca="false">Sales_Transactions!A825</f>
        <v>INV-23-032</v>
      </c>
      <c r="B825" s="42" t="str">
        <f aca="false">Sales_Transactions!B825</f>
        <v>2026-11</v>
      </c>
      <c r="C825" s="42" t="str">
        <f aca="false">Sales_Transactions!C825</f>
        <v>Forecast</v>
      </c>
      <c r="D825" s="42" t="str">
        <f aca="false">Sales_Transactions!D825</f>
        <v>C044</v>
      </c>
      <c r="E825" s="42" t="str">
        <f aca="false">Sales_Transactions!E825</f>
        <v>P002</v>
      </c>
      <c r="F825" s="42" t="str">
        <f aca="false">IFERROR(INDEX(Customer_Master!$C$2:$C$49,MATCH(D825,Customer_Master!$A$2:$A$49,0)),"UNMATCHED")</f>
        <v>East</v>
      </c>
      <c r="G825" s="42" t="str">
        <f aca="false">IFERROR(INDEX(Customer_Master!$D$2:$D$49,MATCH(D825,Customer_Master!$A$2:$A$49,0)),"UNMATCHED")</f>
        <v>Modern Trade</v>
      </c>
      <c r="H825" s="42" t="str">
        <f aca="false">IFERROR(INDEX(Product_Master!$C$2:$C$9,MATCH(E825,Product_Master!$A$2:$A$9,0)),"UNMATCHED")</f>
        <v>Home Care</v>
      </c>
      <c r="I825" s="42" t="str">
        <f aca="false">IFERROR(INDEX(Product_Master!$B$2:$B$9,MATCH(E825,Product_Master!$A$2:$A$9,0)),"UNMATCHED")</f>
        <v>Dishwash Gel</v>
      </c>
      <c r="J825" s="42" t="n">
        <f aca="false">IFERROR(INDEX(Calendar!$B$2:$B$25,MATCH(B825,Calendar!$A$2:$A$25,0)),0)</f>
        <v>2026</v>
      </c>
      <c r="K825" s="42" t="n">
        <f aca="false">IFERROR(VALUE(RIGHT(B825,2)),0)</f>
        <v>11</v>
      </c>
      <c r="L825" s="42" t="str">
        <f aca="false">IFERROR(INDEX(Calendar!$E$2:$E$25,MATCH(B825,Calendar!$A$2:$A$25,0)),"UNMATCHED")</f>
        <v>Forecast</v>
      </c>
      <c r="M825" s="42" t="n">
        <f aca="false">Sales_Transactions!F825</f>
        <v>284</v>
      </c>
      <c r="N825" s="52" t="n">
        <f aca="false">Sales_Transactions!I825</f>
        <v>40274.04</v>
      </c>
      <c r="O825" s="52" t="n">
        <f aca="false">Sales_Transactions!J825</f>
        <v>23867.36</v>
      </c>
      <c r="P825" s="52" t="n">
        <f aca="false">Sales_Transactions!K825</f>
        <v>16406.68</v>
      </c>
      <c r="Q825" s="42" t="n">
        <f aca="false">IF(ISNUMBER(MATCH(E825,Product_Master!$A$2:$A$9,0)),0,1)</f>
        <v>0</v>
      </c>
      <c r="R825" s="42" t="n">
        <f aca="false">IF(ISNUMBER(MATCH(D825,Customer_Master!$A$2:$A$49,0)),0,1)</f>
        <v>0</v>
      </c>
      <c r="S825" s="42" t="n">
        <f aca="false">IF(ISNUMBER(MATCH(B825,Calendar!$A$2:$A$25,0)),0,1)</f>
        <v>0</v>
      </c>
      <c r="T825" s="42" t="n">
        <f aca="false">IF(COUNTIF(Sales_Transactions!$A$2:$A$865,A825)&gt;1,1,0)</f>
        <v>0</v>
      </c>
      <c r="U825" s="42" t="n">
        <f aca="false">IF(OR(ABS(Sales_Transactions!F825*Sales_Transactions!G825-Sales_Transactions!I825)&gt;0.01,ABS(Sales_Transactions!F825*Sales_Transactions!H825-Sales_Transactions!J825)&gt;0.01,ABS(Sales_Transactions!I825-Sales_Transactions!J825-Sales_Transactions!K825)&gt;0.01),1,0)</f>
        <v>0</v>
      </c>
      <c r="V825" s="42" t="n">
        <f aca="false">IF(C825&lt;&gt;L825,1,0)</f>
        <v>0</v>
      </c>
      <c r="W825" s="42" t="n">
        <f aca="false">IF(SUM(Q825:V825)&gt;0,1,0)</f>
        <v>0</v>
      </c>
    </row>
    <row r="826" customFormat="false" ht="15" hidden="false" customHeight="false" outlineLevel="0" collapsed="false">
      <c r="A826" s="42" t="str">
        <f aca="false">Sales_Transactions!A826</f>
        <v>INV-23-033</v>
      </c>
      <c r="B826" s="42" t="str">
        <f aca="false">Sales_Transactions!B826</f>
        <v>2026-11</v>
      </c>
      <c r="C826" s="42" t="str">
        <f aca="false">Sales_Transactions!C826</f>
        <v>Forecast</v>
      </c>
      <c r="D826" s="42" t="str">
        <f aca="false">Sales_Transactions!D826</f>
        <v>C003</v>
      </c>
      <c r="E826" s="42" t="str">
        <f aca="false">Sales_Transactions!E826</f>
        <v>P007</v>
      </c>
      <c r="F826" s="42" t="str">
        <f aca="false">IFERROR(INDEX(Customer_Master!$C$2:$C$49,MATCH(D826,Customer_Master!$A$2:$A$49,0)),"UNMATCHED")</f>
        <v>West</v>
      </c>
      <c r="G826" s="42" t="str">
        <f aca="false">IFERROR(INDEX(Customer_Master!$D$2:$D$49,MATCH(D826,Customer_Master!$A$2:$A$49,0)),"UNMATCHED")</f>
        <v>Retail</v>
      </c>
      <c r="H826" s="42" t="str">
        <f aca="false">IFERROR(INDEX(Product_Master!$C$2:$C$9,MATCH(E826,Product_Master!$A$2:$A$9,0)),"UNMATCHED")</f>
        <v>Home Care</v>
      </c>
      <c r="I826" s="42" t="str">
        <f aca="false">IFERROR(INDEX(Product_Master!$B$2:$B$9,MATCH(E826,Product_Master!$A$2:$A$9,0)),"UNMATCHED")</f>
        <v>Floor Cleaner</v>
      </c>
      <c r="J826" s="42" t="n">
        <f aca="false">IFERROR(INDEX(Calendar!$B$2:$B$25,MATCH(B826,Calendar!$A$2:$A$25,0)),0)</f>
        <v>2026</v>
      </c>
      <c r="K826" s="42" t="n">
        <f aca="false">IFERROR(VALUE(RIGHT(B826,2)),0)</f>
        <v>11</v>
      </c>
      <c r="L826" s="42" t="str">
        <f aca="false">IFERROR(INDEX(Calendar!$E$2:$E$25,MATCH(B826,Calendar!$A$2:$A$25,0)),"UNMATCHED")</f>
        <v>Forecast</v>
      </c>
      <c r="M826" s="42" t="n">
        <f aca="false">Sales_Transactions!F826</f>
        <v>281</v>
      </c>
      <c r="N826" s="52" t="n">
        <f aca="false">Sales_Transactions!I826</f>
        <v>52760.56</v>
      </c>
      <c r="O826" s="52" t="n">
        <f aca="false">Sales_Transactions!J826</f>
        <v>30741.4</v>
      </c>
      <c r="P826" s="52" t="n">
        <f aca="false">Sales_Transactions!K826</f>
        <v>22019.16</v>
      </c>
      <c r="Q826" s="42" t="n">
        <f aca="false">IF(ISNUMBER(MATCH(E826,Product_Master!$A$2:$A$9,0)),0,1)</f>
        <v>0</v>
      </c>
      <c r="R826" s="42" t="n">
        <f aca="false">IF(ISNUMBER(MATCH(D826,Customer_Master!$A$2:$A$49,0)),0,1)</f>
        <v>0</v>
      </c>
      <c r="S826" s="42" t="n">
        <f aca="false">IF(ISNUMBER(MATCH(B826,Calendar!$A$2:$A$25,0)),0,1)</f>
        <v>0</v>
      </c>
      <c r="T826" s="42" t="n">
        <f aca="false">IF(COUNTIF(Sales_Transactions!$A$2:$A$865,A826)&gt;1,1,0)</f>
        <v>0</v>
      </c>
      <c r="U826" s="42" t="n">
        <f aca="false">IF(OR(ABS(Sales_Transactions!F826*Sales_Transactions!G826-Sales_Transactions!I826)&gt;0.01,ABS(Sales_Transactions!F826*Sales_Transactions!H826-Sales_Transactions!J826)&gt;0.01,ABS(Sales_Transactions!I826-Sales_Transactions!J826-Sales_Transactions!K826)&gt;0.01),1,0)</f>
        <v>0</v>
      </c>
      <c r="V826" s="42" t="n">
        <f aca="false">IF(C826&lt;&gt;L826,1,0)</f>
        <v>0</v>
      </c>
      <c r="W826" s="42" t="n">
        <f aca="false">IF(SUM(Q826:V826)&gt;0,1,0)</f>
        <v>0</v>
      </c>
    </row>
    <row r="827" customFormat="false" ht="15" hidden="false" customHeight="false" outlineLevel="0" collapsed="false">
      <c r="A827" s="42" t="str">
        <f aca="false">Sales_Transactions!A827</f>
        <v>INV-23-034</v>
      </c>
      <c r="B827" s="42" t="str">
        <f aca="false">Sales_Transactions!B827</f>
        <v>2026-11</v>
      </c>
      <c r="C827" s="42" t="str">
        <f aca="false">Sales_Transactions!C827</f>
        <v>Forecast</v>
      </c>
      <c r="D827" s="42" t="str">
        <f aca="false">Sales_Transactions!D827</f>
        <v>C010</v>
      </c>
      <c r="E827" s="42" t="str">
        <f aca="false">Sales_Transactions!E827</f>
        <v>P004</v>
      </c>
      <c r="F827" s="42" t="str">
        <f aca="false">IFERROR(INDEX(Customer_Master!$C$2:$C$49,MATCH(D827,Customer_Master!$A$2:$A$49,0)),"UNMATCHED")</f>
        <v>North</v>
      </c>
      <c r="G827" s="42" t="str">
        <f aca="false">IFERROR(INDEX(Customer_Master!$D$2:$D$49,MATCH(D827,Customer_Master!$A$2:$A$49,0)),"UNMATCHED")</f>
        <v>Distributor</v>
      </c>
      <c r="H827" s="42" t="str">
        <f aca="false">IFERROR(INDEX(Product_Master!$C$2:$C$9,MATCH(E827,Product_Master!$A$2:$A$9,0)),"UNMATCHED")</f>
        <v>Personal Care</v>
      </c>
      <c r="I827" s="42" t="str">
        <f aca="false">IFERROR(INDEX(Product_Master!$B$2:$B$9,MATCH(E827,Product_Master!$A$2:$A$9,0)),"UNMATCHED")</f>
        <v>Soap 4-pack</v>
      </c>
      <c r="J827" s="42" t="n">
        <f aca="false">IFERROR(INDEX(Calendar!$B$2:$B$25,MATCH(B827,Calendar!$A$2:$A$25,0)),0)</f>
        <v>2026</v>
      </c>
      <c r="K827" s="42" t="n">
        <f aca="false">IFERROR(VALUE(RIGHT(B827,2)),0)</f>
        <v>11</v>
      </c>
      <c r="L827" s="42" t="str">
        <f aca="false">IFERROR(INDEX(Calendar!$E$2:$E$25,MATCH(B827,Calendar!$A$2:$A$25,0)),"UNMATCHED")</f>
        <v>Forecast</v>
      </c>
      <c r="M827" s="42" t="n">
        <f aca="false">Sales_Transactions!F827</f>
        <v>437</v>
      </c>
      <c r="N827" s="52" t="n">
        <f aca="false">Sales_Transactions!I827</f>
        <v>75260.14</v>
      </c>
      <c r="O827" s="52" t="n">
        <f aca="false">Sales_Transactions!J827</f>
        <v>42795.41</v>
      </c>
      <c r="P827" s="52" t="n">
        <f aca="false">Sales_Transactions!K827</f>
        <v>32464.73</v>
      </c>
      <c r="Q827" s="42" t="n">
        <f aca="false">IF(ISNUMBER(MATCH(E827,Product_Master!$A$2:$A$9,0)),0,1)</f>
        <v>0</v>
      </c>
      <c r="R827" s="42" t="n">
        <f aca="false">IF(ISNUMBER(MATCH(D827,Customer_Master!$A$2:$A$49,0)),0,1)</f>
        <v>0</v>
      </c>
      <c r="S827" s="42" t="n">
        <f aca="false">IF(ISNUMBER(MATCH(B827,Calendar!$A$2:$A$25,0)),0,1)</f>
        <v>0</v>
      </c>
      <c r="T827" s="42" t="n">
        <f aca="false">IF(COUNTIF(Sales_Transactions!$A$2:$A$865,A827)&gt;1,1,0)</f>
        <v>0</v>
      </c>
      <c r="U827" s="42" t="n">
        <f aca="false">IF(OR(ABS(Sales_Transactions!F827*Sales_Transactions!G827-Sales_Transactions!I827)&gt;0.01,ABS(Sales_Transactions!F827*Sales_Transactions!H827-Sales_Transactions!J827)&gt;0.01,ABS(Sales_Transactions!I827-Sales_Transactions!J827-Sales_Transactions!K827)&gt;0.01),1,0)</f>
        <v>0</v>
      </c>
      <c r="V827" s="42" t="n">
        <f aca="false">IF(C827&lt;&gt;L827,1,0)</f>
        <v>0</v>
      </c>
      <c r="W827" s="42" t="n">
        <f aca="false">IF(SUM(Q827:V827)&gt;0,1,0)</f>
        <v>0</v>
      </c>
    </row>
    <row r="828" customFormat="false" ht="15" hidden="false" customHeight="false" outlineLevel="0" collapsed="false">
      <c r="A828" s="42" t="str">
        <f aca="false">Sales_Transactions!A828</f>
        <v>INV-23-035</v>
      </c>
      <c r="B828" s="42" t="str">
        <f aca="false">Sales_Transactions!B828</f>
        <v>2026-11</v>
      </c>
      <c r="C828" s="42" t="str">
        <f aca="false">Sales_Transactions!C828</f>
        <v>Forecast</v>
      </c>
      <c r="D828" s="42" t="str">
        <f aca="false">Sales_Transactions!D828</f>
        <v>C017</v>
      </c>
      <c r="E828" s="42" t="str">
        <f aca="false">Sales_Transactions!E828</f>
        <v>P001</v>
      </c>
      <c r="F828" s="42" t="str">
        <f aca="false">IFERROR(INDEX(Customer_Master!$C$2:$C$49,MATCH(D828,Customer_Master!$A$2:$A$49,0)),"UNMATCHED")</f>
        <v>South</v>
      </c>
      <c r="G828" s="42" t="str">
        <f aca="false">IFERROR(INDEX(Customer_Master!$D$2:$D$49,MATCH(D828,Customer_Master!$A$2:$A$49,0)),"UNMATCHED")</f>
        <v>Modern Trade</v>
      </c>
      <c r="H828" s="42" t="str">
        <f aca="false">IFERROR(INDEX(Product_Master!$C$2:$C$9,MATCH(E828,Product_Master!$A$2:$A$9,0)),"UNMATCHED")</f>
        <v>Home Care</v>
      </c>
      <c r="I828" s="42" t="str">
        <f aca="false">IFERROR(INDEX(Product_Master!$B$2:$B$9,MATCH(E828,Product_Master!$A$2:$A$9,0)),"UNMATCHED")</f>
        <v>Detergent 1kg</v>
      </c>
      <c r="J828" s="42" t="n">
        <f aca="false">IFERROR(INDEX(Calendar!$B$2:$B$25,MATCH(B828,Calendar!$A$2:$A$25,0)),0)</f>
        <v>2026</v>
      </c>
      <c r="K828" s="42" t="n">
        <f aca="false">IFERROR(VALUE(RIGHT(B828,2)),0)</f>
        <v>11</v>
      </c>
      <c r="L828" s="42" t="str">
        <f aca="false">IFERROR(INDEX(Calendar!$E$2:$E$25,MATCH(B828,Calendar!$A$2:$A$25,0)),"UNMATCHED")</f>
        <v>Forecast</v>
      </c>
      <c r="M828" s="42" t="n">
        <f aca="false">Sales_Transactions!F828</f>
        <v>262</v>
      </c>
      <c r="N828" s="52" t="n">
        <f aca="false">Sales_Transactions!I828</f>
        <v>49352.94</v>
      </c>
      <c r="O828" s="52" t="n">
        <f aca="false">Sales_Transactions!J828</f>
        <v>35013.68</v>
      </c>
      <c r="P828" s="52" t="n">
        <f aca="false">Sales_Transactions!K828</f>
        <v>14339.26</v>
      </c>
      <c r="Q828" s="42" t="n">
        <f aca="false">IF(ISNUMBER(MATCH(E828,Product_Master!$A$2:$A$9,0)),0,1)</f>
        <v>0</v>
      </c>
      <c r="R828" s="42" t="n">
        <f aca="false">IF(ISNUMBER(MATCH(D828,Customer_Master!$A$2:$A$49,0)),0,1)</f>
        <v>0</v>
      </c>
      <c r="S828" s="42" t="n">
        <f aca="false">IF(ISNUMBER(MATCH(B828,Calendar!$A$2:$A$25,0)),0,1)</f>
        <v>0</v>
      </c>
      <c r="T828" s="42" t="n">
        <f aca="false">IF(COUNTIF(Sales_Transactions!$A$2:$A$865,A828)&gt;1,1,0)</f>
        <v>0</v>
      </c>
      <c r="U828" s="42" t="n">
        <f aca="false">IF(OR(ABS(Sales_Transactions!F828*Sales_Transactions!G828-Sales_Transactions!I828)&gt;0.01,ABS(Sales_Transactions!F828*Sales_Transactions!H828-Sales_Transactions!J828)&gt;0.01,ABS(Sales_Transactions!I828-Sales_Transactions!J828-Sales_Transactions!K828)&gt;0.01),1,0)</f>
        <v>0</v>
      </c>
      <c r="V828" s="42" t="n">
        <f aca="false">IF(C828&lt;&gt;L828,1,0)</f>
        <v>0</v>
      </c>
      <c r="W828" s="42" t="n">
        <f aca="false">IF(SUM(Q828:V828)&gt;0,1,0)</f>
        <v>0</v>
      </c>
    </row>
    <row r="829" customFormat="false" ht="15" hidden="false" customHeight="false" outlineLevel="0" collapsed="false">
      <c r="A829" s="42" t="str">
        <f aca="false">Sales_Transactions!A829</f>
        <v>INV-23-036</v>
      </c>
      <c r="B829" s="42" t="str">
        <f aca="false">Sales_Transactions!B829</f>
        <v>2026-11</v>
      </c>
      <c r="C829" s="42" t="str">
        <f aca="false">Sales_Transactions!C829</f>
        <v>Forecast</v>
      </c>
      <c r="D829" s="42" t="str">
        <f aca="false">Sales_Transactions!D829</f>
        <v>C024</v>
      </c>
      <c r="E829" s="42" t="str">
        <f aca="false">Sales_Transactions!E829</f>
        <v>P006</v>
      </c>
      <c r="F829" s="42" t="str">
        <f aca="false">IFERROR(INDEX(Customer_Master!$C$2:$C$49,MATCH(D829,Customer_Master!$A$2:$A$49,0)),"UNMATCHED")</f>
        <v>East</v>
      </c>
      <c r="G829" s="42" t="str">
        <f aca="false">IFERROR(INDEX(Customer_Master!$D$2:$D$49,MATCH(D829,Customer_Master!$A$2:$A$49,0)),"UNMATCHED")</f>
        <v>Retail</v>
      </c>
      <c r="H829" s="42" t="str">
        <f aca="false">IFERROR(INDEX(Product_Master!$C$2:$C$9,MATCH(E829,Product_Master!$A$2:$A$9,0)),"UNMATCHED")</f>
        <v>Foods</v>
      </c>
      <c r="I829" s="42" t="str">
        <f aca="false">IFERROR(INDEX(Product_Master!$B$2:$B$9,MATCH(E829,Product_Master!$A$2:$A$9,0)),"UNMATCHED")</f>
        <v>Breakfast Cereal</v>
      </c>
      <c r="J829" s="42" t="n">
        <f aca="false">IFERROR(INDEX(Calendar!$B$2:$B$25,MATCH(B829,Calendar!$A$2:$A$25,0)),0)</f>
        <v>2026</v>
      </c>
      <c r="K829" s="42" t="n">
        <f aca="false">IFERROR(VALUE(RIGHT(B829,2)),0)</f>
        <v>11</v>
      </c>
      <c r="L829" s="42" t="str">
        <f aca="false">IFERROR(INDEX(Calendar!$E$2:$E$25,MATCH(B829,Calendar!$A$2:$A$25,0)),"UNMATCHED")</f>
        <v>Forecast</v>
      </c>
      <c r="M829" s="42" t="n">
        <f aca="false">Sales_Transactions!F829</f>
        <v>123</v>
      </c>
      <c r="N829" s="52" t="n">
        <f aca="false">Sales_Transactions!I829</f>
        <v>29303.52</v>
      </c>
      <c r="O829" s="52" t="n">
        <f aca="false">Sales_Transactions!J829</f>
        <v>20191.68</v>
      </c>
      <c r="P829" s="52" t="n">
        <f aca="false">Sales_Transactions!K829</f>
        <v>9111.84</v>
      </c>
      <c r="Q829" s="42" t="n">
        <f aca="false">IF(ISNUMBER(MATCH(E829,Product_Master!$A$2:$A$9,0)),0,1)</f>
        <v>0</v>
      </c>
      <c r="R829" s="42" t="n">
        <f aca="false">IF(ISNUMBER(MATCH(D829,Customer_Master!$A$2:$A$49,0)),0,1)</f>
        <v>0</v>
      </c>
      <c r="S829" s="42" t="n">
        <f aca="false">IF(ISNUMBER(MATCH(B829,Calendar!$A$2:$A$25,0)),0,1)</f>
        <v>0</v>
      </c>
      <c r="T829" s="42" t="n">
        <f aca="false">IF(COUNTIF(Sales_Transactions!$A$2:$A$865,A829)&gt;1,1,0)</f>
        <v>0</v>
      </c>
      <c r="U829" s="42" t="n">
        <f aca="false">IF(OR(ABS(Sales_Transactions!F829*Sales_Transactions!G829-Sales_Transactions!I829)&gt;0.01,ABS(Sales_Transactions!F829*Sales_Transactions!H829-Sales_Transactions!J829)&gt;0.01,ABS(Sales_Transactions!I829-Sales_Transactions!J829-Sales_Transactions!K829)&gt;0.01),1,0)</f>
        <v>0</v>
      </c>
      <c r="V829" s="42" t="n">
        <f aca="false">IF(C829&lt;&gt;L829,1,0)</f>
        <v>0</v>
      </c>
      <c r="W829" s="42" t="n">
        <f aca="false">IF(SUM(Q829:V829)&gt;0,1,0)</f>
        <v>0</v>
      </c>
    </row>
    <row r="830" customFormat="false" ht="15" hidden="false" customHeight="false" outlineLevel="0" collapsed="false">
      <c r="A830" s="42" t="str">
        <f aca="false">Sales_Transactions!A830</f>
        <v>INV-24-001</v>
      </c>
      <c r="B830" s="42" t="str">
        <f aca="false">Sales_Transactions!B830</f>
        <v>2026-12</v>
      </c>
      <c r="C830" s="42" t="str">
        <f aca="false">Sales_Transactions!C830</f>
        <v>Forecast</v>
      </c>
      <c r="D830" s="42" t="str">
        <f aca="false">Sales_Transactions!D830</f>
        <v>C022</v>
      </c>
      <c r="E830" s="42" t="str">
        <f aca="false">Sales_Transactions!E830</f>
        <v>P008</v>
      </c>
      <c r="F830" s="42" t="str">
        <f aca="false">IFERROR(INDEX(Customer_Master!$C$2:$C$49,MATCH(D830,Customer_Master!$A$2:$A$49,0)),"UNMATCHED")</f>
        <v>North</v>
      </c>
      <c r="G830" s="42" t="str">
        <f aca="false">IFERROR(INDEX(Customer_Master!$D$2:$D$49,MATCH(D830,Customer_Master!$A$2:$A$49,0)),"UNMATCHED")</f>
        <v>Distributor</v>
      </c>
      <c r="H830" s="42" t="str">
        <f aca="false">IFERROR(INDEX(Product_Master!$C$2:$C$9,MATCH(E830,Product_Master!$A$2:$A$9,0)),"UNMATCHED")</f>
        <v>Personal Care</v>
      </c>
      <c r="I830" s="42" t="str">
        <f aca="false">IFERROR(INDEX(Product_Master!$B$2:$B$9,MATCH(E830,Product_Master!$A$2:$A$9,0)),"UNMATCHED")</f>
        <v>Body Lotion</v>
      </c>
      <c r="J830" s="42" t="n">
        <f aca="false">IFERROR(INDEX(Calendar!$B$2:$B$25,MATCH(B830,Calendar!$A$2:$A$25,0)),0)</f>
        <v>2026</v>
      </c>
      <c r="K830" s="42" t="n">
        <f aca="false">IFERROR(VALUE(RIGHT(B830,2)),0)</f>
        <v>12</v>
      </c>
      <c r="L830" s="42" t="str">
        <f aca="false">IFERROR(INDEX(Calendar!$E$2:$E$25,MATCH(B830,Calendar!$A$2:$A$25,0)),"UNMATCHED")</f>
        <v>Forecast</v>
      </c>
      <c r="M830" s="42" t="n">
        <f aca="false">Sales_Transactions!F830</f>
        <v>389</v>
      </c>
      <c r="N830" s="52" t="n">
        <f aca="false">Sales_Transactions!I830</f>
        <v>119037.89</v>
      </c>
      <c r="O830" s="52" t="n">
        <f aca="false">Sales_Transactions!J830</f>
        <v>82728.63</v>
      </c>
      <c r="P830" s="52" t="n">
        <f aca="false">Sales_Transactions!K830</f>
        <v>36309.26</v>
      </c>
      <c r="Q830" s="42" t="n">
        <f aca="false">IF(ISNUMBER(MATCH(E830,Product_Master!$A$2:$A$9,0)),0,1)</f>
        <v>0</v>
      </c>
      <c r="R830" s="42" t="n">
        <f aca="false">IF(ISNUMBER(MATCH(D830,Customer_Master!$A$2:$A$49,0)),0,1)</f>
        <v>0</v>
      </c>
      <c r="S830" s="42" t="n">
        <f aca="false">IF(ISNUMBER(MATCH(B830,Calendar!$A$2:$A$25,0)),0,1)</f>
        <v>0</v>
      </c>
      <c r="T830" s="42" t="n">
        <f aca="false">IF(COUNTIF(Sales_Transactions!$A$2:$A$865,A830)&gt;1,1,0)</f>
        <v>0</v>
      </c>
      <c r="U830" s="42" t="n">
        <f aca="false">IF(OR(ABS(Sales_Transactions!F830*Sales_Transactions!G830-Sales_Transactions!I830)&gt;0.01,ABS(Sales_Transactions!F830*Sales_Transactions!H830-Sales_Transactions!J830)&gt;0.01,ABS(Sales_Transactions!I830-Sales_Transactions!J830-Sales_Transactions!K830)&gt;0.01),1,0)</f>
        <v>0</v>
      </c>
      <c r="V830" s="42" t="n">
        <f aca="false">IF(C830&lt;&gt;L830,1,0)</f>
        <v>0</v>
      </c>
      <c r="W830" s="42" t="n">
        <f aca="false">IF(SUM(Q830:V830)&gt;0,1,0)</f>
        <v>0</v>
      </c>
    </row>
    <row r="831" customFormat="false" ht="15" hidden="false" customHeight="false" outlineLevel="0" collapsed="false">
      <c r="A831" s="42" t="str">
        <f aca="false">Sales_Transactions!A831</f>
        <v>INV-24-002</v>
      </c>
      <c r="B831" s="42" t="str">
        <f aca="false">Sales_Transactions!B831</f>
        <v>2026-12</v>
      </c>
      <c r="C831" s="42" t="str">
        <f aca="false">Sales_Transactions!C831</f>
        <v>Forecast</v>
      </c>
      <c r="D831" s="42" t="str">
        <f aca="false">Sales_Transactions!D831</f>
        <v>C029</v>
      </c>
      <c r="E831" s="42" t="str">
        <f aca="false">Sales_Transactions!E831</f>
        <v>P005</v>
      </c>
      <c r="F831" s="42" t="str">
        <f aca="false">IFERROR(INDEX(Customer_Master!$C$2:$C$49,MATCH(D831,Customer_Master!$A$2:$A$49,0)),"UNMATCHED")</f>
        <v>South</v>
      </c>
      <c r="G831" s="42" t="str">
        <f aca="false">IFERROR(INDEX(Customer_Master!$D$2:$D$49,MATCH(D831,Customer_Master!$A$2:$A$49,0)),"UNMATCHED")</f>
        <v>Modern Trade</v>
      </c>
      <c r="H831" s="42" t="str">
        <f aca="false">IFERROR(INDEX(Product_Master!$C$2:$C$9,MATCH(E831,Product_Master!$A$2:$A$9,0)),"UNMATCHED")</f>
        <v>Foods</v>
      </c>
      <c r="I831" s="42" t="str">
        <f aca="false">IFERROR(INDEX(Product_Master!$B$2:$B$9,MATCH(E831,Product_Master!$A$2:$A$9,0)),"UNMATCHED")</f>
        <v>Biscuits 500g</v>
      </c>
      <c r="J831" s="42" t="n">
        <f aca="false">IFERROR(INDEX(Calendar!$B$2:$B$25,MATCH(B831,Calendar!$A$2:$A$25,0)),0)</f>
        <v>2026</v>
      </c>
      <c r="K831" s="42" t="n">
        <f aca="false">IFERROR(VALUE(RIGHT(B831,2)),0)</f>
        <v>12</v>
      </c>
      <c r="L831" s="42" t="str">
        <f aca="false">IFERROR(INDEX(Calendar!$E$2:$E$25,MATCH(B831,Calendar!$A$2:$A$25,0)),"UNMATCHED")</f>
        <v>Forecast</v>
      </c>
      <c r="M831" s="42" t="n">
        <f aca="false">Sales_Transactions!F831</f>
        <v>100</v>
      </c>
      <c r="N831" s="52" t="n">
        <f aca="false">Sales_Transactions!I831</f>
        <v>10697</v>
      </c>
      <c r="O831" s="52" t="n">
        <f aca="false">Sales_Transactions!J831</f>
        <v>7062</v>
      </c>
      <c r="P831" s="52" t="n">
        <f aca="false">Sales_Transactions!K831</f>
        <v>3635</v>
      </c>
      <c r="Q831" s="42" t="n">
        <f aca="false">IF(ISNUMBER(MATCH(E831,Product_Master!$A$2:$A$9,0)),0,1)</f>
        <v>0</v>
      </c>
      <c r="R831" s="42" t="n">
        <f aca="false">IF(ISNUMBER(MATCH(D831,Customer_Master!$A$2:$A$49,0)),0,1)</f>
        <v>0</v>
      </c>
      <c r="S831" s="42" t="n">
        <f aca="false">IF(ISNUMBER(MATCH(B831,Calendar!$A$2:$A$25,0)),0,1)</f>
        <v>0</v>
      </c>
      <c r="T831" s="42" t="n">
        <f aca="false">IF(COUNTIF(Sales_Transactions!$A$2:$A$865,A831)&gt;1,1,0)</f>
        <v>0</v>
      </c>
      <c r="U831" s="42" t="n">
        <f aca="false">IF(OR(ABS(Sales_Transactions!F831*Sales_Transactions!G831-Sales_Transactions!I831)&gt;0.01,ABS(Sales_Transactions!F831*Sales_Transactions!H831-Sales_Transactions!J831)&gt;0.01,ABS(Sales_Transactions!I831-Sales_Transactions!J831-Sales_Transactions!K831)&gt;0.01),1,0)</f>
        <v>0</v>
      </c>
      <c r="V831" s="42" t="n">
        <f aca="false">IF(C831&lt;&gt;L831,1,0)</f>
        <v>0</v>
      </c>
      <c r="W831" s="42" t="n">
        <f aca="false">IF(SUM(Q831:V831)&gt;0,1,0)</f>
        <v>0</v>
      </c>
    </row>
    <row r="832" customFormat="false" ht="15" hidden="false" customHeight="false" outlineLevel="0" collapsed="false">
      <c r="A832" s="42" t="str">
        <f aca="false">Sales_Transactions!A832</f>
        <v>INV-24-003</v>
      </c>
      <c r="B832" s="42" t="str">
        <f aca="false">Sales_Transactions!B832</f>
        <v>2026-12</v>
      </c>
      <c r="C832" s="42" t="str">
        <f aca="false">Sales_Transactions!C832</f>
        <v>Forecast</v>
      </c>
      <c r="D832" s="42" t="str">
        <f aca="false">Sales_Transactions!D832</f>
        <v>C036</v>
      </c>
      <c r="E832" s="42" t="str">
        <f aca="false">Sales_Transactions!E832</f>
        <v>P002</v>
      </c>
      <c r="F832" s="42" t="str">
        <f aca="false">IFERROR(INDEX(Customer_Master!$C$2:$C$49,MATCH(D832,Customer_Master!$A$2:$A$49,0)),"UNMATCHED")</f>
        <v>East</v>
      </c>
      <c r="G832" s="42" t="str">
        <f aca="false">IFERROR(INDEX(Customer_Master!$D$2:$D$49,MATCH(D832,Customer_Master!$A$2:$A$49,0)),"UNMATCHED")</f>
        <v>Retail</v>
      </c>
      <c r="H832" s="42" t="str">
        <f aca="false">IFERROR(INDEX(Product_Master!$C$2:$C$9,MATCH(E832,Product_Master!$A$2:$A$9,0)),"UNMATCHED")</f>
        <v>Home Care</v>
      </c>
      <c r="I832" s="42" t="str">
        <f aca="false">IFERROR(INDEX(Product_Master!$B$2:$B$9,MATCH(E832,Product_Master!$A$2:$A$9,0)),"UNMATCHED")</f>
        <v>Dishwash Gel</v>
      </c>
      <c r="J832" s="42" t="n">
        <f aca="false">IFERROR(INDEX(Calendar!$B$2:$B$25,MATCH(B832,Calendar!$A$2:$A$25,0)),0)</f>
        <v>2026</v>
      </c>
      <c r="K832" s="42" t="n">
        <f aca="false">IFERROR(VALUE(RIGHT(B832,2)),0)</f>
        <v>12</v>
      </c>
      <c r="L832" s="42" t="str">
        <f aca="false">IFERROR(INDEX(Calendar!$E$2:$E$25,MATCH(B832,Calendar!$A$2:$A$25,0)),"UNMATCHED")</f>
        <v>Forecast</v>
      </c>
      <c r="M832" s="42" t="n">
        <f aca="false">Sales_Transactions!F832</f>
        <v>315</v>
      </c>
      <c r="N832" s="52" t="n">
        <f aca="false">Sales_Transactions!I832</f>
        <v>43564.5</v>
      </c>
      <c r="O832" s="52" t="n">
        <f aca="false">Sales_Transactions!J832</f>
        <v>25899.3</v>
      </c>
      <c r="P832" s="52" t="n">
        <f aca="false">Sales_Transactions!K832</f>
        <v>17665.2</v>
      </c>
      <c r="Q832" s="42" t="n">
        <f aca="false">IF(ISNUMBER(MATCH(E832,Product_Master!$A$2:$A$9,0)),0,1)</f>
        <v>0</v>
      </c>
      <c r="R832" s="42" t="n">
        <f aca="false">IF(ISNUMBER(MATCH(D832,Customer_Master!$A$2:$A$49,0)),0,1)</f>
        <v>0</v>
      </c>
      <c r="S832" s="42" t="n">
        <f aca="false">IF(ISNUMBER(MATCH(B832,Calendar!$A$2:$A$25,0)),0,1)</f>
        <v>0</v>
      </c>
      <c r="T832" s="42" t="n">
        <f aca="false">IF(COUNTIF(Sales_Transactions!$A$2:$A$865,A832)&gt;1,1,0)</f>
        <v>0</v>
      </c>
      <c r="U832" s="42" t="n">
        <f aca="false">IF(OR(ABS(Sales_Transactions!F832*Sales_Transactions!G832-Sales_Transactions!I832)&gt;0.01,ABS(Sales_Transactions!F832*Sales_Transactions!H832-Sales_Transactions!J832)&gt;0.01,ABS(Sales_Transactions!I832-Sales_Transactions!J832-Sales_Transactions!K832)&gt;0.01),1,0)</f>
        <v>0</v>
      </c>
      <c r="V832" s="42" t="n">
        <f aca="false">IF(C832&lt;&gt;L832,1,0)</f>
        <v>0</v>
      </c>
      <c r="W832" s="42" t="n">
        <f aca="false">IF(SUM(Q832:V832)&gt;0,1,0)</f>
        <v>0</v>
      </c>
    </row>
    <row r="833" customFormat="false" ht="15" hidden="false" customHeight="false" outlineLevel="0" collapsed="false">
      <c r="A833" s="42" t="str">
        <f aca="false">Sales_Transactions!A833</f>
        <v>INV-24-004</v>
      </c>
      <c r="B833" s="42" t="str">
        <f aca="false">Sales_Transactions!B833</f>
        <v>2026-12</v>
      </c>
      <c r="C833" s="42" t="str">
        <f aca="false">Sales_Transactions!C833</f>
        <v>Forecast</v>
      </c>
      <c r="D833" s="42" t="str">
        <f aca="false">Sales_Transactions!D833</f>
        <v>C043</v>
      </c>
      <c r="E833" s="42" t="str">
        <f aca="false">Sales_Transactions!E833</f>
        <v>P007</v>
      </c>
      <c r="F833" s="42" t="str">
        <f aca="false">IFERROR(INDEX(Customer_Master!$C$2:$C$49,MATCH(D833,Customer_Master!$A$2:$A$49,0)),"UNMATCHED")</f>
        <v>West</v>
      </c>
      <c r="G833" s="42" t="str">
        <f aca="false">IFERROR(INDEX(Customer_Master!$D$2:$D$49,MATCH(D833,Customer_Master!$A$2:$A$49,0)),"UNMATCHED")</f>
        <v>Distributor</v>
      </c>
      <c r="H833" s="42" t="str">
        <f aca="false">IFERROR(INDEX(Product_Master!$C$2:$C$9,MATCH(E833,Product_Master!$A$2:$A$9,0)),"UNMATCHED")</f>
        <v>Home Care</v>
      </c>
      <c r="I833" s="42" t="str">
        <f aca="false">IFERROR(INDEX(Product_Master!$B$2:$B$9,MATCH(E833,Product_Master!$A$2:$A$9,0)),"UNMATCHED")</f>
        <v>Floor Cleaner</v>
      </c>
      <c r="J833" s="42" t="n">
        <f aca="false">IFERROR(INDEX(Calendar!$B$2:$B$25,MATCH(B833,Calendar!$A$2:$A$25,0)),0)</f>
        <v>2026</v>
      </c>
      <c r="K833" s="42" t="n">
        <f aca="false">IFERROR(VALUE(RIGHT(B833,2)),0)</f>
        <v>12</v>
      </c>
      <c r="L833" s="42" t="str">
        <f aca="false">IFERROR(INDEX(Calendar!$E$2:$E$25,MATCH(B833,Calendar!$A$2:$A$25,0)),"UNMATCHED")</f>
        <v>Forecast</v>
      </c>
      <c r="M833" s="42" t="n">
        <f aca="false">Sales_Transactions!F833</f>
        <v>277</v>
      </c>
      <c r="N833" s="52" t="n">
        <f aca="false">Sales_Transactions!I833</f>
        <v>49796.29</v>
      </c>
      <c r="O833" s="52" t="n">
        <f aca="false">Sales_Transactions!J833</f>
        <v>32314.82</v>
      </c>
      <c r="P833" s="52" t="n">
        <f aca="false">Sales_Transactions!K833</f>
        <v>17481.47</v>
      </c>
      <c r="Q833" s="42" t="n">
        <f aca="false">IF(ISNUMBER(MATCH(E833,Product_Master!$A$2:$A$9,0)),0,1)</f>
        <v>0</v>
      </c>
      <c r="R833" s="42" t="n">
        <f aca="false">IF(ISNUMBER(MATCH(D833,Customer_Master!$A$2:$A$49,0)),0,1)</f>
        <v>0</v>
      </c>
      <c r="S833" s="42" t="n">
        <f aca="false">IF(ISNUMBER(MATCH(B833,Calendar!$A$2:$A$25,0)),0,1)</f>
        <v>0</v>
      </c>
      <c r="T833" s="42" t="n">
        <f aca="false">IF(COUNTIF(Sales_Transactions!$A$2:$A$865,A833)&gt;1,1,0)</f>
        <v>0</v>
      </c>
      <c r="U833" s="42" t="n">
        <f aca="false">IF(OR(ABS(Sales_Transactions!F833*Sales_Transactions!G833-Sales_Transactions!I833)&gt;0.01,ABS(Sales_Transactions!F833*Sales_Transactions!H833-Sales_Transactions!J833)&gt;0.01,ABS(Sales_Transactions!I833-Sales_Transactions!J833-Sales_Transactions!K833)&gt;0.01),1,0)</f>
        <v>0</v>
      </c>
      <c r="V833" s="42" t="n">
        <f aca="false">IF(C833&lt;&gt;L833,1,0)</f>
        <v>0</v>
      </c>
      <c r="W833" s="42" t="n">
        <f aca="false">IF(SUM(Q833:V833)&gt;0,1,0)</f>
        <v>0</v>
      </c>
    </row>
    <row r="834" customFormat="false" ht="15" hidden="false" customHeight="false" outlineLevel="0" collapsed="false">
      <c r="A834" s="42" t="str">
        <f aca="false">Sales_Transactions!A834</f>
        <v>INV-24-005</v>
      </c>
      <c r="B834" s="42" t="str">
        <f aca="false">Sales_Transactions!B834</f>
        <v>2026-12</v>
      </c>
      <c r="C834" s="42" t="str">
        <f aca="false">Sales_Transactions!C834</f>
        <v>Forecast</v>
      </c>
      <c r="D834" s="42" t="str">
        <f aca="false">Sales_Transactions!D834</f>
        <v>C002</v>
      </c>
      <c r="E834" s="42" t="str">
        <f aca="false">Sales_Transactions!E834</f>
        <v>P004</v>
      </c>
      <c r="F834" s="42" t="str">
        <f aca="false">IFERROR(INDEX(Customer_Master!$C$2:$C$49,MATCH(D834,Customer_Master!$A$2:$A$49,0)),"UNMATCHED")</f>
        <v>North</v>
      </c>
      <c r="G834" s="42" t="str">
        <f aca="false">IFERROR(INDEX(Customer_Master!$D$2:$D$49,MATCH(D834,Customer_Master!$A$2:$A$49,0)),"UNMATCHED")</f>
        <v>Modern Trade</v>
      </c>
      <c r="H834" s="42" t="str">
        <f aca="false">IFERROR(INDEX(Product_Master!$C$2:$C$9,MATCH(E834,Product_Master!$A$2:$A$9,0)),"UNMATCHED")</f>
        <v>Personal Care</v>
      </c>
      <c r="I834" s="42" t="str">
        <f aca="false">IFERROR(INDEX(Product_Master!$B$2:$B$9,MATCH(E834,Product_Master!$A$2:$A$9,0)),"UNMATCHED")</f>
        <v>Soap 4-pack</v>
      </c>
      <c r="J834" s="42" t="n">
        <f aca="false">IFERROR(INDEX(Calendar!$B$2:$B$25,MATCH(B834,Calendar!$A$2:$A$25,0)),0)</f>
        <v>2026</v>
      </c>
      <c r="K834" s="42" t="n">
        <f aca="false">IFERROR(VALUE(RIGHT(B834,2)),0)</f>
        <v>12</v>
      </c>
      <c r="L834" s="42" t="str">
        <f aca="false">IFERROR(INDEX(Calendar!$E$2:$E$25,MATCH(B834,Calendar!$A$2:$A$25,0)),"UNMATCHED")</f>
        <v>Forecast</v>
      </c>
      <c r="M834" s="42" t="n">
        <f aca="false">Sales_Transactions!F834</f>
        <v>423</v>
      </c>
      <c r="N834" s="52" t="n">
        <f aca="false">Sales_Transactions!I834</f>
        <v>69541.2</v>
      </c>
      <c r="O834" s="52" t="n">
        <f aca="false">Sales_Transactions!J834</f>
        <v>42748.38</v>
      </c>
      <c r="P834" s="52" t="n">
        <f aca="false">Sales_Transactions!K834</f>
        <v>26792.82</v>
      </c>
      <c r="Q834" s="42" t="n">
        <f aca="false">IF(ISNUMBER(MATCH(E834,Product_Master!$A$2:$A$9,0)),0,1)</f>
        <v>0</v>
      </c>
      <c r="R834" s="42" t="n">
        <f aca="false">IF(ISNUMBER(MATCH(D834,Customer_Master!$A$2:$A$49,0)),0,1)</f>
        <v>0</v>
      </c>
      <c r="S834" s="42" t="n">
        <f aca="false">IF(ISNUMBER(MATCH(B834,Calendar!$A$2:$A$25,0)),0,1)</f>
        <v>0</v>
      </c>
      <c r="T834" s="42" t="n">
        <f aca="false">IF(COUNTIF(Sales_Transactions!$A$2:$A$865,A834)&gt;1,1,0)</f>
        <v>0</v>
      </c>
      <c r="U834" s="42" t="n">
        <f aca="false">IF(OR(ABS(Sales_Transactions!F834*Sales_Transactions!G834-Sales_Transactions!I834)&gt;0.01,ABS(Sales_Transactions!F834*Sales_Transactions!H834-Sales_Transactions!J834)&gt;0.01,ABS(Sales_Transactions!I834-Sales_Transactions!J834-Sales_Transactions!K834)&gt;0.01),1,0)</f>
        <v>0</v>
      </c>
      <c r="V834" s="42" t="n">
        <f aca="false">IF(C834&lt;&gt;L834,1,0)</f>
        <v>0</v>
      </c>
      <c r="W834" s="42" t="n">
        <f aca="false">IF(SUM(Q834:V834)&gt;0,1,0)</f>
        <v>0</v>
      </c>
    </row>
    <row r="835" customFormat="false" ht="15" hidden="false" customHeight="false" outlineLevel="0" collapsed="false">
      <c r="A835" s="42" t="str">
        <f aca="false">Sales_Transactions!A835</f>
        <v>INV-24-006</v>
      </c>
      <c r="B835" s="42" t="str">
        <f aca="false">Sales_Transactions!B835</f>
        <v>2026-12</v>
      </c>
      <c r="C835" s="42" t="str">
        <f aca="false">Sales_Transactions!C835</f>
        <v>Forecast</v>
      </c>
      <c r="D835" s="42" t="str">
        <f aca="false">Sales_Transactions!D835</f>
        <v>C009</v>
      </c>
      <c r="E835" s="42" t="str">
        <f aca="false">Sales_Transactions!E835</f>
        <v>P001</v>
      </c>
      <c r="F835" s="42" t="str">
        <f aca="false">IFERROR(INDEX(Customer_Master!$C$2:$C$49,MATCH(D835,Customer_Master!$A$2:$A$49,0)),"UNMATCHED")</f>
        <v>South</v>
      </c>
      <c r="G835" s="42" t="str">
        <f aca="false">IFERROR(INDEX(Customer_Master!$D$2:$D$49,MATCH(D835,Customer_Master!$A$2:$A$49,0)),"UNMATCHED")</f>
        <v>Retail</v>
      </c>
      <c r="H835" s="42" t="str">
        <f aca="false">IFERROR(INDEX(Product_Master!$C$2:$C$9,MATCH(E835,Product_Master!$A$2:$A$9,0)),"UNMATCHED")</f>
        <v>Home Care</v>
      </c>
      <c r="I835" s="42" t="str">
        <f aca="false">IFERROR(INDEX(Product_Master!$B$2:$B$9,MATCH(E835,Product_Master!$A$2:$A$9,0)),"UNMATCHED")</f>
        <v>Detergent 1kg</v>
      </c>
      <c r="J835" s="42" t="n">
        <f aca="false">IFERROR(INDEX(Calendar!$B$2:$B$25,MATCH(B835,Calendar!$A$2:$A$25,0)),0)</f>
        <v>2026</v>
      </c>
      <c r="K835" s="42" t="n">
        <f aca="false">IFERROR(VALUE(RIGHT(B835,2)),0)</f>
        <v>12</v>
      </c>
      <c r="L835" s="42" t="str">
        <f aca="false">IFERROR(INDEX(Calendar!$E$2:$E$25,MATCH(B835,Calendar!$A$2:$A$25,0)),"UNMATCHED")</f>
        <v>Forecast</v>
      </c>
      <c r="M835" s="42" t="n">
        <f aca="false">Sales_Transactions!F835</f>
        <v>236</v>
      </c>
      <c r="N835" s="52" t="n">
        <f aca="false">Sales_Transactions!I835</f>
        <v>49250.84</v>
      </c>
      <c r="O835" s="52" t="n">
        <f aca="false">Sales_Transactions!J835</f>
        <v>32572.72</v>
      </c>
      <c r="P835" s="52" t="n">
        <f aca="false">Sales_Transactions!K835</f>
        <v>16678.12</v>
      </c>
      <c r="Q835" s="42" t="n">
        <f aca="false">IF(ISNUMBER(MATCH(E835,Product_Master!$A$2:$A$9,0)),0,1)</f>
        <v>0</v>
      </c>
      <c r="R835" s="42" t="n">
        <f aca="false">IF(ISNUMBER(MATCH(D835,Customer_Master!$A$2:$A$49,0)),0,1)</f>
        <v>0</v>
      </c>
      <c r="S835" s="42" t="n">
        <f aca="false">IF(ISNUMBER(MATCH(B835,Calendar!$A$2:$A$25,0)),0,1)</f>
        <v>0</v>
      </c>
      <c r="T835" s="42" t="n">
        <f aca="false">IF(COUNTIF(Sales_Transactions!$A$2:$A$865,A835)&gt;1,1,0)</f>
        <v>0</v>
      </c>
      <c r="U835" s="42" t="n">
        <f aca="false">IF(OR(ABS(Sales_Transactions!F835*Sales_Transactions!G835-Sales_Transactions!I835)&gt;0.01,ABS(Sales_Transactions!F835*Sales_Transactions!H835-Sales_Transactions!J835)&gt;0.01,ABS(Sales_Transactions!I835-Sales_Transactions!J835-Sales_Transactions!K835)&gt;0.01),1,0)</f>
        <v>0</v>
      </c>
      <c r="V835" s="42" t="n">
        <f aca="false">IF(C835&lt;&gt;L835,1,0)</f>
        <v>0</v>
      </c>
      <c r="W835" s="42" t="n">
        <f aca="false">IF(SUM(Q835:V835)&gt;0,1,0)</f>
        <v>0</v>
      </c>
    </row>
    <row r="836" customFormat="false" ht="15" hidden="false" customHeight="false" outlineLevel="0" collapsed="false">
      <c r="A836" s="42" t="str">
        <f aca="false">Sales_Transactions!A836</f>
        <v>INV-24-007</v>
      </c>
      <c r="B836" s="42" t="str">
        <f aca="false">Sales_Transactions!B836</f>
        <v>2026-12</v>
      </c>
      <c r="C836" s="42" t="str">
        <f aca="false">Sales_Transactions!C836</f>
        <v>Forecast</v>
      </c>
      <c r="D836" s="42" t="str">
        <f aca="false">Sales_Transactions!D836</f>
        <v>C016</v>
      </c>
      <c r="E836" s="42" t="str">
        <f aca="false">Sales_Transactions!E836</f>
        <v>P006</v>
      </c>
      <c r="F836" s="42" t="str">
        <f aca="false">IFERROR(INDEX(Customer_Master!$C$2:$C$49,MATCH(D836,Customer_Master!$A$2:$A$49,0)),"UNMATCHED")</f>
        <v>East</v>
      </c>
      <c r="G836" s="42" t="str">
        <f aca="false">IFERROR(INDEX(Customer_Master!$D$2:$D$49,MATCH(D836,Customer_Master!$A$2:$A$49,0)),"UNMATCHED")</f>
        <v>Distributor</v>
      </c>
      <c r="H836" s="42" t="str">
        <f aca="false">IFERROR(INDEX(Product_Master!$C$2:$C$9,MATCH(E836,Product_Master!$A$2:$A$9,0)),"UNMATCHED")</f>
        <v>Foods</v>
      </c>
      <c r="I836" s="42" t="str">
        <f aca="false">IFERROR(INDEX(Product_Master!$B$2:$B$9,MATCH(E836,Product_Master!$A$2:$A$9,0)),"UNMATCHED")</f>
        <v>Breakfast Cereal</v>
      </c>
      <c r="J836" s="42" t="n">
        <f aca="false">IFERROR(INDEX(Calendar!$B$2:$B$25,MATCH(B836,Calendar!$A$2:$A$25,0)),0)</f>
        <v>2026</v>
      </c>
      <c r="K836" s="42" t="n">
        <f aca="false">IFERROR(VALUE(RIGHT(B836,2)),0)</f>
        <v>12</v>
      </c>
      <c r="L836" s="42" t="str">
        <f aca="false">IFERROR(INDEX(Calendar!$E$2:$E$25,MATCH(B836,Calendar!$A$2:$A$25,0)),"UNMATCHED")</f>
        <v>Forecast</v>
      </c>
      <c r="M836" s="42" t="n">
        <f aca="false">Sales_Transactions!F836</f>
        <v>127</v>
      </c>
      <c r="N836" s="52" t="n">
        <f aca="false">Sales_Transactions!I836</f>
        <v>29950.41</v>
      </c>
      <c r="O836" s="52" t="n">
        <f aca="false">Sales_Transactions!J836</f>
        <v>19922.49</v>
      </c>
      <c r="P836" s="52" t="n">
        <f aca="false">Sales_Transactions!K836</f>
        <v>10027.92</v>
      </c>
      <c r="Q836" s="42" t="n">
        <f aca="false">IF(ISNUMBER(MATCH(E836,Product_Master!$A$2:$A$9,0)),0,1)</f>
        <v>0</v>
      </c>
      <c r="R836" s="42" t="n">
        <f aca="false">IF(ISNUMBER(MATCH(D836,Customer_Master!$A$2:$A$49,0)),0,1)</f>
        <v>0</v>
      </c>
      <c r="S836" s="42" t="n">
        <f aca="false">IF(ISNUMBER(MATCH(B836,Calendar!$A$2:$A$25,0)),0,1)</f>
        <v>0</v>
      </c>
      <c r="T836" s="42" t="n">
        <f aca="false">IF(COUNTIF(Sales_Transactions!$A$2:$A$865,A836)&gt;1,1,0)</f>
        <v>0</v>
      </c>
      <c r="U836" s="42" t="n">
        <f aca="false">IF(OR(ABS(Sales_Transactions!F836*Sales_Transactions!G836-Sales_Transactions!I836)&gt;0.01,ABS(Sales_Transactions!F836*Sales_Transactions!H836-Sales_Transactions!J836)&gt;0.01,ABS(Sales_Transactions!I836-Sales_Transactions!J836-Sales_Transactions!K836)&gt;0.01),1,0)</f>
        <v>0</v>
      </c>
      <c r="V836" s="42" t="n">
        <f aca="false">IF(C836&lt;&gt;L836,1,0)</f>
        <v>0</v>
      </c>
      <c r="W836" s="42" t="n">
        <f aca="false">IF(SUM(Q836:V836)&gt;0,1,0)</f>
        <v>0</v>
      </c>
    </row>
    <row r="837" customFormat="false" ht="15" hidden="false" customHeight="false" outlineLevel="0" collapsed="false">
      <c r="A837" s="42" t="str">
        <f aca="false">Sales_Transactions!A837</f>
        <v>INV-24-008</v>
      </c>
      <c r="B837" s="42" t="str">
        <f aca="false">Sales_Transactions!B837</f>
        <v>2026-12</v>
      </c>
      <c r="C837" s="42" t="str">
        <f aca="false">Sales_Transactions!C837</f>
        <v>Forecast</v>
      </c>
      <c r="D837" s="42" t="str">
        <f aca="false">Sales_Transactions!D837</f>
        <v>C023</v>
      </c>
      <c r="E837" s="42" t="str">
        <f aca="false">Sales_Transactions!E837</f>
        <v>P003</v>
      </c>
      <c r="F837" s="42" t="str">
        <f aca="false">IFERROR(INDEX(Customer_Master!$C$2:$C$49,MATCH(D837,Customer_Master!$A$2:$A$49,0)),"UNMATCHED")</f>
        <v>West</v>
      </c>
      <c r="G837" s="42" t="str">
        <f aca="false">IFERROR(INDEX(Customer_Master!$D$2:$D$49,MATCH(D837,Customer_Master!$A$2:$A$49,0)),"UNMATCHED")</f>
        <v>Modern Trade</v>
      </c>
      <c r="H837" s="42" t="str">
        <f aca="false">IFERROR(INDEX(Product_Master!$C$2:$C$9,MATCH(E837,Product_Master!$A$2:$A$9,0)),"UNMATCHED")</f>
        <v>Personal Care</v>
      </c>
      <c r="I837" s="42" t="str">
        <f aca="false">IFERROR(INDEX(Product_Master!$B$2:$B$9,MATCH(E837,Product_Master!$A$2:$A$9,0)),"UNMATCHED")</f>
        <v>Shampoo 400ml</v>
      </c>
      <c r="J837" s="42" t="n">
        <f aca="false">IFERROR(INDEX(Calendar!$B$2:$B$25,MATCH(B837,Calendar!$A$2:$A$25,0)),0)</f>
        <v>2026</v>
      </c>
      <c r="K837" s="42" t="n">
        <f aca="false">IFERROR(VALUE(RIGHT(B837,2)),0)</f>
        <v>12</v>
      </c>
      <c r="L837" s="42" t="str">
        <f aca="false">IFERROR(INDEX(Calendar!$E$2:$E$25,MATCH(B837,Calendar!$A$2:$A$25,0)),"UNMATCHED")</f>
        <v>Forecast</v>
      </c>
      <c r="M837" s="42" t="n">
        <f aca="false">Sales_Transactions!F837</f>
        <v>409</v>
      </c>
      <c r="N837" s="52" t="n">
        <f aca="false">Sales_Transactions!I837</f>
        <v>104221.38</v>
      </c>
      <c r="O837" s="52" t="n">
        <f aca="false">Sales_Transactions!J837</f>
        <v>70413.44</v>
      </c>
      <c r="P837" s="52" t="n">
        <f aca="false">Sales_Transactions!K837</f>
        <v>33807.94</v>
      </c>
      <c r="Q837" s="42" t="n">
        <f aca="false">IF(ISNUMBER(MATCH(E837,Product_Master!$A$2:$A$9,0)),0,1)</f>
        <v>0</v>
      </c>
      <c r="R837" s="42" t="n">
        <f aca="false">IF(ISNUMBER(MATCH(D837,Customer_Master!$A$2:$A$49,0)),0,1)</f>
        <v>0</v>
      </c>
      <c r="S837" s="42" t="n">
        <f aca="false">IF(ISNUMBER(MATCH(B837,Calendar!$A$2:$A$25,0)),0,1)</f>
        <v>0</v>
      </c>
      <c r="T837" s="42" t="n">
        <f aca="false">IF(COUNTIF(Sales_Transactions!$A$2:$A$865,A837)&gt;1,1,0)</f>
        <v>0</v>
      </c>
      <c r="U837" s="42" t="n">
        <f aca="false">IF(OR(ABS(Sales_Transactions!F837*Sales_Transactions!G837-Sales_Transactions!I837)&gt;0.01,ABS(Sales_Transactions!F837*Sales_Transactions!H837-Sales_Transactions!J837)&gt;0.01,ABS(Sales_Transactions!I837-Sales_Transactions!J837-Sales_Transactions!K837)&gt;0.01),1,0)</f>
        <v>0</v>
      </c>
      <c r="V837" s="42" t="n">
        <f aca="false">IF(C837&lt;&gt;L837,1,0)</f>
        <v>0</v>
      </c>
      <c r="W837" s="42" t="n">
        <f aca="false">IF(SUM(Q837:V837)&gt;0,1,0)</f>
        <v>0</v>
      </c>
    </row>
    <row r="838" customFormat="false" ht="15" hidden="false" customHeight="false" outlineLevel="0" collapsed="false">
      <c r="A838" s="42" t="str">
        <f aca="false">Sales_Transactions!A838</f>
        <v>INV-24-009</v>
      </c>
      <c r="B838" s="42" t="str">
        <f aca="false">Sales_Transactions!B838</f>
        <v>2026-12</v>
      </c>
      <c r="C838" s="42" t="str">
        <f aca="false">Sales_Transactions!C838</f>
        <v>Forecast</v>
      </c>
      <c r="D838" s="42" t="str">
        <f aca="false">Sales_Transactions!D838</f>
        <v>C030</v>
      </c>
      <c r="E838" s="42" t="str">
        <f aca="false">Sales_Transactions!E838</f>
        <v>P008</v>
      </c>
      <c r="F838" s="42" t="str">
        <f aca="false">IFERROR(INDEX(Customer_Master!$C$2:$C$49,MATCH(D838,Customer_Master!$A$2:$A$49,0)),"UNMATCHED")</f>
        <v>North</v>
      </c>
      <c r="G838" s="42" t="str">
        <f aca="false">IFERROR(INDEX(Customer_Master!$D$2:$D$49,MATCH(D838,Customer_Master!$A$2:$A$49,0)),"UNMATCHED")</f>
        <v>Retail</v>
      </c>
      <c r="H838" s="42" t="str">
        <f aca="false">IFERROR(INDEX(Product_Master!$C$2:$C$9,MATCH(E838,Product_Master!$A$2:$A$9,0)),"UNMATCHED")</f>
        <v>Personal Care</v>
      </c>
      <c r="I838" s="42" t="str">
        <f aca="false">IFERROR(INDEX(Product_Master!$B$2:$B$9,MATCH(E838,Product_Master!$A$2:$A$9,0)),"UNMATCHED")</f>
        <v>Body Lotion</v>
      </c>
      <c r="J838" s="42" t="n">
        <f aca="false">IFERROR(INDEX(Calendar!$B$2:$B$25,MATCH(B838,Calendar!$A$2:$A$25,0)),0)</f>
        <v>2026</v>
      </c>
      <c r="K838" s="42" t="n">
        <f aca="false">IFERROR(VALUE(RIGHT(B838,2)),0)</f>
        <v>12</v>
      </c>
      <c r="L838" s="42" t="str">
        <f aca="false">IFERROR(INDEX(Calendar!$E$2:$E$25,MATCH(B838,Calendar!$A$2:$A$25,0)),"UNMATCHED")</f>
        <v>Forecast</v>
      </c>
      <c r="M838" s="42" t="n">
        <f aca="false">Sales_Transactions!F838</f>
        <v>269</v>
      </c>
      <c r="N838" s="52" t="n">
        <f aca="false">Sales_Transactions!I838</f>
        <v>79018.75</v>
      </c>
      <c r="O838" s="52" t="n">
        <f aca="false">Sales_Transactions!J838</f>
        <v>52199.45</v>
      </c>
      <c r="P838" s="52" t="n">
        <f aca="false">Sales_Transactions!K838</f>
        <v>26819.3</v>
      </c>
      <c r="Q838" s="42" t="n">
        <f aca="false">IF(ISNUMBER(MATCH(E838,Product_Master!$A$2:$A$9,0)),0,1)</f>
        <v>0</v>
      </c>
      <c r="R838" s="42" t="n">
        <f aca="false">IF(ISNUMBER(MATCH(D838,Customer_Master!$A$2:$A$49,0)),0,1)</f>
        <v>0</v>
      </c>
      <c r="S838" s="42" t="n">
        <f aca="false">IF(ISNUMBER(MATCH(B838,Calendar!$A$2:$A$25,0)),0,1)</f>
        <v>0</v>
      </c>
      <c r="T838" s="42" t="n">
        <f aca="false">IF(COUNTIF(Sales_Transactions!$A$2:$A$865,A838)&gt;1,1,0)</f>
        <v>0</v>
      </c>
      <c r="U838" s="42" t="n">
        <f aca="false">IF(OR(ABS(Sales_Transactions!F838*Sales_Transactions!G838-Sales_Transactions!I838)&gt;0.01,ABS(Sales_Transactions!F838*Sales_Transactions!H838-Sales_Transactions!J838)&gt;0.01,ABS(Sales_Transactions!I838-Sales_Transactions!J838-Sales_Transactions!K838)&gt;0.01),1,0)</f>
        <v>0</v>
      </c>
      <c r="V838" s="42" t="n">
        <f aca="false">IF(C838&lt;&gt;L838,1,0)</f>
        <v>0</v>
      </c>
      <c r="W838" s="42" t="n">
        <f aca="false">IF(SUM(Q838:V838)&gt;0,1,0)</f>
        <v>0</v>
      </c>
    </row>
    <row r="839" customFormat="false" ht="15" hidden="false" customHeight="false" outlineLevel="0" collapsed="false">
      <c r="A839" s="42" t="str">
        <f aca="false">Sales_Transactions!A839</f>
        <v>INV-24-010</v>
      </c>
      <c r="B839" s="42" t="str">
        <f aca="false">Sales_Transactions!B839</f>
        <v>2026-12</v>
      </c>
      <c r="C839" s="42" t="str">
        <f aca="false">Sales_Transactions!C839</f>
        <v>Forecast</v>
      </c>
      <c r="D839" s="42" t="str">
        <f aca="false">Sales_Transactions!D839</f>
        <v>C037</v>
      </c>
      <c r="E839" s="42" t="str">
        <f aca="false">Sales_Transactions!E839</f>
        <v>P005</v>
      </c>
      <c r="F839" s="42" t="str">
        <f aca="false">IFERROR(INDEX(Customer_Master!$C$2:$C$49,MATCH(D839,Customer_Master!$A$2:$A$49,0)),"UNMATCHED")</f>
        <v>South</v>
      </c>
      <c r="G839" s="42" t="str">
        <f aca="false">IFERROR(INDEX(Customer_Master!$D$2:$D$49,MATCH(D839,Customer_Master!$A$2:$A$49,0)),"UNMATCHED")</f>
        <v>Distributor</v>
      </c>
      <c r="H839" s="42" t="str">
        <f aca="false">IFERROR(INDEX(Product_Master!$C$2:$C$9,MATCH(E839,Product_Master!$A$2:$A$9,0)),"UNMATCHED")</f>
        <v>Foods</v>
      </c>
      <c r="I839" s="42" t="str">
        <f aca="false">IFERROR(INDEX(Product_Master!$B$2:$B$9,MATCH(E839,Product_Master!$A$2:$A$9,0)),"UNMATCHED")</f>
        <v>Biscuits 500g</v>
      </c>
      <c r="J839" s="42" t="n">
        <f aca="false">IFERROR(INDEX(Calendar!$B$2:$B$25,MATCH(B839,Calendar!$A$2:$A$25,0)),0)</f>
        <v>2026</v>
      </c>
      <c r="K839" s="42" t="n">
        <f aca="false">IFERROR(VALUE(RIGHT(B839,2)),0)</f>
        <v>12</v>
      </c>
      <c r="L839" s="42" t="str">
        <f aca="false">IFERROR(INDEX(Calendar!$E$2:$E$25,MATCH(B839,Calendar!$A$2:$A$25,0)),"UNMATCHED")</f>
        <v>Forecast</v>
      </c>
      <c r="M839" s="42" t="n">
        <f aca="false">Sales_Transactions!F839</f>
        <v>242</v>
      </c>
      <c r="N839" s="52" t="n">
        <f aca="false">Sales_Transactions!I839</f>
        <v>25230.92</v>
      </c>
      <c r="O839" s="52" t="n">
        <f aca="false">Sales_Transactions!J839</f>
        <v>17046.48</v>
      </c>
      <c r="P839" s="52" t="n">
        <f aca="false">Sales_Transactions!K839</f>
        <v>8184.44</v>
      </c>
      <c r="Q839" s="42" t="n">
        <f aca="false">IF(ISNUMBER(MATCH(E839,Product_Master!$A$2:$A$9,0)),0,1)</f>
        <v>0</v>
      </c>
      <c r="R839" s="42" t="n">
        <f aca="false">IF(ISNUMBER(MATCH(D839,Customer_Master!$A$2:$A$49,0)),0,1)</f>
        <v>0</v>
      </c>
      <c r="S839" s="42" t="n">
        <f aca="false">IF(ISNUMBER(MATCH(B839,Calendar!$A$2:$A$25,0)),0,1)</f>
        <v>0</v>
      </c>
      <c r="T839" s="42" t="n">
        <f aca="false">IF(COUNTIF(Sales_Transactions!$A$2:$A$865,A839)&gt;1,1,0)</f>
        <v>0</v>
      </c>
      <c r="U839" s="42" t="n">
        <f aca="false">IF(OR(ABS(Sales_Transactions!F839*Sales_Transactions!G839-Sales_Transactions!I839)&gt;0.01,ABS(Sales_Transactions!F839*Sales_Transactions!H839-Sales_Transactions!J839)&gt;0.01,ABS(Sales_Transactions!I839-Sales_Transactions!J839-Sales_Transactions!K839)&gt;0.01),1,0)</f>
        <v>0</v>
      </c>
      <c r="V839" s="42" t="n">
        <f aca="false">IF(C839&lt;&gt;L839,1,0)</f>
        <v>0</v>
      </c>
      <c r="W839" s="42" t="n">
        <f aca="false">IF(SUM(Q839:V839)&gt;0,1,0)</f>
        <v>0</v>
      </c>
    </row>
    <row r="840" customFormat="false" ht="15" hidden="false" customHeight="false" outlineLevel="0" collapsed="false">
      <c r="A840" s="42" t="str">
        <f aca="false">Sales_Transactions!A840</f>
        <v>INV-24-011</v>
      </c>
      <c r="B840" s="42" t="str">
        <f aca="false">Sales_Transactions!B840</f>
        <v>2026-12</v>
      </c>
      <c r="C840" s="42" t="str">
        <f aca="false">Sales_Transactions!C840</f>
        <v>Forecast</v>
      </c>
      <c r="D840" s="42" t="str">
        <f aca="false">Sales_Transactions!D840</f>
        <v>C044</v>
      </c>
      <c r="E840" s="42" t="str">
        <f aca="false">Sales_Transactions!E840</f>
        <v>P002</v>
      </c>
      <c r="F840" s="42" t="str">
        <f aca="false">IFERROR(INDEX(Customer_Master!$C$2:$C$49,MATCH(D840,Customer_Master!$A$2:$A$49,0)),"UNMATCHED")</f>
        <v>East</v>
      </c>
      <c r="G840" s="42" t="str">
        <f aca="false">IFERROR(INDEX(Customer_Master!$D$2:$D$49,MATCH(D840,Customer_Master!$A$2:$A$49,0)),"UNMATCHED")</f>
        <v>Modern Trade</v>
      </c>
      <c r="H840" s="42" t="str">
        <f aca="false">IFERROR(INDEX(Product_Master!$C$2:$C$9,MATCH(E840,Product_Master!$A$2:$A$9,0)),"UNMATCHED")</f>
        <v>Home Care</v>
      </c>
      <c r="I840" s="42" t="str">
        <f aca="false">IFERROR(INDEX(Product_Master!$B$2:$B$9,MATCH(E840,Product_Master!$A$2:$A$9,0)),"UNMATCHED")</f>
        <v>Dishwash Gel</v>
      </c>
      <c r="J840" s="42" t="n">
        <f aca="false">IFERROR(INDEX(Calendar!$B$2:$B$25,MATCH(B840,Calendar!$A$2:$A$25,0)),0)</f>
        <v>2026</v>
      </c>
      <c r="K840" s="42" t="n">
        <f aca="false">IFERROR(VALUE(RIGHT(B840,2)),0)</f>
        <v>12</v>
      </c>
      <c r="L840" s="42" t="str">
        <f aca="false">IFERROR(INDEX(Calendar!$E$2:$E$25,MATCH(B840,Calendar!$A$2:$A$25,0)),"UNMATCHED")</f>
        <v>Forecast</v>
      </c>
      <c r="M840" s="42" t="n">
        <f aca="false">Sales_Transactions!F840</f>
        <v>137</v>
      </c>
      <c r="N840" s="52" t="n">
        <f aca="false">Sales_Transactions!I840</f>
        <v>18022.35</v>
      </c>
      <c r="O840" s="52" t="n">
        <f aca="false">Sales_Transactions!J840</f>
        <v>11036.72</v>
      </c>
      <c r="P840" s="52" t="n">
        <f aca="false">Sales_Transactions!K840</f>
        <v>6985.63</v>
      </c>
      <c r="Q840" s="42" t="n">
        <f aca="false">IF(ISNUMBER(MATCH(E840,Product_Master!$A$2:$A$9,0)),0,1)</f>
        <v>0</v>
      </c>
      <c r="R840" s="42" t="n">
        <f aca="false">IF(ISNUMBER(MATCH(D840,Customer_Master!$A$2:$A$49,0)),0,1)</f>
        <v>0</v>
      </c>
      <c r="S840" s="42" t="n">
        <f aca="false">IF(ISNUMBER(MATCH(B840,Calendar!$A$2:$A$25,0)),0,1)</f>
        <v>0</v>
      </c>
      <c r="T840" s="42" t="n">
        <f aca="false">IF(COUNTIF(Sales_Transactions!$A$2:$A$865,A840)&gt;1,1,0)</f>
        <v>0</v>
      </c>
      <c r="U840" s="42" t="n">
        <f aca="false">IF(OR(ABS(Sales_Transactions!F840*Sales_Transactions!G840-Sales_Transactions!I840)&gt;0.01,ABS(Sales_Transactions!F840*Sales_Transactions!H840-Sales_Transactions!J840)&gt;0.01,ABS(Sales_Transactions!I840-Sales_Transactions!J840-Sales_Transactions!K840)&gt;0.01),1,0)</f>
        <v>0</v>
      </c>
      <c r="V840" s="42" t="n">
        <f aca="false">IF(C840&lt;&gt;L840,1,0)</f>
        <v>0</v>
      </c>
      <c r="W840" s="42" t="n">
        <f aca="false">IF(SUM(Q840:V840)&gt;0,1,0)</f>
        <v>0</v>
      </c>
    </row>
    <row r="841" customFormat="false" ht="15" hidden="false" customHeight="false" outlineLevel="0" collapsed="false">
      <c r="A841" s="42" t="str">
        <f aca="false">Sales_Transactions!A841</f>
        <v>INV-24-012</v>
      </c>
      <c r="B841" s="42" t="str">
        <f aca="false">Sales_Transactions!B841</f>
        <v>2026-12</v>
      </c>
      <c r="C841" s="42" t="str">
        <f aca="false">Sales_Transactions!C841</f>
        <v>Forecast</v>
      </c>
      <c r="D841" s="42" t="str">
        <f aca="false">Sales_Transactions!D841</f>
        <v>C003</v>
      </c>
      <c r="E841" s="42" t="str">
        <f aca="false">Sales_Transactions!E841</f>
        <v>P007</v>
      </c>
      <c r="F841" s="42" t="str">
        <f aca="false">IFERROR(INDEX(Customer_Master!$C$2:$C$49,MATCH(D841,Customer_Master!$A$2:$A$49,0)),"UNMATCHED")</f>
        <v>West</v>
      </c>
      <c r="G841" s="42" t="str">
        <f aca="false">IFERROR(INDEX(Customer_Master!$D$2:$D$49,MATCH(D841,Customer_Master!$A$2:$A$49,0)),"UNMATCHED")</f>
        <v>Retail</v>
      </c>
      <c r="H841" s="42" t="str">
        <f aca="false">IFERROR(INDEX(Product_Master!$C$2:$C$9,MATCH(E841,Product_Master!$A$2:$A$9,0)),"UNMATCHED")</f>
        <v>Home Care</v>
      </c>
      <c r="I841" s="42" t="str">
        <f aca="false">IFERROR(INDEX(Product_Master!$B$2:$B$9,MATCH(E841,Product_Master!$A$2:$A$9,0)),"UNMATCHED")</f>
        <v>Floor Cleaner</v>
      </c>
      <c r="J841" s="42" t="n">
        <f aca="false">IFERROR(INDEX(Calendar!$B$2:$B$25,MATCH(B841,Calendar!$A$2:$A$25,0)),0)</f>
        <v>2026</v>
      </c>
      <c r="K841" s="42" t="n">
        <f aca="false">IFERROR(VALUE(RIGHT(B841,2)),0)</f>
        <v>12</v>
      </c>
      <c r="L841" s="42" t="str">
        <f aca="false">IFERROR(INDEX(Calendar!$E$2:$E$25,MATCH(B841,Calendar!$A$2:$A$25,0)),"UNMATCHED")</f>
        <v>Forecast</v>
      </c>
      <c r="M841" s="42" t="n">
        <f aca="false">Sales_Transactions!F841</f>
        <v>314</v>
      </c>
      <c r="N841" s="52" t="n">
        <f aca="false">Sales_Transactions!I841</f>
        <v>57418.04</v>
      </c>
      <c r="O841" s="52" t="n">
        <f aca="false">Sales_Transactions!J841</f>
        <v>35924.74</v>
      </c>
      <c r="P841" s="52" t="n">
        <f aca="false">Sales_Transactions!K841</f>
        <v>21493.3</v>
      </c>
      <c r="Q841" s="42" t="n">
        <f aca="false">IF(ISNUMBER(MATCH(E841,Product_Master!$A$2:$A$9,0)),0,1)</f>
        <v>0</v>
      </c>
      <c r="R841" s="42" t="n">
        <f aca="false">IF(ISNUMBER(MATCH(D841,Customer_Master!$A$2:$A$49,0)),0,1)</f>
        <v>0</v>
      </c>
      <c r="S841" s="42" t="n">
        <f aca="false">IF(ISNUMBER(MATCH(B841,Calendar!$A$2:$A$25,0)),0,1)</f>
        <v>0</v>
      </c>
      <c r="T841" s="42" t="n">
        <f aca="false">IF(COUNTIF(Sales_Transactions!$A$2:$A$865,A841)&gt;1,1,0)</f>
        <v>0</v>
      </c>
      <c r="U841" s="42" t="n">
        <f aca="false">IF(OR(ABS(Sales_Transactions!F841*Sales_Transactions!G841-Sales_Transactions!I841)&gt;0.01,ABS(Sales_Transactions!F841*Sales_Transactions!H841-Sales_Transactions!J841)&gt;0.01,ABS(Sales_Transactions!I841-Sales_Transactions!J841-Sales_Transactions!K841)&gt;0.01),1,0)</f>
        <v>0</v>
      </c>
      <c r="V841" s="42" t="n">
        <f aca="false">IF(C841&lt;&gt;L841,1,0)</f>
        <v>0</v>
      </c>
      <c r="W841" s="42" t="n">
        <f aca="false">IF(SUM(Q841:V841)&gt;0,1,0)</f>
        <v>0</v>
      </c>
    </row>
    <row r="842" customFormat="false" ht="15" hidden="false" customHeight="false" outlineLevel="0" collapsed="false">
      <c r="A842" s="42" t="str">
        <f aca="false">Sales_Transactions!A842</f>
        <v>INV-24-013</v>
      </c>
      <c r="B842" s="42" t="str">
        <f aca="false">Sales_Transactions!B842</f>
        <v>2026-12</v>
      </c>
      <c r="C842" s="42" t="str">
        <f aca="false">Sales_Transactions!C842</f>
        <v>Forecast</v>
      </c>
      <c r="D842" s="42" t="str">
        <f aca="false">Sales_Transactions!D842</f>
        <v>C010</v>
      </c>
      <c r="E842" s="42" t="str">
        <f aca="false">Sales_Transactions!E842</f>
        <v>P004</v>
      </c>
      <c r="F842" s="42" t="str">
        <f aca="false">IFERROR(INDEX(Customer_Master!$C$2:$C$49,MATCH(D842,Customer_Master!$A$2:$A$49,0)),"UNMATCHED")</f>
        <v>North</v>
      </c>
      <c r="G842" s="42" t="str">
        <f aca="false">IFERROR(INDEX(Customer_Master!$D$2:$D$49,MATCH(D842,Customer_Master!$A$2:$A$49,0)),"UNMATCHED")</f>
        <v>Distributor</v>
      </c>
      <c r="H842" s="42" t="str">
        <f aca="false">IFERROR(INDEX(Product_Master!$C$2:$C$9,MATCH(E842,Product_Master!$A$2:$A$9,0)),"UNMATCHED")</f>
        <v>Personal Care</v>
      </c>
      <c r="I842" s="42" t="str">
        <f aca="false">IFERROR(INDEX(Product_Master!$B$2:$B$9,MATCH(E842,Product_Master!$A$2:$A$9,0)),"UNMATCHED")</f>
        <v>Soap 4-pack</v>
      </c>
      <c r="J842" s="42" t="n">
        <f aca="false">IFERROR(INDEX(Calendar!$B$2:$B$25,MATCH(B842,Calendar!$A$2:$A$25,0)),0)</f>
        <v>2026</v>
      </c>
      <c r="K842" s="42" t="n">
        <f aca="false">IFERROR(VALUE(RIGHT(B842,2)),0)</f>
        <v>12</v>
      </c>
      <c r="L842" s="42" t="str">
        <f aca="false">IFERROR(INDEX(Calendar!$E$2:$E$25,MATCH(B842,Calendar!$A$2:$A$25,0)),"UNMATCHED")</f>
        <v>Forecast</v>
      </c>
      <c r="M842" s="42" t="n">
        <f aca="false">Sales_Transactions!F842</f>
        <v>137</v>
      </c>
      <c r="N842" s="52" t="n">
        <f aca="false">Sales_Transactions!I842</f>
        <v>21419.95</v>
      </c>
      <c r="O842" s="52" t="n">
        <f aca="false">Sales_Transactions!J842</f>
        <v>13184.88</v>
      </c>
      <c r="P842" s="52" t="n">
        <f aca="false">Sales_Transactions!K842</f>
        <v>8235.07</v>
      </c>
      <c r="Q842" s="42" t="n">
        <f aca="false">IF(ISNUMBER(MATCH(E842,Product_Master!$A$2:$A$9,0)),0,1)</f>
        <v>0</v>
      </c>
      <c r="R842" s="42" t="n">
        <f aca="false">IF(ISNUMBER(MATCH(D842,Customer_Master!$A$2:$A$49,0)),0,1)</f>
        <v>0</v>
      </c>
      <c r="S842" s="42" t="n">
        <f aca="false">IF(ISNUMBER(MATCH(B842,Calendar!$A$2:$A$25,0)),0,1)</f>
        <v>0</v>
      </c>
      <c r="T842" s="42" t="n">
        <f aca="false">IF(COUNTIF(Sales_Transactions!$A$2:$A$865,A842)&gt;1,1,0)</f>
        <v>0</v>
      </c>
      <c r="U842" s="42" t="n">
        <f aca="false">IF(OR(ABS(Sales_Transactions!F842*Sales_Transactions!G842-Sales_Transactions!I842)&gt;0.01,ABS(Sales_Transactions!F842*Sales_Transactions!H842-Sales_Transactions!J842)&gt;0.01,ABS(Sales_Transactions!I842-Sales_Transactions!J842-Sales_Transactions!K842)&gt;0.01),1,0)</f>
        <v>0</v>
      </c>
      <c r="V842" s="42" t="n">
        <f aca="false">IF(C842&lt;&gt;L842,1,0)</f>
        <v>0</v>
      </c>
      <c r="W842" s="42" t="n">
        <f aca="false">IF(SUM(Q842:V842)&gt;0,1,0)</f>
        <v>0</v>
      </c>
    </row>
    <row r="843" customFormat="false" ht="15" hidden="false" customHeight="false" outlineLevel="0" collapsed="false">
      <c r="A843" s="42" t="str">
        <f aca="false">Sales_Transactions!A843</f>
        <v>INV-24-014</v>
      </c>
      <c r="B843" s="42" t="str">
        <f aca="false">Sales_Transactions!B843</f>
        <v>2026-12</v>
      </c>
      <c r="C843" s="42" t="str">
        <f aca="false">Sales_Transactions!C843</f>
        <v>Forecast</v>
      </c>
      <c r="D843" s="42" t="str">
        <f aca="false">Sales_Transactions!D843</f>
        <v>C017</v>
      </c>
      <c r="E843" s="42" t="str">
        <f aca="false">Sales_Transactions!E843</f>
        <v>P001</v>
      </c>
      <c r="F843" s="42" t="str">
        <f aca="false">IFERROR(INDEX(Customer_Master!$C$2:$C$49,MATCH(D843,Customer_Master!$A$2:$A$49,0)),"UNMATCHED")</f>
        <v>South</v>
      </c>
      <c r="G843" s="42" t="str">
        <f aca="false">IFERROR(INDEX(Customer_Master!$D$2:$D$49,MATCH(D843,Customer_Master!$A$2:$A$49,0)),"UNMATCHED")</f>
        <v>Modern Trade</v>
      </c>
      <c r="H843" s="42" t="str">
        <f aca="false">IFERROR(INDEX(Product_Master!$C$2:$C$9,MATCH(E843,Product_Master!$A$2:$A$9,0)),"UNMATCHED")</f>
        <v>Home Care</v>
      </c>
      <c r="I843" s="42" t="str">
        <f aca="false">IFERROR(INDEX(Product_Master!$B$2:$B$9,MATCH(E843,Product_Master!$A$2:$A$9,0)),"UNMATCHED")</f>
        <v>Detergent 1kg</v>
      </c>
      <c r="J843" s="42" t="n">
        <f aca="false">IFERROR(INDEX(Calendar!$B$2:$B$25,MATCH(B843,Calendar!$A$2:$A$25,0)),0)</f>
        <v>2026</v>
      </c>
      <c r="K843" s="42" t="n">
        <f aca="false">IFERROR(VALUE(RIGHT(B843,2)),0)</f>
        <v>12</v>
      </c>
      <c r="L843" s="42" t="str">
        <f aca="false">IFERROR(INDEX(Calendar!$E$2:$E$25,MATCH(B843,Calendar!$A$2:$A$25,0)),"UNMATCHED")</f>
        <v>Forecast</v>
      </c>
      <c r="M843" s="42" t="n">
        <f aca="false">Sales_Transactions!F843</f>
        <v>132</v>
      </c>
      <c r="N843" s="52" t="n">
        <f aca="false">Sales_Transactions!I843</f>
        <v>26822.4</v>
      </c>
      <c r="O843" s="52" t="n">
        <f aca="false">Sales_Transactions!J843</f>
        <v>18367.8</v>
      </c>
      <c r="P843" s="52" t="n">
        <f aca="false">Sales_Transactions!K843</f>
        <v>8454.6</v>
      </c>
      <c r="Q843" s="42" t="n">
        <f aca="false">IF(ISNUMBER(MATCH(E843,Product_Master!$A$2:$A$9,0)),0,1)</f>
        <v>0</v>
      </c>
      <c r="R843" s="42" t="n">
        <f aca="false">IF(ISNUMBER(MATCH(D843,Customer_Master!$A$2:$A$49,0)),0,1)</f>
        <v>0</v>
      </c>
      <c r="S843" s="42" t="n">
        <f aca="false">IF(ISNUMBER(MATCH(B843,Calendar!$A$2:$A$25,0)),0,1)</f>
        <v>0</v>
      </c>
      <c r="T843" s="42" t="n">
        <f aca="false">IF(COUNTIF(Sales_Transactions!$A$2:$A$865,A843)&gt;1,1,0)</f>
        <v>0</v>
      </c>
      <c r="U843" s="42" t="n">
        <f aca="false">IF(OR(ABS(Sales_Transactions!F843*Sales_Transactions!G843-Sales_Transactions!I843)&gt;0.01,ABS(Sales_Transactions!F843*Sales_Transactions!H843-Sales_Transactions!J843)&gt;0.01,ABS(Sales_Transactions!I843-Sales_Transactions!J843-Sales_Transactions!K843)&gt;0.01),1,0)</f>
        <v>0</v>
      </c>
      <c r="V843" s="42" t="n">
        <f aca="false">IF(C843&lt;&gt;L843,1,0)</f>
        <v>0</v>
      </c>
      <c r="W843" s="42" t="n">
        <f aca="false">IF(SUM(Q843:V843)&gt;0,1,0)</f>
        <v>0</v>
      </c>
    </row>
    <row r="844" customFormat="false" ht="15" hidden="false" customHeight="false" outlineLevel="0" collapsed="false">
      <c r="A844" s="42" t="str">
        <f aca="false">Sales_Transactions!A844</f>
        <v>INV-24-015</v>
      </c>
      <c r="B844" s="42" t="str">
        <f aca="false">Sales_Transactions!B844</f>
        <v>2026-12</v>
      </c>
      <c r="C844" s="42" t="str">
        <f aca="false">Sales_Transactions!C844</f>
        <v>Forecast</v>
      </c>
      <c r="D844" s="42" t="str">
        <f aca="false">Sales_Transactions!D844</f>
        <v>C024</v>
      </c>
      <c r="E844" s="42" t="str">
        <f aca="false">Sales_Transactions!E844</f>
        <v>P006</v>
      </c>
      <c r="F844" s="42" t="str">
        <f aca="false">IFERROR(INDEX(Customer_Master!$C$2:$C$49,MATCH(D844,Customer_Master!$A$2:$A$49,0)),"UNMATCHED")</f>
        <v>East</v>
      </c>
      <c r="G844" s="42" t="str">
        <f aca="false">IFERROR(INDEX(Customer_Master!$D$2:$D$49,MATCH(D844,Customer_Master!$A$2:$A$49,0)),"UNMATCHED")</f>
        <v>Retail</v>
      </c>
      <c r="H844" s="42" t="str">
        <f aca="false">IFERROR(INDEX(Product_Master!$C$2:$C$9,MATCH(E844,Product_Master!$A$2:$A$9,0)),"UNMATCHED")</f>
        <v>Foods</v>
      </c>
      <c r="I844" s="42" t="str">
        <f aca="false">IFERROR(INDEX(Product_Master!$B$2:$B$9,MATCH(E844,Product_Master!$A$2:$A$9,0)),"UNMATCHED")</f>
        <v>Breakfast Cereal</v>
      </c>
      <c r="J844" s="42" t="n">
        <f aca="false">IFERROR(INDEX(Calendar!$B$2:$B$25,MATCH(B844,Calendar!$A$2:$A$25,0)),0)</f>
        <v>2026</v>
      </c>
      <c r="K844" s="42" t="n">
        <f aca="false">IFERROR(VALUE(RIGHT(B844,2)),0)</f>
        <v>12</v>
      </c>
      <c r="L844" s="42" t="str">
        <f aca="false">IFERROR(INDEX(Calendar!$E$2:$E$25,MATCH(B844,Calendar!$A$2:$A$25,0)),"UNMATCHED")</f>
        <v>Forecast</v>
      </c>
      <c r="M844" s="42" t="n">
        <f aca="false">Sales_Transactions!F844</f>
        <v>282</v>
      </c>
      <c r="N844" s="52" t="n">
        <f aca="false">Sales_Transactions!I844</f>
        <v>64115.52</v>
      </c>
      <c r="O844" s="52" t="n">
        <f aca="false">Sales_Transactions!J844</f>
        <v>44417.82</v>
      </c>
      <c r="P844" s="52" t="n">
        <f aca="false">Sales_Transactions!K844</f>
        <v>19697.7</v>
      </c>
      <c r="Q844" s="42" t="n">
        <f aca="false">IF(ISNUMBER(MATCH(E844,Product_Master!$A$2:$A$9,0)),0,1)</f>
        <v>0</v>
      </c>
      <c r="R844" s="42" t="n">
        <f aca="false">IF(ISNUMBER(MATCH(D844,Customer_Master!$A$2:$A$49,0)),0,1)</f>
        <v>0</v>
      </c>
      <c r="S844" s="42" t="n">
        <f aca="false">IF(ISNUMBER(MATCH(B844,Calendar!$A$2:$A$25,0)),0,1)</f>
        <v>0</v>
      </c>
      <c r="T844" s="42" t="n">
        <f aca="false">IF(COUNTIF(Sales_Transactions!$A$2:$A$865,A844)&gt;1,1,0)</f>
        <v>0</v>
      </c>
      <c r="U844" s="42" t="n">
        <f aca="false">IF(OR(ABS(Sales_Transactions!F844*Sales_Transactions!G844-Sales_Transactions!I844)&gt;0.01,ABS(Sales_Transactions!F844*Sales_Transactions!H844-Sales_Transactions!J844)&gt;0.01,ABS(Sales_Transactions!I844-Sales_Transactions!J844-Sales_Transactions!K844)&gt;0.01),1,0)</f>
        <v>0</v>
      </c>
      <c r="V844" s="42" t="n">
        <f aca="false">IF(C844&lt;&gt;L844,1,0)</f>
        <v>0</v>
      </c>
      <c r="W844" s="42" t="n">
        <f aca="false">IF(SUM(Q844:V844)&gt;0,1,0)</f>
        <v>0</v>
      </c>
    </row>
    <row r="845" customFormat="false" ht="15" hidden="false" customHeight="false" outlineLevel="0" collapsed="false">
      <c r="A845" s="42" t="str">
        <f aca="false">Sales_Transactions!A845</f>
        <v>INV-24-016</v>
      </c>
      <c r="B845" s="42" t="str">
        <f aca="false">Sales_Transactions!B845</f>
        <v>2026-12</v>
      </c>
      <c r="C845" s="42" t="str">
        <f aca="false">Sales_Transactions!C845</f>
        <v>Forecast</v>
      </c>
      <c r="D845" s="42" t="str">
        <f aca="false">Sales_Transactions!D845</f>
        <v>C031</v>
      </c>
      <c r="E845" s="42" t="str">
        <f aca="false">Sales_Transactions!E845</f>
        <v>P003</v>
      </c>
      <c r="F845" s="42" t="str">
        <f aca="false">IFERROR(INDEX(Customer_Master!$C$2:$C$49,MATCH(D845,Customer_Master!$A$2:$A$49,0)),"UNMATCHED")</f>
        <v>West</v>
      </c>
      <c r="G845" s="42" t="str">
        <f aca="false">IFERROR(INDEX(Customer_Master!$D$2:$D$49,MATCH(D845,Customer_Master!$A$2:$A$49,0)),"UNMATCHED")</f>
        <v>Distributor</v>
      </c>
      <c r="H845" s="42" t="str">
        <f aca="false">IFERROR(INDEX(Product_Master!$C$2:$C$9,MATCH(E845,Product_Master!$A$2:$A$9,0)),"UNMATCHED")</f>
        <v>Personal Care</v>
      </c>
      <c r="I845" s="42" t="str">
        <f aca="false">IFERROR(INDEX(Product_Master!$B$2:$B$9,MATCH(E845,Product_Master!$A$2:$A$9,0)),"UNMATCHED")</f>
        <v>Shampoo 400ml</v>
      </c>
      <c r="J845" s="42" t="n">
        <f aca="false">IFERROR(INDEX(Calendar!$B$2:$B$25,MATCH(B845,Calendar!$A$2:$A$25,0)),0)</f>
        <v>2026</v>
      </c>
      <c r="K845" s="42" t="n">
        <f aca="false">IFERROR(VALUE(RIGHT(B845,2)),0)</f>
        <v>12</v>
      </c>
      <c r="L845" s="42" t="str">
        <f aca="false">IFERROR(INDEX(Calendar!$E$2:$E$25,MATCH(B845,Calendar!$A$2:$A$25,0)),"UNMATCHED")</f>
        <v>Forecast</v>
      </c>
      <c r="M845" s="42" t="n">
        <f aca="false">Sales_Transactions!F845</f>
        <v>128</v>
      </c>
      <c r="N845" s="52" t="n">
        <f aca="false">Sales_Transactions!I845</f>
        <v>35274.24</v>
      </c>
      <c r="O845" s="52" t="n">
        <f aca="false">Sales_Transactions!J845</f>
        <v>22481.92</v>
      </c>
      <c r="P845" s="52" t="n">
        <f aca="false">Sales_Transactions!K845</f>
        <v>12792.32</v>
      </c>
      <c r="Q845" s="42" t="n">
        <f aca="false">IF(ISNUMBER(MATCH(E845,Product_Master!$A$2:$A$9,0)),0,1)</f>
        <v>0</v>
      </c>
      <c r="R845" s="42" t="n">
        <f aca="false">IF(ISNUMBER(MATCH(D845,Customer_Master!$A$2:$A$49,0)),0,1)</f>
        <v>0</v>
      </c>
      <c r="S845" s="42" t="n">
        <f aca="false">IF(ISNUMBER(MATCH(B845,Calendar!$A$2:$A$25,0)),0,1)</f>
        <v>0</v>
      </c>
      <c r="T845" s="42" t="n">
        <f aca="false">IF(COUNTIF(Sales_Transactions!$A$2:$A$865,A845)&gt;1,1,0)</f>
        <v>0</v>
      </c>
      <c r="U845" s="42" t="n">
        <f aca="false">IF(OR(ABS(Sales_Transactions!F845*Sales_Transactions!G845-Sales_Transactions!I845)&gt;0.01,ABS(Sales_Transactions!F845*Sales_Transactions!H845-Sales_Transactions!J845)&gt;0.01,ABS(Sales_Transactions!I845-Sales_Transactions!J845-Sales_Transactions!K845)&gt;0.01),1,0)</f>
        <v>0</v>
      </c>
      <c r="V845" s="42" t="n">
        <f aca="false">IF(C845&lt;&gt;L845,1,0)</f>
        <v>0</v>
      </c>
      <c r="W845" s="42" t="n">
        <f aca="false">IF(SUM(Q845:V845)&gt;0,1,0)</f>
        <v>0</v>
      </c>
    </row>
    <row r="846" customFormat="false" ht="15" hidden="false" customHeight="false" outlineLevel="0" collapsed="false">
      <c r="A846" s="42" t="str">
        <f aca="false">Sales_Transactions!A846</f>
        <v>INV-24-017</v>
      </c>
      <c r="B846" s="42" t="str">
        <f aca="false">Sales_Transactions!B846</f>
        <v>2026-12</v>
      </c>
      <c r="C846" s="42" t="str">
        <f aca="false">Sales_Transactions!C846</f>
        <v>Forecast</v>
      </c>
      <c r="D846" s="42" t="str">
        <f aca="false">Sales_Transactions!D846</f>
        <v>C038</v>
      </c>
      <c r="E846" s="42" t="str">
        <f aca="false">Sales_Transactions!E846</f>
        <v>P008</v>
      </c>
      <c r="F846" s="42" t="str">
        <f aca="false">IFERROR(INDEX(Customer_Master!$C$2:$C$49,MATCH(D846,Customer_Master!$A$2:$A$49,0)),"UNMATCHED")</f>
        <v>North</v>
      </c>
      <c r="G846" s="42" t="str">
        <f aca="false">IFERROR(INDEX(Customer_Master!$D$2:$D$49,MATCH(D846,Customer_Master!$A$2:$A$49,0)),"UNMATCHED")</f>
        <v>Modern Trade</v>
      </c>
      <c r="H846" s="42" t="str">
        <f aca="false">IFERROR(INDEX(Product_Master!$C$2:$C$9,MATCH(E846,Product_Master!$A$2:$A$9,0)),"UNMATCHED")</f>
        <v>Personal Care</v>
      </c>
      <c r="I846" s="42" t="str">
        <f aca="false">IFERROR(INDEX(Product_Master!$B$2:$B$9,MATCH(E846,Product_Master!$A$2:$A$9,0)),"UNMATCHED")</f>
        <v>Body Lotion</v>
      </c>
      <c r="J846" s="42" t="n">
        <f aca="false">IFERROR(INDEX(Calendar!$B$2:$B$25,MATCH(B846,Calendar!$A$2:$A$25,0)),0)</f>
        <v>2026</v>
      </c>
      <c r="K846" s="42" t="n">
        <f aca="false">IFERROR(VALUE(RIGHT(B846,2)),0)</f>
        <v>12</v>
      </c>
      <c r="L846" s="42" t="str">
        <f aca="false">IFERROR(INDEX(Calendar!$E$2:$E$25,MATCH(B846,Calendar!$A$2:$A$25,0)),"UNMATCHED")</f>
        <v>Forecast</v>
      </c>
      <c r="M846" s="42" t="n">
        <f aca="false">Sales_Transactions!F846</f>
        <v>209</v>
      </c>
      <c r="N846" s="52" t="n">
        <f aca="false">Sales_Transactions!I846</f>
        <v>65504.78</v>
      </c>
      <c r="O846" s="52" t="n">
        <f aca="false">Sales_Transactions!J846</f>
        <v>41388.27</v>
      </c>
      <c r="P846" s="52" t="n">
        <f aca="false">Sales_Transactions!K846</f>
        <v>24116.51</v>
      </c>
      <c r="Q846" s="42" t="n">
        <f aca="false">IF(ISNUMBER(MATCH(E846,Product_Master!$A$2:$A$9,0)),0,1)</f>
        <v>0</v>
      </c>
      <c r="R846" s="42" t="n">
        <f aca="false">IF(ISNUMBER(MATCH(D846,Customer_Master!$A$2:$A$49,0)),0,1)</f>
        <v>0</v>
      </c>
      <c r="S846" s="42" t="n">
        <f aca="false">IF(ISNUMBER(MATCH(B846,Calendar!$A$2:$A$25,0)),0,1)</f>
        <v>0</v>
      </c>
      <c r="T846" s="42" t="n">
        <f aca="false">IF(COUNTIF(Sales_Transactions!$A$2:$A$865,A846)&gt;1,1,0)</f>
        <v>0</v>
      </c>
      <c r="U846" s="42" t="n">
        <f aca="false">IF(OR(ABS(Sales_Transactions!F846*Sales_Transactions!G846-Sales_Transactions!I846)&gt;0.01,ABS(Sales_Transactions!F846*Sales_Transactions!H846-Sales_Transactions!J846)&gt;0.01,ABS(Sales_Transactions!I846-Sales_Transactions!J846-Sales_Transactions!K846)&gt;0.01),1,0)</f>
        <v>0</v>
      </c>
      <c r="V846" s="42" t="n">
        <f aca="false">IF(C846&lt;&gt;L846,1,0)</f>
        <v>0</v>
      </c>
      <c r="W846" s="42" t="n">
        <f aca="false">IF(SUM(Q846:V846)&gt;0,1,0)</f>
        <v>0</v>
      </c>
    </row>
    <row r="847" customFormat="false" ht="15" hidden="false" customHeight="false" outlineLevel="0" collapsed="false">
      <c r="A847" s="42" t="str">
        <f aca="false">Sales_Transactions!A847</f>
        <v>INV-24-018</v>
      </c>
      <c r="B847" s="42" t="str">
        <f aca="false">Sales_Transactions!B847</f>
        <v>2026-12</v>
      </c>
      <c r="C847" s="42" t="str">
        <f aca="false">Sales_Transactions!C847</f>
        <v>Forecast</v>
      </c>
      <c r="D847" s="42" t="str">
        <f aca="false">Sales_Transactions!D847</f>
        <v>C045</v>
      </c>
      <c r="E847" s="42" t="str">
        <f aca="false">Sales_Transactions!E847</f>
        <v>P005</v>
      </c>
      <c r="F847" s="42" t="str">
        <f aca="false">IFERROR(INDEX(Customer_Master!$C$2:$C$49,MATCH(D847,Customer_Master!$A$2:$A$49,0)),"UNMATCHED")</f>
        <v>South</v>
      </c>
      <c r="G847" s="42" t="str">
        <f aca="false">IFERROR(INDEX(Customer_Master!$D$2:$D$49,MATCH(D847,Customer_Master!$A$2:$A$49,0)),"UNMATCHED")</f>
        <v>Retail</v>
      </c>
      <c r="H847" s="42" t="str">
        <f aca="false">IFERROR(INDEX(Product_Master!$C$2:$C$9,MATCH(E847,Product_Master!$A$2:$A$9,0)),"UNMATCHED")</f>
        <v>Foods</v>
      </c>
      <c r="I847" s="42" t="str">
        <f aca="false">IFERROR(INDEX(Product_Master!$B$2:$B$9,MATCH(E847,Product_Master!$A$2:$A$9,0)),"UNMATCHED")</f>
        <v>Biscuits 500g</v>
      </c>
      <c r="J847" s="42" t="n">
        <f aca="false">IFERROR(INDEX(Calendar!$B$2:$B$25,MATCH(B847,Calendar!$A$2:$A$25,0)),0)</f>
        <v>2026</v>
      </c>
      <c r="K847" s="42" t="n">
        <f aca="false">IFERROR(VALUE(RIGHT(B847,2)),0)</f>
        <v>12</v>
      </c>
      <c r="L847" s="42" t="str">
        <f aca="false">IFERROR(INDEX(Calendar!$E$2:$E$25,MATCH(B847,Calendar!$A$2:$A$25,0)),"UNMATCHED")</f>
        <v>Forecast</v>
      </c>
      <c r="M847" s="42" t="n">
        <f aca="false">Sales_Transactions!F847</f>
        <v>279</v>
      </c>
      <c r="N847" s="52" t="n">
        <f aca="false">Sales_Transactions!I847</f>
        <v>27989.28</v>
      </c>
      <c r="O847" s="52" t="n">
        <f aca="false">Sales_Transactions!J847</f>
        <v>18547.92</v>
      </c>
      <c r="P847" s="52" t="n">
        <f aca="false">Sales_Transactions!K847</f>
        <v>9441.36</v>
      </c>
      <c r="Q847" s="42" t="n">
        <f aca="false">IF(ISNUMBER(MATCH(E847,Product_Master!$A$2:$A$9,0)),0,1)</f>
        <v>0</v>
      </c>
      <c r="R847" s="42" t="n">
        <f aca="false">IF(ISNUMBER(MATCH(D847,Customer_Master!$A$2:$A$49,0)),0,1)</f>
        <v>0</v>
      </c>
      <c r="S847" s="42" t="n">
        <f aca="false">IF(ISNUMBER(MATCH(B847,Calendar!$A$2:$A$25,0)),0,1)</f>
        <v>0</v>
      </c>
      <c r="T847" s="42" t="n">
        <f aca="false">IF(COUNTIF(Sales_Transactions!$A$2:$A$865,A847)&gt;1,1,0)</f>
        <v>0</v>
      </c>
      <c r="U847" s="42" t="n">
        <f aca="false">IF(OR(ABS(Sales_Transactions!F847*Sales_Transactions!G847-Sales_Transactions!I847)&gt;0.01,ABS(Sales_Transactions!F847*Sales_Transactions!H847-Sales_Transactions!J847)&gt;0.01,ABS(Sales_Transactions!I847-Sales_Transactions!J847-Sales_Transactions!K847)&gt;0.01),1,0)</f>
        <v>0</v>
      </c>
      <c r="V847" s="42" t="n">
        <f aca="false">IF(C847&lt;&gt;L847,1,0)</f>
        <v>0</v>
      </c>
      <c r="W847" s="42" t="n">
        <f aca="false">IF(SUM(Q847:V847)&gt;0,1,0)</f>
        <v>0</v>
      </c>
    </row>
    <row r="848" customFormat="false" ht="15" hidden="false" customHeight="false" outlineLevel="0" collapsed="false">
      <c r="A848" s="42" t="str">
        <f aca="false">Sales_Transactions!A848</f>
        <v>INV-24-019</v>
      </c>
      <c r="B848" s="42" t="str">
        <f aca="false">Sales_Transactions!B848</f>
        <v>2026-12</v>
      </c>
      <c r="C848" s="42" t="str">
        <f aca="false">Sales_Transactions!C848</f>
        <v>Forecast</v>
      </c>
      <c r="D848" s="42" t="str">
        <f aca="false">Sales_Transactions!D848</f>
        <v>C004</v>
      </c>
      <c r="E848" s="42" t="str">
        <f aca="false">Sales_Transactions!E848</f>
        <v>P002</v>
      </c>
      <c r="F848" s="42" t="str">
        <f aca="false">IFERROR(INDEX(Customer_Master!$C$2:$C$49,MATCH(D848,Customer_Master!$A$2:$A$49,0)),"UNMATCHED")</f>
        <v>East</v>
      </c>
      <c r="G848" s="42" t="str">
        <f aca="false">IFERROR(INDEX(Customer_Master!$D$2:$D$49,MATCH(D848,Customer_Master!$A$2:$A$49,0)),"UNMATCHED")</f>
        <v>Distributor</v>
      </c>
      <c r="H848" s="42" t="str">
        <f aca="false">IFERROR(INDEX(Product_Master!$C$2:$C$9,MATCH(E848,Product_Master!$A$2:$A$9,0)),"UNMATCHED")</f>
        <v>Home Care</v>
      </c>
      <c r="I848" s="42" t="str">
        <f aca="false">IFERROR(INDEX(Product_Master!$B$2:$B$9,MATCH(E848,Product_Master!$A$2:$A$9,0)),"UNMATCHED")</f>
        <v>Dishwash Gel</v>
      </c>
      <c r="J848" s="42" t="n">
        <f aca="false">IFERROR(INDEX(Calendar!$B$2:$B$25,MATCH(B848,Calendar!$A$2:$A$25,0)),0)</f>
        <v>2026</v>
      </c>
      <c r="K848" s="42" t="n">
        <f aca="false">IFERROR(VALUE(RIGHT(B848,2)),0)</f>
        <v>12</v>
      </c>
      <c r="L848" s="42" t="str">
        <f aca="false">IFERROR(INDEX(Calendar!$E$2:$E$25,MATCH(B848,Calendar!$A$2:$A$25,0)),"UNMATCHED")</f>
        <v>Forecast</v>
      </c>
      <c r="M848" s="42" t="n">
        <f aca="false">Sales_Transactions!F848</f>
        <v>222</v>
      </c>
      <c r="N848" s="52" t="n">
        <f aca="false">Sales_Transactions!I848</f>
        <v>30713.7</v>
      </c>
      <c r="O848" s="52" t="n">
        <f aca="false">Sales_Transactions!J848</f>
        <v>17613.48</v>
      </c>
      <c r="P848" s="52" t="n">
        <f aca="false">Sales_Transactions!K848</f>
        <v>13100.22</v>
      </c>
      <c r="Q848" s="42" t="n">
        <f aca="false">IF(ISNUMBER(MATCH(E848,Product_Master!$A$2:$A$9,0)),0,1)</f>
        <v>0</v>
      </c>
      <c r="R848" s="42" t="n">
        <f aca="false">IF(ISNUMBER(MATCH(D848,Customer_Master!$A$2:$A$49,0)),0,1)</f>
        <v>0</v>
      </c>
      <c r="S848" s="42" t="n">
        <f aca="false">IF(ISNUMBER(MATCH(B848,Calendar!$A$2:$A$25,0)),0,1)</f>
        <v>0</v>
      </c>
      <c r="T848" s="42" t="n">
        <f aca="false">IF(COUNTIF(Sales_Transactions!$A$2:$A$865,A848)&gt;1,1,0)</f>
        <v>0</v>
      </c>
      <c r="U848" s="42" t="n">
        <f aca="false">IF(OR(ABS(Sales_Transactions!F848*Sales_Transactions!G848-Sales_Transactions!I848)&gt;0.01,ABS(Sales_Transactions!F848*Sales_Transactions!H848-Sales_Transactions!J848)&gt;0.01,ABS(Sales_Transactions!I848-Sales_Transactions!J848-Sales_Transactions!K848)&gt;0.01),1,0)</f>
        <v>0</v>
      </c>
      <c r="V848" s="42" t="n">
        <f aca="false">IF(C848&lt;&gt;L848,1,0)</f>
        <v>0</v>
      </c>
      <c r="W848" s="42" t="n">
        <f aca="false">IF(SUM(Q848:V848)&gt;0,1,0)</f>
        <v>0</v>
      </c>
    </row>
    <row r="849" customFormat="false" ht="15" hidden="false" customHeight="false" outlineLevel="0" collapsed="false">
      <c r="A849" s="42" t="str">
        <f aca="false">Sales_Transactions!A849</f>
        <v>INV-24-020</v>
      </c>
      <c r="B849" s="42" t="str">
        <f aca="false">Sales_Transactions!B849</f>
        <v>2026-12</v>
      </c>
      <c r="C849" s="42" t="str">
        <f aca="false">Sales_Transactions!C849</f>
        <v>Forecast</v>
      </c>
      <c r="D849" s="42" t="str">
        <f aca="false">Sales_Transactions!D849</f>
        <v>C011</v>
      </c>
      <c r="E849" s="42" t="str">
        <f aca="false">Sales_Transactions!E849</f>
        <v>P007</v>
      </c>
      <c r="F849" s="42" t="str">
        <f aca="false">IFERROR(INDEX(Customer_Master!$C$2:$C$49,MATCH(D849,Customer_Master!$A$2:$A$49,0)),"UNMATCHED")</f>
        <v>West</v>
      </c>
      <c r="G849" s="42" t="str">
        <f aca="false">IFERROR(INDEX(Customer_Master!$D$2:$D$49,MATCH(D849,Customer_Master!$A$2:$A$49,0)),"UNMATCHED")</f>
        <v>Modern Trade</v>
      </c>
      <c r="H849" s="42" t="str">
        <f aca="false">IFERROR(INDEX(Product_Master!$C$2:$C$9,MATCH(E849,Product_Master!$A$2:$A$9,0)),"UNMATCHED")</f>
        <v>Home Care</v>
      </c>
      <c r="I849" s="42" t="str">
        <f aca="false">IFERROR(INDEX(Product_Master!$B$2:$B$9,MATCH(E849,Product_Master!$A$2:$A$9,0)),"UNMATCHED")</f>
        <v>Floor Cleaner</v>
      </c>
      <c r="J849" s="42" t="n">
        <f aca="false">IFERROR(INDEX(Calendar!$B$2:$B$25,MATCH(B849,Calendar!$A$2:$A$25,0)),0)</f>
        <v>2026</v>
      </c>
      <c r="K849" s="42" t="n">
        <f aca="false">IFERROR(VALUE(RIGHT(B849,2)),0)</f>
        <v>12</v>
      </c>
      <c r="L849" s="42" t="str">
        <f aca="false">IFERROR(INDEX(Calendar!$E$2:$E$25,MATCH(B849,Calendar!$A$2:$A$25,0)),"UNMATCHED")</f>
        <v>Forecast</v>
      </c>
      <c r="M849" s="42" t="n">
        <f aca="false">Sales_Transactions!F849</f>
        <v>307</v>
      </c>
      <c r="N849" s="52" t="n">
        <f aca="false">Sales_Transactions!I849</f>
        <v>54007.44</v>
      </c>
      <c r="O849" s="52" t="n">
        <f aca="false">Sales_Transactions!J849</f>
        <v>34245.85</v>
      </c>
      <c r="P849" s="52" t="n">
        <f aca="false">Sales_Transactions!K849</f>
        <v>19761.59</v>
      </c>
      <c r="Q849" s="42" t="n">
        <f aca="false">IF(ISNUMBER(MATCH(E849,Product_Master!$A$2:$A$9,0)),0,1)</f>
        <v>0</v>
      </c>
      <c r="R849" s="42" t="n">
        <f aca="false">IF(ISNUMBER(MATCH(D849,Customer_Master!$A$2:$A$49,0)),0,1)</f>
        <v>0</v>
      </c>
      <c r="S849" s="42" t="n">
        <f aca="false">IF(ISNUMBER(MATCH(B849,Calendar!$A$2:$A$25,0)),0,1)</f>
        <v>0</v>
      </c>
      <c r="T849" s="42" t="n">
        <f aca="false">IF(COUNTIF(Sales_Transactions!$A$2:$A$865,A849)&gt;1,1,0)</f>
        <v>0</v>
      </c>
      <c r="U849" s="42" t="n">
        <f aca="false">IF(OR(ABS(Sales_Transactions!F849*Sales_Transactions!G849-Sales_Transactions!I849)&gt;0.01,ABS(Sales_Transactions!F849*Sales_Transactions!H849-Sales_Transactions!J849)&gt;0.01,ABS(Sales_Transactions!I849-Sales_Transactions!J849-Sales_Transactions!K849)&gt;0.01),1,0)</f>
        <v>0</v>
      </c>
      <c r="V849" s="42" t="n">
        <f aca="false">IF(C849&lt;&gt;L849,1,0)</f>
        <v>0</v>
      </c>
      <c r="W849" s="42" t="n">
        <f aca="false">IF(SUM(Q849:V849)&gt;0,1,0)</f>
        <v>0</v>
      </c>
    </row>
    <row r="850" customFormat="false" ht="15" hidden="false" customHeight="false" outlineLevel="0" collapsed="false">
      <c r="A850" s="42" t="str">
        <f aca="false">Sales_Transactions!A850</f>
        <v>INV-24-021</v>
      </c>
      <c r="B850" s="42" t="str">
        <f aca="false">Sales_Transactions!B850</f>
        <v>2026-12</v>
      </c>
      <c r="C850" s="42" t="str">
        <f aca="false">Sales_Transactions!C850</f>
        <v>Forecast</v>
      </c>
      <c r="D850" s="42" t="str">
        <f aca="false">Sales_Transactions!D850</f>
        <v>C018</v>
      </c>
      <c r="E850" s="42" t="str">
        <f aca="false">Sales_Transactions!E850</f>
        <v>P004</v>
      </c>
      <c r="F850" s="42" t="str">
        <f aca="false">IFERROR(INDEX(Customer_Master!$C$2:$C$49,MATCH(D850,Customer_Master!$A$2:$A$49,0)),"UNMATCHED")</f>
        <v>North</v>
      </c>
      <c r="G850" s="42" t="str">
        <f aca="false">IFERROR(INDEX(Customer_Master!$D$2:$D$49,MATCH(D850,Customer_Master!$A$2:$A$49,0)),"UNMATCHED")</f>
        <v>Retail</v>
      </c>
      <c r="H850" s="42" t="str">
        <f aca="false">IFERROR(INDEX(Product_Master!$C$2:$C$9,MATCH(E850,Product_Master!$A$2:$A$9,0)),"UNMATCHED")</f>
        <v>Personal Care</v>
      </c>
      <c r="I850" s="42" t="str">
        <f aca="false">IFERROR(INDEX(Product_Master!$B$2:$B$9,MATCH(E850,Product_Master!$A$2:$A$9,0)),"UNMATCHED")</f>
        <v>Soap 4-pack</v>
      </c>
      <c r="J850" s="42" t="n">
        <f aca="false">IFERROR(INDEX(Calendar!$B$2:$B$25,MATCH(B850,Calendar!$A$2:$A$25,0)),0)</f>
        <v>2026</v>
      </c>
      <c r="K850" s="42" t="n">
        <f aca="false">IFERROR(VALUE(RIGHT(B850,2)),0)</f>
        <v>12</v>
      </c>
      <c r="L850" s="42" t="str">
        <f aca="false">IFERROR(INDEX(Calendar!$E$2:$E$25,MATCH(B850,Calendar!$A$2:$A$25,0)),"UNMATCHED")</f>
        <v>Forecast</v>
      </c>
      <c r="M850" s="42" t="n">
        <f aca="false">Sales_Transactions!F850</f>
        <v>124</v>
      </c>
      <c r="N850" s="52" t="n">
        <f aca="false">Sales_Transactions!I850</f>
        <v>20332.28</v>
      </c>
      <c r="O850" s="52" t="n">
        <f aca="false">Sales_Transactions!J850</f>
        <v>12776.96</v>
      </c>
      <c r="P850" s="52" t="n">
        <f aca="false">Sales_Transactions!K850</f>
        <v>7555.32</v>
      </c>
      <c r="Q850" s="42" t="n">
        <f aca="false">IF(ISNUMBER(MATCH(E850,Product_Master!$A$2:$A$9,0)),0,1)</f>
        <v>0</v>
      </c>
      <c r="R850" s="42" t="n">
        <f aca="false">IF(ISNUMBER(MATCH(D850,Customer_Master!$A$2:$A$49,0)),0,1)</f>
        <v>0</v>
      </c>
      <c r="S850" s="42" t="n">
        <f aca="false">IF(ISNUMBER(MATCH(B850,Calendar!$A$2:$A$25,0)),0,1)</f>
        <v>0</v>
      </c>
      <c r="T850" s="42" t="n">
        <f aca="false">IF(COUNTIF(Sales_Transactions!$A$2:$A$865,A850)&gt;1,1,0)</f>
        <v>0</v>
      </c>
      <c r="U850" s="42" t="n">
        <f aca="false">IF(OR(ABS(Sales_Transactions!F850*Sales_Transactions!G850-Sales_Transactions!I850)&gt;0.01,ABS(Sales_Transactions!F850*Sales_Transactions!H850-Sales_Transactions!J850)&gt;0.01,ABS(Sales_Transactions!I850-Sales_Transactions!J850-Sales_Transactions!K850)&gt;0.01),1,0)</f>
        <v>0</v>
      </c>
      <c r="V850" s="42" t="n">
        <f aca="false">IF(C850&lt;&gt;L850,1,0)</f>
        <v>0</v>
      </c>
      <c r="W850" s="42" t="n">
        <f aca="false">IF(SUM(Q850:V850)&gt;0,1,0)</f>
        <v>0</v>
      </c>
    </row>
    <row r="851" customFormat="false" ht="15" hidden="false" customHeight="false" outlineLevel="0" collapsed="false">
      <c r="A851" s="42" t="str">
        <f aca="false">Sales_Transactions!A851</f>
        <v>INV-24-022</v>
      </c>
      <c r="B851" s="42" t="str">
        <f aca="false">Sales_Transactions!B851</f>
        <v>2026-12</v>
      </c>
      <c r="C851" s="42" t="str">
        <f aca="false">Sales_Transactions!C851</f>
        <v>Forecast</v>
      </c>
      <c r="D851" s="42" t="str">
        <f aca="false">Sales_Transactions!D851</f>
        <v>C025</v>
      </c>
      <c r="E851" s="42" t="str">
        <f aca="false">Sales_Transactions!E851</f>
        <v>P001</v>
      </c>
      <c r="F851" s="42" t="str">
        <f aca="false">IFERROR(INDEX(Customer_Master!$C$2:$C$49,MATCH(D851,Customer_Master!$A$2:$A$49,0)),"UNMATCHED")</f>
        <v>South</v>
      </c>
      <c r="G851" s="42" t="str">
        <f aca="false">IFERROR(INDEX(Customer_Master!$D$2:$D$49,MATCH(D851,Customer_Master!$A$2:$A$49,0)),"UNMATCHED")</f>
        <v>Distributor</v>
      </c>
      <c r="H851" s="42" t="str">
        <f aca="false">IFERROR(INDEX(Product_Master!$C$2:$C$9,MATCH(E851,Product_Master!$A$2:$A$9,0)),"UNMATCHED")</f>
        <v>Home Care</v>
      </c>
      <c r="I851" s="42" t="str">
        <f aca="false">IFERROR(INDEX(Product_Master!$B$2:$B$9,MATCH(E851,Product_Master!$A$2:$A$9,0)),"UNMATCHED")</f>
        <v>Detergent 1kg</v>
      </c>
      <c r="J851" s="42" t="n">
        <f aca="false">IFERROR(INDEX(Calendar!$B$2:$B$25,MATCH(B851,Calendar!$A$2:$A$25,0)),0)</f>
        <v>2026</v>
      </c>
      <c r="K851" s="42" t="n">
        <f aca="false">IFERROR(VALUE(RIGHT(B851,2)),0)</f>
        <v>12</v>
      </c>
      <c r="L851" s="42" t="str">
        <f aca="false">IFERROR(INDEX(Calendar!$E$2:$E$25,MATCH(B851,Calendar!$A$2:$A$25,0)),"UNMATCHED")</f>
        <v>Forecast</v>
      </c>
      <c r="M851" s="42" t="n">
        <f aca="false">Sales_Transactions!F851</f>
        <v>454</v>
      </c>
      <c r="N851" s="52" t="n">
        <f aca="false">Sales_Transactions!I851</f>
        <v>92597.84</v>
      </c>
      <c r="O851" s="52" t="n">
        <f aca="false">Sales_Transactions!J851</f>
        <v>61803.02</v>
      </c>
      <c r="P851" s="52" t="n">
        <f aca="false">Sales_Transactions!K851</f>
        <v>30794.82</v>
      </c>
      <c r="Q851" s="42" t="n">
        <f aca="false">IF(ISNUMBER(MATCH(E851,Product_Master!$A$2:$A$9,0)),0,1)</f>
        <v>0</v>
      </c>
      <c r="R851" s="42" t="n">
        <f aca="false">IF(ISNUMBER(MATCH(D851,Customer_Master!$A$2:$A$49,0)),0,1)</f>
        <v>0</v>
      </c>
      <c r="S851" s="42" t="n">
        <f aca="false">IF(ISNUMBER(MATCH(B851,Calendar!$A$2:$A$25,0)),0,1)</f>
        <v>0</v>
      </c>
      <c r="T851" s="42" t="n">
        <f aca="false">IF(COUNTIF(Sales_Transactions!$A$2:$A$865,A851)&gt;1,1,0)</f>
        <v>0</v>
      </c>
      <c r="U851" s="42" t="n">
        <f aca="false">IF(OR(ABS(Sales_Transactions!F851*Sales_Transactions!G851-Sales_Transactions!I851)&gt;0.01,ABS(Sales_Transactions!F851*Sales_Transactions!H851-Sales_Transactions!J851)&gt;0.01,ABS(Sales_Transactions!I851-Sales_Transactions!J851-Sales_Transactions!K851)&gt;0.01),1,0)</f>
        <v>0</v>
      </c>
      <c r="V851" s="42" t="n">
        <f aca="false">IF(C851&lt;&gt;L851,1,0)</f>
        <v>0</v>
      </c>
      <c r="W851" s="42" t="n">
        <f aca="false">IF(SUM(Q851:V851)&gt;0,1,0)</f>
        <v>0</v>
      </c>
    </row>
    <row r="852" customFormat="false" ht="15" hidden="false" customHeight="false" outlineLevel="0" collapsed="false">
      <c r="A852" s="42" t="str">
        <f aca="false">Sales_Transactions!A852</f>
        <v>INV-24-023</v>
      </c>
      <c r="B852" s="42" t="str">
        <f aca="false">Sales_Transactions!B852</f>
        <v>2026-12</v>
      </c>
      <c r="C852" s="42" t="str">
        <f aca="false">Sales_Transactions!C852</f>
        <v>Forecast</v>
      </c>
      <c r="D852" s="42" t="str">
        <f aca="false">Sales_Transactions!D852</f>
        <v>C032</v>
      </c>
      <c r="E852" s="42" t="str">
        <f aca="false">Sales_Transactions!E852</f>
        <v>P006</v>
      </c>
      <c r="F852" s="42" t="str">
        <f aca="false">IFERROR(INDEX(Customer_Master!$C$2:$C$49,MATCH(D852,Customer_Master!$A$2:$A$49,0)),"UNMATCHED")</f>
        <v>East</v>
      </c>
      <c r="G852" s="42" t="str">
        <f aca="false">IFERROR(INDEX(Customer_Master!$D$2:$D$49,MATCH(D852,Customer_Master!$A$2:$A$49,0)),"UNMATCHED")</f>
        <v>Modern Trade</v>
      </c>
      <c r="H852" s="42" t="str">
        <f aca="false">IFERROR(INDEX(Product_Master!$C$2:$C$9,MATCH(E852,Product_Master!$A$2:$A$9,0)),"UNMATCHED")</f>
        <v>Foods</v>
      </c>
      <c r="I852" s="42" t="str">
        <f aca="false">IFERROR(INDEX(Product_Master!$B$2:$B$9,MATCH(E852,Product_Master!$A$2:$A$9,0)),"UNMATCHED")</f>
        <v>Breakfast Cereal</v>
      </c>
      <c r="J852" s="42" t="n">
        <f aca="false">IFERROR(INDEX(Calendar!$B$2:$B$25,MATCH(B852,Calendar!$A$2:$A$25,0)),0)</f>
        <v>2026</v>
      </c>
      <c r="K852" s="42" t="n">
        <f aca="false">IFERROR(VALUE(RIGHT(B852,2)),0)</f>
        <v>12</v>
      </c>
      <c r="L852" s="42" t="str">
        <f aca="false">IFERROR(INDEX(Calendar!$E$2:$E$25,MATCH(B852,Calendar!$A$2:$A$25,0)),"UNMATCHED")</f>
        <v>Forecast</v>
      </c>
      <c r="M852" s="42" t="n">
        <f aca="false">Sales_Transactions!F852</f>
        <v>185</v>
      </c>
      <c r="N852" s="52" t="n">
        <f aca="false">Sales_Transactions!I852</f>
        <v>44794.05</v>
      </c>
      <c r="O852" s="52" t="n">
        <f aca="false">Sales_Transactions!J852</f>
        <v>28175.5</v>
      </c>
      <c r="P852" s="52" t="n">
        <f aca="false">Sales_Transactions!K852</f>
        <v>16618.55</v>
      </c>
      <c r="Q852" s="42" t="n">
        <f aca="false">IF(ISNUMBER(MATCH(E852,Product_Master!$A$2:$A$9,0)),0,1)</f>
        <v>0</v>
      </c>
      <c r="R852" s="42" t="n">
        <f aca="false">IF(ISNUMBER(MATCH(D852,Customer_Master!$A$2:$A$49,0)),0,1)</f>
        <v>0</v>
      </c>
      <c r="S852" s="42" t="n">
        <f aca="false">IF(ISNUMBER(MATCH(B852,Calendar!$A$2:$A$25,0)),0,1)</f>
        <v>0</v>
      </c>
      <c r="T852" s="42" t="n">
        <f aca="false">IF(COUNTIF(Sales_Transactions!$A$2:$A$865,A852)&gt;1,1,0)</f>
        <v>0</v>
      </c>
      <c r="U852" s="42" t="n">
        <f aca="false">IF(OR(ABS(Sales_Transactions!F852*Sales_Transactions!G852-Sales_Transactions!I852)&gt;0.01,ABS(Sales_Transactions!F852*Sales_Transactions!H852-Sales_Transactions!J852)&gt;0.01,ABS(Sales_Transactions!I852-Sales_Transactions!J852-Sales_Transactions!K852)&gt;0.01),1,0)</f>
        <v>0</v>
      </c>
      <c r="V852" s="42" t="n">
        <f aca="false">IF(C852&lt;&gt;L852,1,0)</f>
        <v>0</v>
      </c>
      <c r="W852" s="42" t="n">
        <f aca="false">IF(SUM(Q852:V852)&gt;0,1,0)</f>
        <v>0</v>
      </c>
    </row>
    <row r="853" customFormat="false" ht="15" hidden="false" customHeight="false" outlineLevel="0" collapsed="false">
      <c r="A853" s="42" t="str">
        <f aca="false">Sales_Transactions!A853</f>
        <v>INV-24-024</v>
      </c>
      <c r="B853" s="42" t="str">
        <f aca="false">Sales_Transactions!B853</f>
        <v>2026-12</v>
      </c>
      <c r="C853" s="42" t="str">
        <f aca="false">Sales_Transactions!C853</f>
        <v>Forecast</v>
      </c>
      <c r="D853" s="42" t="str">
        <f aca="false">Sales_Transactions!D853</f>
        <v>C039</v>
      </c>
      <c r="E853" s="42" t="str">
        <f aca="false">Sales_Transactions!E853</f>
        <v>P003</v>
      </c>
      <c r="F853" s="42" t="str">
        <f aca="false">IFERROR(INDEX(Customer_Master!$C$2:$C$49,MATCH(D853,Customer_Master!$A$2:$A$49,0)),"UNMATCHED")</f>
        <v>West</v>
      </c>
      <c r="G853" s="42" t="str">
        <f aca="false">IFERROR(INDEX(Customer_Master!$D$2:$D$49,MATCH(D853,Customer_Master!$A$2:$A$49,0)),"UNMATCHED")</f>
        <v>Retail</v>
      </c>
      <c r="H853" s="42" t="str">
        <f aca="false">IFERROR(INDEX(Product_Master!$C$2:$C$9,MATCH(E853,Product_Master!$A$2:$A$9,0)),"UNMATCHED")</f>
        <v>Personal Care</v>
      </c>
      <c r="I853" s="42" t="str">
        <f aca="false">IFERROR(INDEX(Product_Master!$B$2:$B$9,MATCH(E853,Product_Master!$A$2:$A$9,0)),"UNMATCHED")</f>
        <v>Shampoo 400ml</v>
      </c>
      <c r="J853" s="42" t="n">
        <f aca="false">IFERROR(INDEX(Calendar!$B$2:$B$25,MATCH(B853,Calendar!$A$2:$A$25,0)),0)</f>
        <v>2026</v>
      </c>
      <c r="K853" s="42" t="n">
        <f aca="false">IFERROR(VALUE(RIGHT(B853,2)),0)</f>
        <v>12</v>
      </c>
      <c r="L853" s="42" t="str">
        <f aca="false">IFERROR(INDEX(Calendar!$E$2:$E$25,MATCH(B853,Calendar!$A$2:$A$25,0)),"UNMATCHED")</f>
        <v>Forecast</v>
      </c>
      <c r="M853" s="42" t="n">
        <f aca="false">Sales_Transactions!F853</f>
        <v>88</v>
      </c>
      <c r="N853" s="52" t="n">
        <f aca="false">Sales_Transactions!I853</f>
        <v>24969.12</v>
      </c>
      <c r="O853" s="52" t="n">
        <f aca="false">Sales_Transactions!J853</f>
        <v>15046.24</v>
      </c>
      <c r="P853" s="52" t="n">
        <f aca="false">Sales_Transactions!K853</f>
        <v>9922.88</v>
      </c>
      <c r="Q853" s="42" t="n">
        <f aca="false">IF(ISNUMBER(MATCH(E853,Product_Master!$A$2:$A$9,0)),0,1)</f>
        <v>0</v>
      </c>
      <c r="R853" s="42" t="n">
        <f aca="false">IF(ISNUMBER(MATCH(D853,Customer_Master!$A$2:$A$49,0)),0,1)</f>
        <v>0</v>
      </c>
      <c r="S853" s="42" t="n">
        <f aca="false">IF(ISNUMBER(MATCH(B853,Calendar!$A$2:$A$25,0)),0,1)</f>
        <v>0</v>
      </c>
      <c r="T853" s="42" t="n">
        <f aca="false">IF(COUNTIF(Sales_Transactions!$A$2:$A$865,A853)&gt;1,1,0)</f>
        <v>0</v>
      </c>
      <c r="U853" s="42" t="n">
        <f aca="false">IF(OR(ABS(Sales_Transactions!F853*Sales_Transactions!G853-Sales_Transactions!I853)&gt;0.01,ABS(Sales_Transactions!F853*Sales_Transactions!H853-Sales_Transactions!J853)&gt;0.01,ABS(Sales_Transactions!I853-Sales_Transactions!J853-Sales_Transactions!K853)&gt;0.01),1,0)</f>
        <v>0</v>
      </c>
      <c r="V853" s="42" t="n">
        <f aca="false">IF(C853&lt;&gt;L853,1,0)</f>
        <v>0</v>
      </c>
      <c r="W853" s="42" t="n">
        <f aca="false">IF(SUM(Q853:V853)&gt;0,1,0)</f>
        <v>0</v>
      </c>
    </row>
    <row r="854" customFormat="false" ht="15" hidden="false" customHeight="false" outlineLevel="0" collapsed="false">
      <c r="A854" s="42" t="str">
        <f aca="false">Sales_Transactions!A854</f>
        <v>INV-24-025</v>
      </c>
      <c r="B854" s="42" t="str">
        <f aca="false">Sales_Transactions!B854</f>
        <v>2026-12</v>
      </c>
      <c r="C854" s="42" t="str">
        <f aca="false">Sales_Transactions!C854</f>
        <v>Forecast</v>
      </c>
      <c r="D854" s="42" t="str">
        <f aca="false">Sales_Transactions!D854</f>
        <v>C046</v>
      </c>
      <c r="E854" s="42" t="str">
        <f aca="false">Sales_Transactions!E854</f>
        <v>P008</v>
      </c>
      <c r="F854" s="42" t="str">
        <f aca="false">IFERROR(INDEX(Customer_Master!$C$2:$C$49,MATCH(D854,Customer_Master!$A$2:$A$49,0)),"UNMATCHED")</f>
        <v>North</v>
      </c>
      <c r="G854" s="42" t="str">
        <f aca="false">IFERROR(INDEX(Customer_Master!$D$2:$D$49,MATCH(D854,Customer_Master!$A$2:$A$49,0)),"UNMATCHED")</f>
        <v>Distributor</v>
      </c>
      <c r="H854" s="42" t="str">
        <f aca="false">IFERROR(INDEX(Product_Master!$C$2:$C$9,MATCH(E854,Product_Master!$A$2:$A$9,0)),"UNMATCHED")</f>
        <v>Personal Care</v>
      </c>
      <c r="I854" s="42" t="str">
        <f aca="false">IFERROR(INDEX(Product_Master!$B$2:$B$9,MATCH(E854,Product_Master!$A$2:$A$9,0)),"UNMATCHED")</f>
        <v>Body Lotion</v>
      </c>
      <c r="J854" s="42" t="n">
        <f aca="false">IFERROR(INDEX(Calendar!$B$2:$B$25,MATCH(B854,Calendar!$A$2:$A$25,0)),0)</f>
        <v>2026</v>
      </c>
      <c r="K854" s="42" t="n">
        <f aca="false">IFERROR(VALUE(RIGHT(B854,2)),0)</f>
        <v>12</v>
      </c>
      <c r="L854" s="42" t="str">
        <f aca="false">IFERROR(INDEX(Calendar!$E$2:$E$25,MATCH(B854,Calendar!$A$2:$A$25,0)),"UNMATCHED")</f>
        <v>Forecast</v>
      </c>
      <c r="M854" s="42" t="n">
        <f aca="false">Sales_Transactions!F854</f>
        <v>402</v>
      </c>
      <c r="N854" s="52" t="n">
        <f aca="false">Sales_Transactions!I854</f>
        <v>122730.6</v>
      </c>
      <c r="O854" s="52" t="n">
        <f aca="false">Sales_Transactions!J854</f>
        <v>86357.64</v>
      </c>
      <c r="P854" s="52" t="n">
        <f aca="false">Sales_Transactions!K854</f>
        <v>36372.96</v>
      </c>
      <c r="Q854" s="42" t="n">
        <f aca="false">IF(ISNUMBER(MATCH(E854,Product_Master!$A$2:$A$9,0)),0,1)</f>
        <v>0</v>
      </c>
      <c r="R854" s="42" t="n">
        <f aca="false">IF(ISNUMBER(MATCH(D854,Customer_Master!$A$2:$A$49,0)),0,1)</f>
        <v>0</v>
      </c>
      <c r="S854" s="42" t="n">
        <f aca="false">IF(ISNUMBER(MATCH(B854,Calendar!$A$2:$A$25,0)),0,1)</f>
        <v>0</v>
      </c>
      <c r="T854" s="42" t="n">
        <f aca="false">IF(COUNTIF(Sales_Transactions!$A$2:$A$865,A854)&gt;1,1,0)</f>
        <v>0</v>
      </c>
      <c r="U854" s="42" t="n">
        <f aca="false">IF(OR(ABS(Sales_Transactions!F854*Sales_Transactions!G854-Sales_Transactions!I854)&gt;0.01,ABS(Sales_Transactions!F854*Sales_Transactions!H854-Sales_Transactions!J854)&gt;0.01,ABS(Sales_Transactions!I854-Sales_Transactions!J854-Sales_Transactions!K854)&gt;0.01),1,0)</f>
        <v>0</v>
      </c>
      <c r="V854" s="42" t="n">
        <f aca="false">IF(C854&lt;&gt;L854,1,0)</f>
        <v>0</v>
      </c>
      <c r="W854" s="42" t="n">
        <f aca="false">IF(SUM(Q854:V854)&gt;0,1,0)</f>
        <v>0</v>
      </c>
    </row>
    <row r="855" customFormat="false" ht="15" hidden="false" customHeight="false" outlineLevel="0" collapsed="false">
      <c r="A855" s="42" t="str">
        <f aca="false">Sales_Transactions!A855</f>
        <v>INV-24-026</v>
      </c>
      <c r="B855" s="42" t="str">
        <f aca="false">Sales_Transactions!B855</f>
        <v>2026-12</v>
      </c>
      <c r="C855" s="42" t="str">
        <f aca="false">Sales_Transactions!C855</f>
        <v>Forecast</v>
      </c>
      <c r="D855" s="42" t="str">
        <f aca="false">Sales_Transactions!D855</f>
        <v>C005</v>
      </c>
      <c r="E855" s="42" t="str">
        <f aca="false">Sales_Transactions!E855</f>
        <v>P005</v>
      </c>
      <c r="F855" s="42" t="str">
        <f aca="false">IFERROR(INDEX(Customer_Master!$C$2:$C$49,MATCH(D855,Customer_Master!$A$2:$A$49,0)),"UNMATCHED")</f>
        <v>South</v>
      </c>
      <c r="G855" s="42" t="str">
        <f aca="false">IFERROR(INDEX(Customer_Master!$D$2:$D$49,MATCH(D855,Customer_Master!$A$2:$A$49,0)),"UNMATCHED")</f>
        <v>Modern Trade</v>
      </c>
      <c r="H855" s="42" t="str">
        <f aca="false">IFERROR(INDEX(Product_Master!$C$2:$C$9,MATCH(E855,Product_Master!$A$2:$A$9,0)),"UNMATCHED")</f>
        <v>Foods</v>
      </c>
      <c r="I855" s="42" t="str">
        <f aca="false">IFERROR(INDEX(Product_Master!$B$2:$B$9,MATCH(E855,Product_Master!$A$2:$A$9,0)),"UNMATCHED")</f>
        <v>Biscuits 500g</v>
      </c>
      <c r="J855" s="42" t="n">
        <f aca="false">IFERROR(INDEX(Calendar!$B$2:$B$25,MATCH(B855,Calendar!$A$2:$A$25,0)),0)</f>
        <v>2026</v>
      </c>
      <c r="K855" s="42" t="n">
        <f aca="false">IFERROR(VALUE(RIGHT(B855,2)),0)</f>
        <v>12</v>
      </c>
      <c r="L855" s="42" t="str">
        <f aca="false">IFERROR(INDEX(Calendar!$E$2:$E$25,MATCH(B855,Calendar!$A$2:$A$25,0)),"UNMATCHED")</f>
        <v>Forecast</v>
      </c>
      <c r="M855" s="42" t="n">
        <f aca="false">Sales_Transactions!F855</f>
        <v>310</v>
      </c>
      <c r="N855" s="52" t="n">
        <f aca="false">Sales_Transactions!I855</f>
        <v>31833.9</v>
      </c>
      <c r="O855" s="52" t="n">
        <f aca="false">Sales_Transactions!J855</f>
        <v>21972.8</v>
      </c>
      <c r="P855" s="52" t="n">
        <f aca="false">Sales_Transactions!K855</f>
        <v>9861.1</v>
      </c>
      <c r="Q855" s="42" t="n">
        <f aca="false">IF(ISNUMBER(MATCH(E855,Product_Master!$A$2:$A$9,0)),0,1)</f>
        <v>0</v>
      </c>
      <c r="R855" s="42" t="n">
        <f aca="false">IF(ISNUMBER(MATCH(D855,Customer_Master!$A$2:$A$49,0)),0,1)</f>
        <v>0</v>
      </c>
      <c r="S855" s="42" t="n">
        <f aca="false">IF(ISNUMBER(MATCH(B855,Calendar!$A$2:$A$25,0)),0,1)</f>
        <v>0</v>
      </c>
      <c r="T855" s="42" t="n">
        <f aca="false">IF(COUNTIF(Sales_Transactions!$A$2:$A$865,A855)&gt;1,1,0)</f>
        <v>0</v>
      </c>
      <c r="U855" s="42" t="n">
        <f aca="false">IF(OR(ABS(Sales_Transactions!F855*Sales_Transactions!G855-Sales_Transactions!I855)&gt;0.01,ABS(Sales_Transactions!F855*Sales_Transactions!H855-Sales_Transactions!J855)&gt;0.01,ABS(Sales_Transactions!I855-Sales_Transactions!J855-Sales_Transactions!K855)&gt;0.01),1,0)</f>
        <v>0</v>
      </c>
      <c r="V855" s="42" t="n">
        <f aca="false">IF(C855&lt;&gt;L855,1,0)</f>
        <v>0</v>
      </c>
      <c r="W855" s="42" t="n">
        <f aca="false">IF(SUM(Q855:V855)&gt;0,1,0)</f>
        <v>0</v>
      </c>
    </row>
    <row r="856" customFormat="false" ht="15" hidden="false" customHeight="false" outlineLevel="0" collapsed="false">
      <c r="A856" s="42" t="str">
        <f aca="false">Sales_Transactions!A856</f>
        <v>INV-24-027</v>
      </c>
      <c r="B856" s="42" t="str">
        <f aca="false">Sales_Transactions!B856</f>
        <v>2026-12</v>
      </c>
      <c r="C856" s="42" t="str">
        <f aca="false">Sales_Transactions!C856</f>
        <v>Forecast</v>
      </c>
      <c r="D856" s="42" t="str">
        <f aca="false">Sales_Transactions!D856</f>
        <v>C012</v>
      </c>
      <c r="E856" s="42" t="str">
        <f aca="false">Sales_Transactions!E856</f>
        <v>P002</v>
      </c>
      <c r="F856" s="42" t="str">
        <f aca="false">IFERROR(INDEX(Customer_Master!$C$2:$C$49,MATCH(D856,Customer_Master!$A$2:$A$49,0)),"UNMATCHED")</f>
        <v>East</v>
      </c>
      <c r="G856" s="42" t="str">
        <f aca="false">IFERROR(INDEX(Customer_Master!$D$2:$D$49,MATCH(D856,Customer_Master!$A$2:$A$49,0)),"UNMATCHED")</f>
        <v>Retail</v>
      </c>
      <c r="H856" s="42" t="str">
        <f aca="false">IFERROR(INDEX(Product_Master!$C$2:$C$9,MATCH(E856,Product_Master!$A$2:$A$9,0)),"UNMATCHED")</f>
        <v>Home Care</v>
      </c>
      <c r="I856" s="42" t="str">
        <f aca="false">IFERROR(INDEX(Product_Master!$B$2:$B$9,MATCH(E856,Product_Master!$A$2:$A$9,0)),"UNMATCHED")</f>
        <v>Dishwash Gel</v>
      </c>
      <c r="J856" s="42" t="n">
        <f aca="false">IFERROR(INDEX(Calendar!$B$2:$B$25,MATCH(B856,Calendar!$A$2:$A$25,0)),0)</f>
        <v>2026</v>
      </c>
      <c r="K856" s="42" t="n">
        <f aca="false">IFERROR(VALUE(RIGHT(B856,2)),0)</f>
        <v>12</v>
      </c>
      <c r="L856" s="42" t="str">
        <f aca="false">IFERROR(INDEX(Calendar!$E$2:$E$25,MATCH(B856,Calendar!$A$2:$A$25,0)),"UNMATCHED")</f>
        <v>Forecast</v>
      </c>
      <c r="M856" s="42" t="n">
        <f aca="false">Sales_Transactions!F856</f>
        <v>418</v>
      </c>
      <c r="N856" s="52" t="n">
        <f aca="false">Sales_Transactions!I856</f>
        <v>61617.38</v>
      </c>
      <c r="O856" s="52" t="n">
        <f aca="false">Sales_Transactions!J856</f>
        <v>33465.08</v>
      </c>
      <c r="P856" s="52" t="n">
        <f aca="false">Sales_Transactions!K856</f>
        <v>28152.3</v>
      </c>
      <c r="Q856" s="42" t="n">
        <f aca="false">IF(ISNUMBER(MATCH(E856,Product_Master!$A$2:$A$9,0)),0,1)</f>
        <v>0</v>
      </c>
      <c r="R856" s="42" t="n">
        <f aca="false">IF(ISNUMBER(MATCH(D856,Customer_Master!$A$2:$A$49,0)),0,1)</f>
        <v>0</v>
      </c>
      <c r="S856" s="42" t="n">
        <f aca="false">IF(ISNUMBER(MATCH(B856,Calendar!$A$2:$A$25,0)),0,1)</f>
        <v>0</v>
      </c>
      <c r="T856" s="42" t="n">
        <f aca="false">IF(COUNTIF(Sales_Transactions!$A$2:$A$865,A856)&gt;1,1,0)</f>
        <v>0</v>
      </c>
      <c r="U856" s="42" t="n">
        <f aca="false">IF(OR(ABS(Sales_Transactions!F856*Sales_Transactions!G856-Sales_Transactions!I856)&gt;0.01,ABS(Sales_Transactions!F856*Sales_Transactions!H856-Sales_Transactions!J856)&gt;0.01,ABS(Sales_Transactions!I856-Sales_Transactions!J856-Sales_Transactions!K856)&gt;0.01),1,0)</f>
        <v>0</v>
      </c>
      <c r="V856" s="42" t="n">
        <f aca="false">IF(C856&lt;&gt;L856,1,0)</f>
        <v>0</v>
      </c>
      <c r="W856" s="42" t="n">
        <f aca="false">IF(SUM(Q856:V856)&gt;0,1,0)</f>
        <v>0</v>
      </c>
    </row>
    <row r="857" customFormat="false" ht="15" hidden="false" customHeight="false" outlineLevel="0" collapsed="false">
      <c r="A857" s="42" t="str">
        <f aca="false">Sales_Transactions!A857</f>
        <v>INV-24-028</v>
      </c>
      <c r="B857" s="42" t="str">
        <f aca="false">Sales_Transactions!B857</f>
        <v>2026-12</v>
      </c>
      <c r="C857" s="42" t="str">
        <f aca="false">Sales_Transactions!C857</f>
        <v>Forecast</v>
      </c>
      <c r="D857" s="42" t="str">
        <f aca="false">Sales_Transactions!D857</f>
        <v>C019</v>
      </c>
      <c r="E857" s="42" t="str">
        <f aca="false">Sales_Transactions!E857</f>
        <v>P007</v>
      </c>
      <c r="F857" s="42" t="str">
        <f aca="false">IFERROR(INDEX(Customer_Master!$C$2:$C$49,MATCH(D857,Customer_Master!$A$2:$A$49,0)),"UNMATCHED")</f>
        <v>West</v>
      </c>
      <c r="G857" s="42" t="str">
        <f aca="false">IFERROR(INDEX(Customer_Master!$D$2:$D$49,MATCH(D857,Customer_Master!$A$2:$A$49,0)),"UNMATCHED")</f>
        <v>Distributor</v>
      </c>
      <c r="H857" s="42" t="str">
        <f aca="false">IFERROR(INDEX(Product_Master!$C$2:$C$9,MATCH(E857,Product_Master!$A$2:$A$9,0)),"UNMATCHED")</f>
        <v>Home Care</v>
      </c>
      <c r="I857" s="42" t="str">
        <f aca="false">IFERROR(INDEX(Product_Master!$B$2:$B$9,MATCH(E857,Product_Master!$A$2:$A$9,0)),"UNMATCHED")</f>
        <v>Floor Cleaner</v>
      </c>
      <c r="J857" s="42" t="n">
        <f aca="false">IFERROR(INDEX(Calendar!$B$2:$B$25,MATCH(B857,Calendar!$A$2:$A$25,0)),0)</f>
        <v>2026</v>
      </c>
      <c r="K857" s="42" t="n">
        <f aca="false">IFERROR(VALUE(RIGHT(B857,2)),0)</f>
        <v>12</v>
      </c>
      <c r="L857" s="42" t="str">
        <f aca="false">IFERROR(INDEX(Calendar!$E$2:$E$25,MATCH(B857,Calendar!$A$2:$A$25,0)),"UNMATCHED")</f>
        <v>Forecast</v>
      </c>
      <c r="M857" s="42" t="n">
        <f aca="false">Sales_Transactions!F857</f>
        <v>249</v>
      </c>
      <c r="N857" s="52" t="n">
        <f aca="false">Sales_Transactions!I857</f>
        <v>45816</v>
      </c>
      <c r="O857" s="52" t="n">
        <f aca="false">Sales_Transactions!J857</f>
        <v>29098.14</v>
      </c>
      <c r="P857" s="52" t="n">
        <f aca="false">Sales_Transactions!K857</f>
        <v>16717.86</v>
      </c>
      <c r="Q857" s="42" t="n">
        <f aca="false">IF(ISNUMBER(MATCH(E857,Product_Master!$A$2:$A$9,0)),0,1)</f>
        <v>0</v>
      </c>
      <c r="R857" s="42" t="n">
        <f aca="false">IF(ISNUMBER(MATCH(D857,Customer_Master!$A$2:$A$49,0)),0,1)</f>
        <v>0</v>
      </c>
      <c r="S857" s="42" t="n">
        <f aca="false">IF(ISNUMBER(MATCH(B857,Calendar!$A$2:$A$25,0)),0,1)</f>
        <v>0</v>
      </c>
      <c r="T857" s="42" t="n">
        <f aca="false">IF(COUNTIF(Sales_Transactions!$A$2:$A$865,A857)&gt;1,1,0)</f>
        <v>0</v>
      </c>
      <c r="U857" s="42" t="n">
        <f aca="false">IF(OR(ABS(Sales_Transactions!F857*Sales_Transactions!G857-Sales_Transactions!I857)&gt;0.01,ABS(Sales_Transactions!F857*Sales_Transactions!H857-Sales_Transactions!J857)&gt;0.01,ABS(Sales_Transactions!I857-Sales_Transactions!J857-Sales_Transactions!K857)&gt;0.01),1,0)</f>
        <v>0</v>
      </c>
      <c r="V857" s="42" t="n">
        <f aca="false">IF(C857&lt;&gt;L857,1,0)</f>
        <v>0</v>
      </c>
      <c r="W857" s="42" t="n">
        <f aca="false">IF(SUM(Q857:V857)&gt;0,1,0)</f>
        <v>0</v>
      </c>
    </row>
    <row r="858" customFormat="false" ht="15" hidden="false" customHeight="false" outlineLevel="0" collapsed="false">
      <c r="A858" s="42" t="str">
        <f aca="false">Sales_Transactions!A858</f>
        <v>INV-24-029</v>
      </c>
      <c r="B858" s="42" t="str">
        <f aca="false">Sales_Transactions!B858</f>
        <v>2026-12</v>
      </c>
      <c r="C858" s="42" t="str">
        <f aca="false">Sales_Transactions!C858</f>
        <v>Forecast</v>
      </c>
      <c r="D858" s="42" t="str">
        <f aca="false">Sales_Transactions!D858</f>
        <v>C026</v>
      </c>
      <c r="E858" s="42" t="str">
        <f aca="false">Sales_Transactions!E858</f>
        <v>P004</v>
      </c>
      <c r="F858" s="42" t="str">
        <f aca="false">IFERROR(INDEX(Customer_Master!$C$2:$C$49,MATCH(D858,Customer_Master!$A$2:$A$49,0)),"UNMATCHED")</f>
        <v>North</v>
      </c>
      <c r="G858" s="42" t="str">
        <f aca="false">IFERROR(INDEX(Customer_Master!$D$2:$D$49,MATCH(D858,Customer_Master!$A$2:$A$49,0)),"UNMATCHED")</f>
        <v>Modern Trade</v>
      </c>
      <c r="H858" s="42" t="str">
        <f aca="false">IFERROR(INDEX(Product_Master!$C$2:$C$9,MATCH(E858,Product_Master!$A$2:$A$9,0)),"UNMATCHED")</f>
        <v>Personal Care</v>
      </c>
      <c r="I858" s="42" t="str">
        <f aca="false">IFERROR(INDEX(Product_Master!$B$2:$B$9,MATCH(E858,Product_Master!$A$2:$A$9,0)),"UNMATCHED")</f>
        <v>Soap 4-pack</v>
      </c>
      <c r="J858" s="42" t="n">
        <f aca="false">IFERROR(INDEX(Calendar!$B$2:$B$25,MATCH(B858,Calendar!$A$2:$A$25,0)),0)</f>
        <v>2026</v>
      </c>
      <c r="K858" s="42" t="n">
        <f aca="false">IFERROR(VALUE(RIGHT(B858,2)),0)</f>
        <v>12</v>
      </c>
      <c r="L858" s="42" t="str">
        <f aca="false">IFERROR(INDEX(Calendar!$E$2:$E$25,MATCH(B858,Calendar!$A$2:$A$25,0)),"UNMATCHED")</f>
        <v>Forecast</v>
      </c>
      <c r="M858" s="42" t="n">
        <f aca="false">Sales_Transactions!F858</f>
        <v>330</v>
      </c>
      <c r="N858" s="52" t="n">
        <f aca="false">Sales_Transactions!I858</f>
        <v>53757</v>
      </c>
      <c r="O858" s="52" t="n">
        <f aca="false">Sales_Transactions!J858</f>
        <v>34079.1</v>
      </c>
      <c r="P858" s="52" t="n">
        <f aca="false">Sales_Transactions!K858</f>
        <v>19677.9</v>
      </c>
      <c r="Q858" s="42" t="n">
        <f aca="false">IF(ISNUMBER(MATCH(E858,Product_Master!$A$2:$A$9,0)),0,1)</f>
        <v>0</v>
      </c>
      <c r="R858" s="42" t="n">
        <f aca="false">IF(ISNUMBER(MATCH(D858,Customer_Master!$A$2:$A$49,0)),0,1)</f>
        <v>0</v>
      </c>
      <c r="S858" s="42" t="n">
        <f aca="false">IF(ISNUMBER(MATCH(B858,Calendar!$A$2:$A$25,0)),0,1)</f>
        <v>0</v>
      </c>
      <c r="T858" s="42" t="n">
        <f aca="false">IF(COUNTIF(Sales_Transactions!$A$2:$A$865,A858)&gt;1,1,0)</f>
        <v>0</v>
      </c>
      <c r="U858" s="42" t="n">
        <f aca="false">IF(OR(ABS(Sales_Transactions!F858*Sales_Transactions!G858-Sales_Transactions!I858)&gt;0.01,ABS(Sales_Transactions!F858*Sales_Transactions!H858-Sales_Transactions!J858)&gt;0.01,ABS(Sales_Transactions!I858-Sales_Transactions!J858-Sales_Transactions!K858)&gt;0.01),1,0)</f>
        <v>0</v>
      </c>
      <c r="V858" s="42" t="n">
        <f aca="false">IF(C858&lt;&gt;L858,1,0)</f>
        <v>0</v>
      </c>
      <c r="W858" s="42" t="n">
        <f aca="false">IF(SUM(Q858:V858)&gt;0,1,0)</f>
        <v>0</v>
      </c>
    </row>
    <row r="859" customFormat="false" ht="15" hidden="false" customHeight="false" outlineLevel="0" collapsed="false">
      <c r="A859" s="42" t="str">
        <f aca="false">Sales_Transactions!A859</f>
        <v>INV-24-030</v>
      </c>
      <c r="B859" s="42" t="str">
        <f aca="false">Sales_Transactions!B859</f>
        <v>2026-12</v>
      </c>
      <c r="C859" s="42" t="str">
        <f aca="false">Sales_Transactions!C859</f>
        <v>Forecast</v>
      </c>
      <c r="D859" s="42" t="str">
        <f aca="false">Sales_Transactions!D859</f>
        <v>C033</v>
      </c>
      <c r="E859" s="42" t="str">
        <f aca="false">Sales_Transactions!E859</f>
        <v>P001</v>
      </c>
      <c r="F859" s="42" t="str">
        <f aca="false">IFERROR(INDEX(Customer_Master!$C$2:$C$49,MATCH(D859,Customer_Master!$A$2:$A$49,0)),"UNMATCHED")</f>
        <v>South</v>
      </c>
      <c r="G859" s="42" t="str">
        <f aca="false">IFERROR(INDEX(Customer_Master!$D$2:$D$49,MATCH(D859,Customer_Master!$A$2:$A$49,0)),"UNMATCHED")</f>
        <v>Retail</v>
      </c>
      <c r="H859" s="42" t="str">
        <f aca="false">IFERROR(INDEX(Product_Master!$C$2:$C$9,MATCH(E859,Product_Master!$A$2:$A$9,0)),"UNMATCHED")</f>
        <v>Home Care</v>
      </c>
      <c r="I859" s="42" t="str">
        <f aca="false">IFERROR(INDEX(Product_Master!$B$2:$B$9,MATCH(E859,Product_Master!$A$2:$A$9,0)),"UNMATCHED")</f>
        <v>Detergent 1kg</v>
      </c>
      <c r="J859" s="42" t="n">
        <f aca="false">IFERROR(INDEX(Calendar!$B$2:$B$25,MATCH(B859,Calendar!$A$2:$A$25,0)),0)</f>
        <v>2026</v>
      </c>
      <c r="K859" s="42" t="n">
        <f aca="false">IFERROR(VALUE(RIGHT(B859,2)),0)</f>
        <v>12</v>
      </c>
      <c r="L859" s="42" t="str">
        <f aca="false">IFERROR(INDEX(Calendar!$E$2:$E$25,MATCH(B859,Calendar!$A$2:$A$25,0)),"UNMATCHED")</f>
        <v>Forecast</v>
      </c>
      <c r="M859" s="42" t="n">
        <f aca="false">Sales_Transactions!F859</f>
        <v>248</v>
      </c>
      <c r="N859" s="52" t="n">
        <f aca="false">Sales_Transactions!I859</f>
        <v>48325.28</v>
      </c>
      <c r="O859" s="52" t="n">
        <f aca="false">Sales_Transactions!J859</f>
        <v>34157.04</v>
      </c>
      <c r="P859" s="52" t="n">
        <f aca="false">Sales_Transactions!K859</f>
        <v>14168.24</v>
      </c>
      <c r="Q859" s="42" t="n">
        <f aca="false">IF(ISNUMBER(MATCH(E859,Product_Master!$A$2:$A$9,0)),0,1)</f>
        <v>0</v>
      </c>
      <c r="R859" s="42" t="n">
        <f aca="false">IF(ISNUMBER(MATCH(D859,Customer_Master!$A$2:$A$49,0)),0,1)</f>
        <v>0</v>
      </c>
      <c r="S859" s="42" t="n">
        <f aca="false">IF(ISNUMBER(MATCH(B859,Calendar!$A$2:$A$25,0)),0,1)</f>
        <v>0</v>
      </c>
      <c r="T859" s="42" t="n">
        <f aca="false">IF(COUNTIF(Sales_Transactions!$A$2:$A$865,A859)&gt;1,1,0)</f>
        <v>0</v>
      </c>
      <c r="U859" s="42" t="n">
        <f aca="false">IF(OR(ABS(Sales_Transactions!F859*Sales_Transactions!G859-Sales_Transactions!I859)&gt;0.01,ABS(Sales_Transactions!F859*Sales_Transactions!H859-Sales_Transactions!J859)&gt;0.01,ABS(Sales_Transactions!I859-Sales_Transactions!J859-Sales_Transactions!K859)&gt;0.01),1,0)</f>
        <v>0</v>
      </c>
      <c r="V859" s="42" t="n">
        <f aca="false">IF(C859&lt;&gt;L859,1,0)</f>
        <v>0</v>
      </c>
      <c r="W859" s="42" t="n">
        <f aca="false">IF(SUM(Q859:V859)&gt;0,1,0)</f>
        <v>0</v>
      </c>
    </row>
    <row r="860" customFormat="false" ht="15" hidden="false" customHeight="false" outlineLevel="0" collapsed="false">
      <c r="A860" s="42" t="str">
        <f aca="false">Sales_Transactions!A860</f>
        <v>INV-24-031</v>
      </c>
      <c r="B860" s="42" t="str">
        <f aca="false">Sales_Transactions!B860</f>
        <v>2026-12</v>
      </c>
      <c r="C860" s="42" t="str">
        <f aca="false">Sales_Transactions!C860</f>
        <v>Forecast</v>
      </c>
      <c r="D860" s="42" t="str">
        <f aca="false">Sales_Transactions!D860</f>
        <v>C040</v>
      </c>
      <c r="E860" s="42" t="str">
        <f aca="false">Sales_Transactions!E860</f>
        <v>P006</v>
      </c>
      <c r="F860" s="42" t="str">
        <f aca="false">IFERROR(INDEX(Customer_Master!$C$2:$C$49,MATCH(D860,Customer_Master!$A$2:$A$49,0)),"UNMATCHED")</f>
        <v>East</v>
      </c>
      <c r="G860" s="42" t="str">
        <f aca="false">IFERROR(INDEX(Customer_Master!$D$2:$D$49,MATCH(D860,Customer_Master!$A$2:$A$49,0)),"UNMATCHED")</f>
        <v>Distributor</v>
      </c>
      <c r="H860" s="42" t="str">
        <f aca="false">IFERROR(INDEX(Product_Master!$C$2:$C$9,MATCH(E860,Product_Master!$A$2:$A$9,0)),"UNMATCHED")</f>
        <v>Foods</v>
      </c>
      <c r="I860" s="42" t="str">
        <f aca="false">IFERROR(INDEX(Product_Master!$B$2:$B$9,MATCH(E860,Product_Master!$A$2:$A$9,0)),"UNMATCHED")</f>
        <v>Breakfast Cereal</v>
      </c>
      <c r="J860" s="42" t="n">
        <f aca="false">IFERROR(INDEX(Calendar!$B$2:$B$25,MATCH(B860,Calendar!$A$2:$A$25,0)),0)</f>
        <v>2026</v>
      </c>
      <c r="K860" s="42" t="n">
        <f aca="false">IFERROR(VALUE(RIGHT(B860,2)),0)</f>
        <v>12</v>
      </c>
      <c r="L860" s="42" t="str">
        <f aca="false">IFERROR(INDEX(Calendar!$E$2:$E$25,MATCH(B860,Calendar!$A$2:$A$25,0)),"UNMATCHED")</f>
        <v>Forecast</v>
      </c>
      <c r="M860" s="42" t="n">
        <f aca="false">Sales_Transactions!F860</f>
        <v>336</v>
      </c>
      <c r="N860" s="52" t="n">
        <f aca="false">Sales_Transactions!I860</f>
        <v>87034.08</v>
      </c>
      <c r="O860" s="52" t="n">
        <f aca="false">Sales_Transactions!J860</f>
        <v>55238.4</v>
      </c>
      <c r="P860" s="52" t="n">
        <f aca="false">Sales_Transactions!K860</f>
        <v>31795.68</v>
      </c>
      <c r="Q860" s="42" t="n">
        <f aca="false">IF(ISNUMBER(MATCH(E860,Product_Master!$A$2:$A$9,0)),0,1)</f>
        <v>0</v>
      </c>
      <c r="R860" s="42" t="n">
        <f aca="false">IF(ISNUMBER(MATCH(D860,Customer_Master!$A$2:$A$49,0)),0,1)</f>
        <v>0</v>
      </c>
      <c r="S860" s="42" t="n">
        <f aca="false">IF(ISNUMBER(MATCH(B860,Calendar!$A$2:$A$25,0)),0,1)</f>
        <v>0</v>
      </c>
      <c r="T860" s="42" t="n">
        <f aca="false">IF(COUNTIF(Sales_Transactions!$A$2:$A$865,A860)&gt;1,1,0)</f>
        <v>0</v>
      </c>
      <c r="U860" s="42" t="n">
        <f aca="false">IF(OR(ABS(Sales_Transactions!F860*Sales_Transactions!G860-Sales_Transactions!I860)&gt;0.01,ABS(Sales_Transactions!F860*Sales_Transactions!H860-Sales_Transactions!J860)&gt;0.01,ABS(Sales_Transactions!I860-Sales_Transactions!J860-Sales_Transactions!K860)&gt;0.01),1,0)</f>
        <v>0</v>
      </c>
      <c r="V860" s="42" t="n">
        <f aca="false">IF(C860&lt;&gt;L860,1,0)</f>
        <v>0</v>
      </c>
      <c r="W860" s="42" t="n">
        <f aca="false">IF(SUM(Q860:V860)&gt;0,1,0)</f>
        <v>0</v>
      </c>
    </row>
    <row r="861" customFormat="false" ht="15" hidden="false" customHeight="false" outlineLevel="0" collapsed="false">
      <c r="A861" s="42" t="str">
        <f aca="false">Sales_Transactions!A861</f>
        <v>INV-24-032</v>
      </c>
      <c r="B861" s="42" t="str">
        <f aca="false">Sales_Transactions!B861</f>
        <v>2026-12</v>
      </c>
      <c r="C861" s="42" t="str">
        <f aca="false">Sales_Transactions!C861</f>
        <v>Forecast</v>
      </c>
      <c r="D861" s="42" t="str">
        <f aca="false">Sales_Transactions!D861</f>
        <v>C047</v>
      </c>
      <c r="E861" s="42" t="str">
        <f aca="false">Sales_Transactions!E861</f>
        <v>P003</v>
      </c>
      <c r="F861" s="42" t="str">
        <f aca="false">IFERROR(INDEX(Customer_Master!$C$2:$C$49,MATCH(D861,Customer_Master!$A$2:$A$49,0)),"UNMATCHED")</f>
        <v>West</v>
      </c>
      <c r="G861" s="42" t="str">
        <f aca="false">IFERROR(INDEX(Customer_Master!$D$2:$D$49,MATCH(D861,Customer_Master!$A$2:$A$49,0)),"UNMATCHED")</f>
        <v>Modern Trade</v>
      </c>
      <c r="H861" s="42" t="str">
        <f aca="false">IFERROR(INDEX(Product_Master!$C$2:$C$9,MATCH(E861,Product_Master!$A$2:$A$9,0)),"UNMATCHED")</f>
        <v>Personal Care</v>
      </c>
      <c r="I861" s="42" t="str">
        <f aca="false">IFERROR(INDEX(Product_Master!$B$2:$B$9,MATCH(E861,Product_Master!$A$2:$A$9,0)),"UNMATCHED")</f>
        <v>Shampoo 400ml</v>
      </c>
      <c r="J861" s="42" t="n">
        <f aca="false">IFERROR(INDEX(Calendar!$B$2:$B$25,MATCH(B861,Calendar!$A$2:$A$25,0)),0)</f>
        <v>2026</v>
      </c>
      <c r="K861" s="42" t="n">
        <f aca="false">IFERROR(VALUE(RIGHT(B861,2)),0)</f>
        <v>12</v>
      </c>
      <c r="L861" s="42" t="str">
        <f aca="false">IFERROR(INDEX(Calendar!$E$2:$E$25,MATCH(B861,Calendar!$A$2:$A$25,0)),"UNMATCHED")</f>
        <v>Forecast</v>
      </c>
      <c r="M861" s="42" t="n">
        <f aca="false">Sales_Transactions!F861</f>
        <v>251</v>
      </c>
      <c r="N861" s="52" t="n">
        <f aca="false">Sales_Transactions!I861</f>
        <v>65985.39</v>
      </c>
      <c r="O861" s="52" t="n">
        <f aca="false">Sales_Transactions!J861</f>
        <v>45408.41</v>
      </c>
      <c r="P861" s="52" t="n">
        <f aca="false">Sales_Transactions!K861</f>
        <v>20576.98</v>
      </c>
      <c r="Q861" s="42" t="n">
        <f aca="false">IF(ISNUMBER(MATCH(E861,Product_Master!$A$2:$A$9,0)),0,1)</f>
        <v>0</v>
      </c>
      <c r="R861" s="42" t="n">
        <f aca="false">IF(ISNUMBER(MATCH(D861,Customer_Master!$A$2:$A$49,0)),0,1)</f>
        <v>0</v>
      </c>
      <c r="S861" s="42" t="n">
        <f aca="false">IF(ISNUMBER(MATCH(B861,Calendar!$A$2:$A$25,0)),0,1)</f>
        <v>0</v>
      </c>
      <c r="T861" s="42" t="n">
        <f aca="false">IF(COUNTIF(Sales_Transactions!$A$2:$A$865,A861)&gt;1,1,0)</f>
        <v>0</v>
      </c>
      <c r="U861" s="42" t="n">
        <f aca="false">IF(OR(ABS(Sales_Transactions!F861*Sales_Transactions!G861-Sales_Transactions!I861)&gt;0.01,ABS(Sales_Transactions!F861*Sales_Transactions!H861-Sales_Transactions!J861)&gt;0.01,ABS(Sales_Transactions!I861-Sales_Transactions!J861-Sales_Transactions!K861)&gt;0.01),1,0)</f>
        <v>0</v>
      </c>
      <c r="V861" s="42" t="n">
        <f aca="false">IF(C861&lt;&gt;L861,1,0)</f>
        <v>0</v>
      </c>
      <c r="W861" s="42" t="n">
        <f aca="false">IF(SUM(Q861:V861)&gt;0,1,0)</f>
        <v>0</v>
      </c>
    </row>
    <row r="862" customFormat="false" ht="15" hidden="false" customHeight="false" outlineLevel="0" collapsed="false">
      <c r="A862" s="42" t="str">
        <f aca="false">Sales_Transactions!A862</f>
        <v>INV-24-033</v>
      </c>
      <c r="B862" s="42" t="str">
        <f aca="false">Sales_Transactions!B862</f>
        <v>2026-12</v>
      </c>
      <c r="C862" s="42" t="str">
        <f aca="false">Sales_Transactions!C862</f>
        <v>Forecast</v>
      </c>
      <c r="D862" s="42" t="str">
        <f aca="false">Sales_Transactions!D862</f>
        <v>C006</v>
      </c>
      <c r="E862" s="42" t="str">
        <f aca="false">Sales_Transactions!E862</f>
        <v>P008</v>
      </c>
      <c r="F862" s="42" t="str">
        <f aca="false">IFERROR(INDEX(Customer_Master!$C$2:$C$49,MATCH(D862,Customer_Master!$A$2:$A$49,0)),"UNMATCHED")</f>
        <v>North</v>
      </c>
      <c r="G862" s="42" t="str">
        <f aca="false">IFERROR(INDEX(Customer_Master!$D$2:$D$49,MATCH(D862,Customer_Master!$A$2:$A$49,0)),"UNMATCHED")</f>
        <v>Retail</v>
      </c>
      <c r="H862" s="42" t="str">
        <f aca="false">IFERROR(INDEX(Product_Master!$C$2:$C$9,MATCH(E862,Product_Master!$A$2:$A$9,0)),"UNMATCHED")</f>
        <v>Personal Care</v>
      </c>
      <c r="I862" s="42" t="str">
        <f aca="false">IFERROR(INDEX(Product_Master!$B$2:$B$9,MATCH(E862,Product_Master!$A$2:$A$9,0)),"UNMATCHED")</f>
        <v>Body Lotion</v>
      </c>
      <c r="J862" s="42" t="n">
        <f aca="false">IFERROR(INDEX(Calendar!$B$2:$B$25,MATCH(B862,Calendar!$A$2:$A$25,0)),0)</f>
        <v>2026</v>
      </c>
      <c r="K862" s="42" t="n">
        <f aca="false">IFERROR(VALUE(RIGHT(B862,2)),0)</f>
        <v>12</v>
      </c>
      <c r="L862" s="42" t="str">
        <f aca="false">IFERROR(INDEX(Calendar!$E$2:$E$25,MATCH(B862,Calendar!$A$2:$A$25,0)),"UNMATCHED")</f>
        <v>Forecast</v>
      </c>
      <c r="M862" s="42" t="n">
        <f aca="false">Sales_Transactions!F862</f>
        <v>286</v>
      </c>
      <c r="N862" s="52" t="n">
        <f aca="false">Sales_Transactions!I862</f>
        <v>87135.62</v>
      </c>
      <c r="O862" s="52" t="n">
        <f aca="false">Sales_Transactions!J862</f>
        <v>61921.86</v>
      </c>
      <c r="P862" s="52" t="n">
        <f aca="false">Sales_Transactions!K862</f>
        <v>25213.76</v>
      </c>
      <c r="Q862" s="42" t="n">
        <f aca="false">IF(ISNUMBER(MATCH(E862,Product_Master!$A$2:$A$9,0)),0,1)</f>
        <v>0</v>
      </c>
      <c r="R862" s="42" t="n">
        <f aca="false">IF(ISNUMBER(MATCH(D862,Customer_Master!$A$2:$A$49,0)),0,1)</f>
        <v>0</v>
      </c>
      <c r="S862" s="42" t="n">
        <f aca="false">IF(ISNUMBER(MATCH(B862,Calendar!$A$2:$A$25,0)),0,1)</f>
        <v>0</v>
      </c>
      <c r="T862" s="42" t="n">
        <f aca="false">IF(COUNTIF(Sales_Transactions!$A$2:$A$865,A862)&gt;1,1,0)</f>
        <v>0</v>
      </c>
      <c r="U862" s="42" t="n">
        <f aca="false">IF(OR(ABS(Sales_Transactions!F862*Sales_Transactions!G862-Sales_Transactions!I862)&gt;0.01,ABS(Sales_Transactions!F862*Sales_Transactions!H862-Sales_Transactions!J862)&gt;0.01,ABS(Sales_Transactions!I862-Sales_Transactions!J862-Sales_Transactions!K862)&gt;0.01),1,0)</f>
        <v>0</v>
      </c>
      <c r="V862" s="42" t="n">
        <f aca="false">IF(C862&lt;&gt;L862,1,0)</f>
        <v>0</v>
      </c>
      <c r="W862" s="42" t="n">
        <f aca="false">IF(SUM(Q862:V862)&gt;0,1,0)</f>
        <v>0</v>
      </c>
    </row>
    <row r="863" customFormat="false" ht="15" hidden="false" customHeight="false" outlineLevel="0" collapsed="false">
      <c r="A863" s="42" t="str">
        <f aca="false">Sales_Transactions!A863</f>
        <v>INV-24-034</v>
      </c>
      <c r="B863" s="42" t="str">
        <f aca="false">Sales_Transactions!B863</f>
        <v>2026-12</v>
      </c>
      <c r="C863" s="42" t="str">
        <f aca="false">Sales_Transactions!C863</f>
        <v>Forecast</v>
      </c>
      <c r="D863" s="42" t="str">
        <f aca="false">Sales_Transactions!D863</f>
        <v>C013</v>
      </c>
      <c r="E863" s="42" t="str">
        <f aca="false">Sales_Transactions!E863</f>
        <v>P005</v>
      </c>
      <c r="F863" s="42" t="str">
        <f aca="false">IFERROR(INDEX(Customer_Master!$C$2:$C$49,MATCH(D863,Customer_Master!$A$2:$A$49,0)),"UNMATCHED")</f>
        <v>South</v>
      </c>
      <c r="G863" s="42" t="str">
        <f aca="false">IFERROR(INDEX(Customer_Master!$D$2:$D$49,MATCH(D863,Customer_Master!$A$2:$A$49,0)),"UNMATCHED")</f>
        <v>Distributor</v>
      </c>
      <c r="H863" s="42" t="str">
        <f aca="false">IFERROR(INDEX(Product_Master!$C$2:$C$9,MATCH(E863,Product_Master!$A$2:$A$9,0)),"UNMATCHED")</f>
        <v>Foods</v>
      </c>
      <c r="I863" s="42" t="str">
        <f aca="false">IFERROR(INDEX(Product_Master!$B$2:$B$9,MATCH(E863,Product_Master!$A$2:$A$9,0)),"UNMATCHED")</f>
        <v>Biscuits 500g</v>
      </c>
      <c r="J863" s="42" t="n">
        <f aca="false">IFERROR(INDEX(Calendar!$B$2:$B$25,MATCH(B863,Calendar!$A$2:$A$25,0)),0)</f>
        <v>2026</v>
      </c>
      <c r="K863" s="42" t="n">
        <f aca="false">IFERROR(VALUE(RIGHT(B863,2)),0)</f>
        <v>12</v>
      </c>
      <c r="L863" s="42" t="str">
        <f aca="false">IFERROR(INDEX(Calendar!$E$2:$E$25,MATCH(B863,Calendar!$A$2:$A$25,0)),"UNMATCHED")</f>
        <v>Forecast</v>
      </c>
      <c r="M863" s="42" t="n">
        <f aca="false">Sales_Transactions!F863</f>
        <v>187</v>
      </c>
      <c r="N863" s="52" t="n">
        <f aca="false">Sales_Transactions!I863</f>
        <v>19891.19</v>
      </c>
      <c r="O863" s="52" t="n">
        <f aca="false">Sales_Transactions!J863</f>
        <v>12848.77</v>
      </c>
      <c r="P863" s="52" t="n">
        <f aca="false">Sales_Transactions!K863</f>
        <v>7042.42</v>
      </c>
      <c r="Q863" s="42" t="n">
        <f aca="false">IF(ISNUMBER(MATCH(E863,Product_Master!$A$2:$A$9,0)),0,1)</f>
        <v>0</v>
      </c>
      <c r="R863" s="42" t="n">
        <f aca="false">IF(ISNUMBER(MATCH(D863,Customer_Master!$A$2:$A$49,0)),0,1)</f>
        <v>0</v>
      </c>
      <c r="S863" s="42" t="n">
        <f aca="false">IF(ISNUMBER(MATCH(B863,Calendar!$A$2:$A$25,0)),0,1)</f>
        <v>0</v>
      </c>
      <c r="T863" s="42" t="n">
        <f aca="false">IF(COUNTIF(Sales_Transactions!$A$2:$A$865,A863)&gt;1,1,0)</f>
        <v>0</v>
      </c>
      <c r="U863" s="42" t="n">
        <f aca="false">IF(OR(ABS(Sales_Transactions!F863*Sales_Transactions!G863-Sales_Transactions!I863)&gt;0.01,ABS(Sales_Transactions!F863*Sales_Transactions!H863-Sales_Transactions!J863)&gt;0.01,ABS(Sales_Transactions!I863-Sales_Transactions!J863-Sales_Transactions!K863)&gt;0.01),1,0)</f>
        <v>0</v>
      </c>
      <c r="V863" s="42" t="n">
        <f aca="false">IF(C863&lt;&gt;L863,1,0)</f>
        <v>0</v>
      </c>
      <c r="W863" s="42" t="n">
        <f aca="false">IF(SUM(Q863:V863)&gt;0,1,0)</f>
        <v>0</v>
      </c>
    </row>
    <row r="864" customFormat="false" ht="15" hidden="false" customHeight="false" outlineLevel="0" collapsed="false">
      <c r="A864" s="42" t="str">
        <f aca="false">Sales_Transactions!A864</f>
        <v>INV-24-035</v>
      </c>
      <c r="B864" s="42" t="str">
        <f aca="false">Sales_Transactions!B864</f>
        <v>2026-12</v>
      </c>
      <c r="C864" s="42" t="str">
        <f aca="false">Sales_Transactions!C864</f>
        <v>Forecast</v>
      </c>
      <c r="D864" s="42" t="str">
        <f aca="false">Sales_Transactions!D864</f>
        <v>C020</v>
      </c>
      <c r="E864" s="42" t="str">
        <f aca="false">Sales_Transactions!E864</f>
        <v>P002</v>
      </c>
      <c r="F864" s="42" t="str">
        <f aca="false">IFERROR(INDEX(Customer_Master!$C$2:$C$49,MATCH(D864,Customer_Master!$A$2:$A$49,0)),"UNMATCHED")</f>
        <v>East</v>
      </c>
      <c r="G864" s="42" t="str">
        <f aca="false">IFERROR(INDEX(Customer_Master!$D$2:$D$49,MATCH(D864,Customer_Master!$A$2:$A$49,0)),"UNMATCHED")</f>
        <v>Modern Trade</v>
      </c>
      <c r="H864" s="42" t="str">
        <f aca="false">IFERROR(INDEX(Product_Master!$C$2:$C$9,MATCH(E864,Product_Master!$A$2:$A$9,0)),"UNMATCHED")</f>
        <v>Home Care</v>
      </c>
      <c r="I864" s="42" t="str">
        <f aca="false">IFERROR(INDEX(Product_Master!$B$2:$B$9,MATCH(E864,Product_Master!$A$2:$A$9,0)),"UNMATCHED")</f>
        <v>Dishwash Gel</v>
      </c>
      <c r="J864" s="42" t="n">
        <f aca="false">IFERROR(INDEX(Calendar!$B$2:$B$25,MATCH(B864,Calendar!$A$2:$A$25,0)),0)</f>
        <v>2026</v>
      </c>
      <c r="K864" s="42" t="n">
        <f aca="false">IFERROR(VALUE(RIGHT(B864,2)),0)</f>
        <v>12</v>
      </c>
      <c r="L864" s="42" t="str">
        <f aca="false">IFERROR(INDEX(Calendar!$E$2:$E$25,MATCH(B864,Calendar!$A$2:$A$25,0)),"UNMATCHED")</f>
        <v>Forecast</v>
      </c>
      <c r="M864" s="42" t="n">
        <f aca="false">Sales_Transactions!F864</f>
        <v>434</v>
      </c>
      <c r="N864" s="52" t="n">
        <f aca="false">Sales_Transactions!I864</f>
        <v>62287.68</v>
      </c>
      <c r="O864" s="52" t="n">
        <f aca="false">Sales_Transactions!J864</f>
        <v>34277.32</v>
      </c>
      <c r="P864" s="52" t="n">
        <f aca="false">Sales_Transactions!K864</f>
        <v>28010.36</v>
      </c>
      <c r="Q864" s="42" t="n">
        <f aca="false">IF(ISNUMBER(MATCH(E864,Product_Master!$A$2:$A$9,0)),0,1)</f>
        <v>0</v>
      </c>
      <c r="R864" s="42" t="n">
        <f aca="false">IF(ISNUMBER(MATCH(D864,Customer_Master!$A$2:$A$49,0)),0,1)</f>
        <v>0</v>
      </c>
      <c r="S864" s="42" t="n">
        <f aca="false">IF(ISNUMBER(MATCH(B864,Calendar!$A$2:$A$25,0)),0,1)</f>
        <v>0</v>
      </c>
      <c r="T864" s="42" t="n">
        <f aca="false">IF(COUNTIF(Sales_Transactions!$A$2:$A$865,A864)&gt;1,1,0)</f>
        <v>0</v>
      </c>
      <c r="U864" s="42" t="n">
        <f aca="false">IF(OR(ABS(Sales_Transactions!F864*Sales_Transactions!G864-Sales_Transactions!I864)&gt;0.01,ABS(Sales_Transactions!F864*Sales_Transactions!H864-Sales_Transactions!J864)&gt;0.01,ABS(Sales_Transactions!I864-Sales_Transactions!J864-Sales_Transactions!K864)&gt;0.01),1,0)</f>
        <v>0</v>
      </c>
      <c r="V864" s="42" t="n">
        <f aca="false">IF(C864&lt;&gt;L864,1,0)</f>
        <v>0</v>
      </c>
      <c r="W864" s="42" t="n">
        <f aca="false">IF(SUM(Q864:V864)&gt;0,1,0)</f>
        <v>0</v>
      </c>
    </row>
    <row r="865" customFormat="false" ht="15" hidden="false" customHeight="false" outlineLevel="0" collapsed="false">
      <c r="A865" s="42" t="str">
        <f aca="false">Sales_Transactions!A865</f>
        <v>INV-24-036</v>
      </c>
      <c r="B865" s="42" t="str">
        <f aca="false">Sales_Transactions!B865</f>
        <v>2026-12</v>
      </c>
      <c r="C865" s="42" t="str">
        <f aca="false">Sales_Transactions!C865</f>
        <v>Forecast</v>
      </c>
      <c r="D865" s="42" t="str">
        <f aca="false">Sales_Transactions!D865</f>
        <v>C027</v>
      </c>
      <c r="E865" s="42" t="str">
        <f aca="false">Sales_Transactions!E865</f>
        <v>P007</v>
      </c>
      <c r="F865" s="42" t="str">
        <f aca="false">IFERROR(INDEX(Customer_Master!$C$2:$C$49,MATCH(D865,Customer_Master!$A$2:$A$49,0)),"UNMATCHED")</f>
        <v>West</v>
      </c>
      <c r="G865" s="42" t="str">
        <f aca="false">IFERROR(INDEX(Customer_Master!$D$2:$D$49,MATCH(D865,Customer_Master!$A$2:$A$49,0)),"UNMATCHED")</f>
        <v>Retail</v>
      </c>
      <c r="H865" s="42" t="str">
        <f aca="false">IFERROR(INDEX(Product_Master!$C$2:$C$9,MATCH(E865,Product_Master!$A$2:$A$9,0)),"UNMATCHED")</f>
        <v>Home Care</v>
      </c>
      <c r="I865" s="42" t="str">
        <f aca="false">IFERROR(INDEX(Product_Master!$B$2:$B$9,MATCH(E865,Product_Master!$A$2:$A$9,0)),"UNMATCHED")</f>
        <v>Floor Cleaner</v>
      </c>
      <c r="J865" s="42" t="n">
        <f aca="false">IFERROR(INDEX(Calendar!$B$2:$B$25,MATCH(B865,Calendar!$A$2:$A$25,0)),0)</f>
        <v>2026</v>
      </c>
      <c r="K865" s="42" t="n">
        <f aca="false">IFERROR(VALUE(RIGHT(B865,2)),0)</f>
        <v>12</v>
      </c>
      <c r="L865" s="42" t="str">
        <f aca="false">IFERROR(INDEX(Calendar!$E$2:$E$25,MATCH(B865,Calendar!$A$2:$A$25,0)),"UNMATCHED")</f>
        <v>Forecast</v>
      </c>
      <c r="M865" s="42" t="n">
        <f aca="false">Sales_Transactions!F865</f>
        <v>457</v>
      </c>
      <c r="N865" s="52" t="n">
        <f aca="false">Sales_Transactions!I865</f>
        <v>82488.5</v>
      </c>
      <c r="O865" s="52" t="n">
        <f aca="false">Sales_Transactions!J865</f>
        <v>53487.28</v>
      </c>
      <c r="P865" s="52" t="n">
        <f aca="false">Sales_Transactions!K865</f>
        <v>29001.22</v>
      </c>
      <c r="Q865" s="42" t="n">
        <f aca="false">IF(ISNUMBER(MATCH(E865,Product_Master!$A$2:$A$9,0)),0,1)</f>
        <v>0</v>
      </c>
      <c r="R865" s="42" t="n">
        <f aca="false">IF(ISNUMBER(MATCH(D865,Customer_Master!$A$2:$A$49,0)),0,1)</f>
        <v>0</v>
      </c>
      <c r="S865" s="42" t="n">
        <f aca="false">IF(ISNUMBER(MATCH(B865,Calendar!$A$2:$A$25,0)),0,1)</f>
        <v>0</v>
      </c>
      <c r="T865" s="42" t="n">
        <f aca="false">IF(COUNTIF(Sales_Transactions!$A$2:$A$865,A865)&gt;1,1,0)</f>
        <v>0</v>
      </c>
      <c r="U865" s="42" t="n">
        <f aca="false">IF(OR(ABS(Sales_Transactions!F865*Sales_Transactions!G865-Sales_Transactions!I865)&gt;0.01,ABS(Sales_Transactions!F865*Sales_Transactions!H865-Sales_Transactions!J865)&gt;0.01,ABS(Sales_Transactions!I865-Sales_Transactions!J865-Sales_Transactions!K865)&gt;0.01),1,0)</f>
        <v>0</v>
      </c>
      <c r="V865" s="42" t="n">
        <f aca="false">IF(C865&lt;&gt;L865,1,0)</f>
        <v>0</v>
      </c>
      <c r="W865" s="42" t="n">
        <f aca="false">IF(SUM(Q865:V865)&gt;0,1,0)</f>
        <v>0</v>
      </c>
    </row>
  </sheetData>
  <autoFilter ref="A1:W86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K8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1" min="1" style="0" width="18"/>
  </cols>
  <sheetData>
    <row r="1" customFormat="false" ht="15" hidden="false" customHeight="false" outlineLevel="0" collapsed="false">
      <c r="A1" s="53" t="s">
        <v>393</v>
      </c>
      <c r="B1" s="53" t="s">
        <v>50</v>
      </c>
      <c r="C1" s="53" t="s">
        <v>22</v>
      </c>
      <c r="D1" s="53" t="s">
        <v>517</v>
      </c>
      <c r="E1" s="53" t="s">
        <v>518</v>
      </c>
      <c r="F1" s="53" t="s">
        <v>53</v>
      </c>
      <c r="G1" s="53" t="s">
        <v>530</v>
      </c>
      <c r="H1" s="53" t="s">
        <v>531</v>
      </c>
      <c r="I1" s="53" t="s">
        <v>411</v>
      </c>
      <c r="J1" s="53" t="s">
        <v>414</v>
      </c>
      <c r="K1" s="53" t="s">
        <v>417</v>
      </c>
    </row>
    <row r="2" customFormat="false" ht="15" hidden="false" customHeight="false" outlineLevel="0" collapsed="false">
      <c r="A2" s="0" t="s">
        <v>532</v>
      </c>
      <c r="B2" s="0" t="s">
        <v>63</v>
      </c>
      <c r="C2" s="0" t="s">
        <v>221</v>
      </c>
      <c r="D2" s="0" t="s">
        <v>533</v>
      </c>
      <c r="E2" s="0" t="s">
        <v>534</v>
      </c>
      <c r="F2" s="0" t="n">
        <v>412</v>
      </c>
      <c r="G2" s="0" t="n">
        <v>189.94</v>
      </c>
      <c r="H2" s="0" t="n">
        <v>138.47</v>
      </c>
      <c r="I2" s="0" t="n">
        <v>78255.28</v>
      </c>
      <c r="J2" s="0" t="n">
        <v>57049.64</v>
      </c>
      <c r="K2" s="0" t="n">
        <v>21205.64</v>
      </c>
    </row>
    <row r="3" customFormat="false" ht="15" hidden="false" customHeight="false" outlineLevel="0" collapsed="false">
      <c r="A3" s="0" t="s">
        <v>535</v>
      </c>
      <c r="B3" s="0" t="s">
        <v>63</v>
      </c>
      <c r="C3" s="0" t="s">
        <v>221</v>
      </c>
      <c r="D3" s="0" t="s">
        <v>536</v>
      </c>
      <c r="E3" s="0" t="s">
        <v>537</v>
      </c>
      <c r="F3" s="0" t="n">
        <v>210</v>
      </c>
      <c r="G3" s="0" t="n">
        <v>234.35</v>
      </c>
      <c r="H3" s="0" t="n">
        <v>163.55</v>
      </c>
      <c r="I3" s="0" t="n">
        <v>49213.5</v>
      </c>
      <c r="J3" s="0" t="n">
        <v>34345.5</v>
      </c>
      <c r="K3" s="0" t="n">
        <v>14868</v>
      </c>
    </row>
    <row r="4" customFormat="false" ht="15" hidden="false" customHeight="false" outlineLevel="0" collapsed="false">
      <c r="A4" s="0" t="s">
        <v>538</v>
      </c>
      <c r="B4" s="0" t="s">
        <v>63</v>
      </c>
      <c r="C4" s="0" t="s">
        <v>221</v>
      </c>
      <c r="D4" s="0" t="s">
        <v>539</v>
      </c>
      <c r="E4" s="0" t="s">
        <v>540</v>
      </c>
      <c r="F4" s="0" t="n">
        <v>431</v>
      </c>
      <c r="G4" s="0" t="n">
        <v>276.16</v>
      </c>
      <c r="H4" s="0" t="n">
        <v>175.35</v>
      </c>
      <c r="I4" s="0" t="n">
        <v>119024.96</v>
      </c>
      <c r="J4" s="0" t="n">
        <v>75575.85</v>
      </c>
      <c r="K4" s="0" t="n">
        <v>43449.11</v>
      </c>
    </row>
    <row r="5" customFormat="false" ht="15" hidden="false" customHeight="false" outlineLevel="0" collapsed="false">
      <c r="A5" s="0" t="s">
        <v>541</v>
      </c>
      <c r="B5" s="0" t="s">
        <v>63</v>
      </c>
      <c r="C5" s="0" t="s">
        <v>221</v>
      </c>
      <c r="D5" s="0" t="s">
        <v>542</v>
      </c>
      <c r="E5" s="0" t="s">
        <v>543</v>
      </c>
      <c r="F5" s="0" t="n">
        <v>387</v>
      </c>
      <c r="G5" s="0" t="n">
        <v>307.08</v>
      </c>
      <c r="H5" s="0" t="n">
        <v>194.64</v>
      </c>
      <c r="I5" s="0" t="n">
        <v>118839.96</v>
      </c>
      <c r="J5" s="0" t="n">
        <v>75325.68</v>
      </c>
      <c r="K5" s="0" t="n">
        <v>43514.28</v>
      </c>
    </row>
    <row r="6" customFormat="false" ht="15" hidden="false" customHeight="false" outlineLevel="0" collapsed="false">
      <c r="A6" s="0" t="s">
        <v>544</v>
      </c>
      <c r="B6" s="0" t="s">
        <v>63</v>
      </c>
      <c r="C6" s="0" t="s">
        <v>221</v>
      </c>
      <c r="D6" s="0" t="s">
        <v>545</v>
      </c>
      <c r="E6" s="0" t="s">
        <v>546</v>
      </c>
      <c r="F6" s="0" t="n">
        <v>196</v>
      </c>
      <c r="G6" s="0" t="n">
        <v>101.23</v>
      </c>
      <c r="H6" s="0" t="n">
        <v>69.16</v>
      </c>
      <c r="I6" s="0" t="n">
        <v>19841.08</v>
      </c>
      <c r="J6" s="0" t="n">
        <v>13555.36</v>
      </c>
      <c r="K6" s="0" t="n">
        <v>6285.72</v>
      </c>
    </row>
    <row r="7" customFormat="false" ht="15" hidden="false" customHeight="false" outlineLevel="0" collapsed="false">
      <c r="A7" s="0" t="s">
        <v>547</v>
      </c>
      <c r="B7" s="0" t="s">
        <v>63</v>
      </c>
      <c r="C7" s="0" t="s">
        <v>221</v>
      </c>
      <c r="D7" s="0" t="s">
        <v>548</v>
      </c>
      <c r="E7" s="0" t="s">
        <v>549</v>
      </c>
      <c r="F7" s="0" t="n">
        <v>372</v>
      </c>
      <c r="G7" s="0" t="n">
        <v>132.8</v>
      </c>
      <c r="H7" s="0" t="n">
        <v>85.11</v>
      </c>
      <c r="I7" s="0" t="n">
        <v>49401.6</v>
      </c>
      <c r="J7" s="0" t="n">
        <v>31660.92</v>
      </c>
      <c r="K7" s="0" t="n">
        <v>17740.68</v>
      </c>
    </row>
    <row r="8" customFormat="false" ht="15" hidden="false" customHeight="false" outlineLevel="0" collapsed="false">
      <c r="A8" s="0" t="s">
        <v>550</v>
      </c>
      <c r="B8" s="0" t="s">
        <v>63</v>
      </c>
      <c r="C8" s="0" t="s">
        <v>221</v>
      </c>
      <c r="D8" s="0" t="s">
        <v>551</v>
      </c>
      <c r="E8" s="0" t="s">
        <v>552</v>
      </c>
      <c r="F8" s="0" t="n">
        <v>364</v>
      </c>
      <c r="G8" s="0" t="n">
        <v>179.46</v>
      </c>
      <c r="H8" s="0" t="n">
        <v>113.56</v>
      </c>
      <c r="I8" s="0" t="n">
        <v>65323.44</v>
      </c>
      <c r="J8" s="0" t="n">
        <v>41335.84</v>
      </c>
      <c r="K8" s="0" t="n">
        <v>23987.6</v>
      </c>
    </row>
    <row r="9" customFormat="false" ht="15" hidden="false" customHeight="false" outlineLevel="0" collapsed="false">
      <c r="A9" s="0" t="s">
        <v>553</v>
      </c>
      <c r="B9" s="0" t="s">
        <v>63</v>
      </c>
      <c r="C9" s="0" t="s">
        <v>221</v>
      </c>
      <c r="D9" s="0" t="s">
        <v>554</v>
      </c>
      <c r="E9" s="0" t="s">
        <v>555</v>
      </c>
      <c r="F9" s="0" t="n">
        <v>227</v>
      </c>
      <c r="G9" s="0" t="n">
        <v>174.16</v>
      </c>
      <c r="H9" s="0" t="n">
        <v>92.23</v>
      </c>
      <c r="I9" s="0" t="n">
        <v>39534.32</v>
      </c>
      <c r="J9" s="0" t="n">
        <v>20936.21</v>
      </c>
      <c r="K9" s="0" t="n">
        <v>18598.11</v>
      </c>
    </row>
    <row r="10" customFormat="false" ht="15" hidden="false" customHeight="false" outlineLevel="0" collapsed="false">
      <c r="A10" s="0" t="s">
        <v>556</v>
      </c>
      <c r="B10" s="0" t="s">
        <v>63</v>
      </c>
      <c r="C10" s="0" t="s">
        <v>221</v>
      </c>
      <c r="D10" s="0" t="s">
        <v>557</v>
      </c>
      <c r="E10" s="0" t="s">
        <v>534</v>
      </c>
      <c r="F10" s="0" t="n">
        <v>166</v>
      </c>
      <c r="G10" s="0" t="n">
        <v>205.96</v>
      </c>
      <c r="H10" s="0" t="n">
        <v>132.11</v>
      </c>
      <c r="I10" s="0" t="n">
        <v>34189.36</v>
      </c>
      <c r="J10" s="0" t="n">
        <v>21930.26</v>
      </c>
      <c r="K10" s="0" t="n">
        <v>12259.1</v>
      </c>
    </row>
    <row r="11" customFormat="false" ht="15" hidden="false" customHeight="false" outlineLevel="0" collapsed="false">
      <c r="A11" s="0" t="s">
        <v>558</v>
      </c>
      <c r="B11" s="0" t="s">
        <v>63</v>
      </c>
      <c r="C11" s="0" t="s">
        <v>221</v>
      </c>
      <c r="D11" s="0" t="s">
        <v>559</v>
      </c>
      <c r="E11" s="0" t="s">
        <v>537</v>
      </c>
      <c r="F11" s="0" t="n">
        <v>164</v>
      </c>
      <c r="G11" s="0" t="n">
        <v>234.09</v>
      </c>
      <c r="H11" s="0" t="n">
        <v>164.05</v>
      </c>
      <c r="I11" s="0" t="n">
        <v>38390.76</v>
      </c>
      <c r="J11" s="0" t="n">
        <v>26904.2</v>
      </c>
      <c r="K11" s="0" t="n">
        <v>11486.56</v>
      </c>
    </row>
    <row r="12" customFormat="false" ht="15" hidden="false" customHeight="false" outlineLevel="0" collapsed="false">
      <c r="A12" s="0" t="s">
        <v>560</v>
      </c>
      <c r="B12" s="0" t="s">
        <v>63</v>
      </c>
      <c r="C12" s="0" t="s">
        <v>221</v>
      </c>
      <c r="D12" s="0" t="s">
        <v>561</v>
      </c>
      <c r="E12" s="0" t="s">
        <v>540</v>
      </c>
      <c r="F12" s="0" t="n">
        <v>137</v>
      </c>
      <c r="G12" s="0" t="n">
        <v>252.58</v>
      </c>
      <c r="H12" s="0" t="n">
        <v>166.14</v>
      </c>
      <c r="I12" s="0" t="n">
        <v>34603.46</v>
      </c>
      <c r="J12" s="0" t="n">
        <v>22761.18</v>
      </c>
      <c r="K12" s="0" t="n">
        <v>11842.28</v>
      </c>
    </row>
    <row r="13" customFormat="false" ht="15" hidden="false" customHeight="false" outlineLevel="0" collapsed="false">
      <c r="A13" s="0" t="s">
        <v>562</v>
      </c>
      <c r="B13" s="0" t="s">
        <v>63</v>
      </c>
      <c r="C13" s="0" t="s">
        <v>221</v>
      </c>
      <c r="D13" s="0" t="s">
        <v>563</v>
      </c>
      <c r="E13" s="0" t="s">
        <v>543</v>
      </c>
      <c r="F13" s="0" t="n">
        <v>261</v>
      </c>
      <c r="G13" s="0" t="n">
        <v>314.76</v>
      </c>
      <c r="H13" s="0" t="n">
        <v>213.48</v>
      </c>
      <c r="I13" s="0" t="n">
        <v>82152.36</v>
      </c>
      <c r="J13" s="0" t="n">
        <v>55718.28</v>
      </c>
      <c r="K13" s="0" t="n">
        <v>26434.08</v>
      </c>
    </row>
    <row r="14" customFormat="false" ht="15" hidden="false" customHeight="false" outlineLevel="0" collapsed="false">
      <c r="A14" s="0" t="s">
        <v>564</v>
      </c>
      <c r="B14" s="0" t="s">
        <v>63</v>
      </c>
      <c r="C14" s="0" t="s">
        <v>221</v>
      </c>
      <c r="D14" s="0" t="s">
        <v>565</v>
      </c>
      <c r="E14" s="0" t="s">
        <v>546</v>
      </c>
      <c r="F14" s="0" t="n">
        <v>458</v>
      </c>
      <c r="G14" s="0" t="n">
        <v>104.47</v>
      </c>
      <c r="H14" s="0" t="n">
        <v>65.32</v>
      </c>
      <c r="I14" s="0" t="n">
        <v>47847.26</v>
      </c>
      <c r="J14" s="0" t="n">
        <v>29916.56</v>
      </c>
      <c r="K14" s="0" t="n">
        <v>17930.7</v>
      </c>
    </row>
    <row r="15" customFormat="false" ht="15" hidden="false" customHeight="false" outlineLevel="0" collapsed="false">
      <c r="A15" s="0" t="s">
        <v>566</v>
      </c>
      <c r="B15" s="0" t="s">
        <v>63</v>
      </c>
      <c r="C15" s="0" t="s">
        <v>221</v>
      </c>
      <c r="D15" s="0" t="s">
        <v>567</v>
      </c>
      <c r="E15" s="0" t="s">
        <v>549</v>
      </c>
      <c r="F15" s="0" t="n">
        <v>278</v>
      </c>
      <c r="G15" s="0" t="n">
        <v>130.54</v>
      </c>
      <c r="H15" s="0" t="n">
        <v>81.6</v>
      </c>
      <c r="I15" s="0" t="n">
        <v>36290.12</v>
      </c>
      <c r="J15" s="0" t="n">
        <v>22684.8</v>
      </c>
      <c r="K15" s="0" t="n">
        <v>13605.32</v>
      </c>
    </row>
    <row r="16" customFormat="false" ht="15" hidden="false" customHeight="false" outlineLevel="0" collapsed="false">
      <c r="A16" s="0" t="s">
        <v>568</v>
      </c>
      <c r="B16" s="0" t="s">
        <v>63</v>
      </c>
      <c r="C16" s="0" t="s">
        <v>221</v>
      </c>
      <c r="D16" s="0" t="s">
        <v>569</v>
      </c>
      <c r="E16" s="0" t="s">
        <v>552</v>
      </c>
      <c r="F16" s="0" t="n">
        <v>406</v>
      </c>
      <c r="G16" s="0" t="n">
        <v>184.38</v>
      </c>
      <c r="H16" s="0" t="n">
        <v>119.1</v>
      </c>
      <c r="I16" s="0" t="n">
        <v>74858.28</v>
      </c>
      <c r="J16" s="0" t="n">
        <v>48354.6</v>
      </c>
      <c r="K16" s="0" t="n">
        <v>26503.68</v>
      </c>
    </row>
    <row r="17" customFormat="false" ht="15" hidden="false" customHeight="false" outlineLevel="0" collapsed="false">
      <c r="A17" s="0" t="s">
        <v>570</v>
      </c>
      <c r="B17" s="0" t="s">
        <v>63</v>
      </c>
      <c r="C17" s="0" t="s">
        <v>221</v>
      </c>
      <c r="D17" s="0" t="s">
        <v>571</v>
      </c>
      <c r="E17" s="0" t="s">
        <v>555</v>
      </c>
      <c r="F17" s="0" t="n">
        <v>380</v>
      </c>
      <c r="G17" s="0" t="n">
        <v>160.12</v>
      </c>
      <c r="H17" s="0" t="n">
        <v>92.96</v>
      </c>
      <c r="I17" s="0" t="n">
        <v>60845.6</v>
      </c>
      <c r="J17" s="0" t="n">
        <v>35324.8</v>
      </c>
      <c r="K17" s="0" t="n">
        <v>25520.8</v>
      </c>
    </row>
    <row r="18" customFormat="false" ht="15" hidden="false" customHeight="false" outlineLevel="0" collapsed="false">
      <c r="A18" s="0" t="s">
        <v>572</v>
      </c>
      <c r="B18" s="0" t="s">
        <v>63</v>
      </c>
      <c r="C18" s="0" t="s">
        <v>221</v>
      </c>
      <c r="D18" s="0" t="s">
        <v>573</v>
      </c>
      <c r="E18" s="0" t="s">
        <v>534</v>
      </c>
      <c r="F18" s="0" t="n">
        <v>423</v>
      </c>
      <c r="G18" s="0" t="n">
        <v>193.12</v>
      </c>
      <c r="H18" s="0" t="n">
        <v>131.3</v>
      </c>
      <c r="I18" s="0" t="n">
        <v>81689.76</v>
      </c>
      <c r="J18" s="0" t="n">
        <v>55539.9</v>
      </c>
      <c r="K18" s="0" t="n">
        <v>26149.86</v>
      </c>
    </row>
    <row r="19" customFormat="false" ht="15" hidden="false" customHeight="false" outlineLevel="0" collapsed="false">
      <c r="A19" s="0" t="s">
        <v>574</v>
      </c>
      <c r="B19" s="0" t="s">
        <v>63</v>
      </c>
      <c r="C19" s="0" t="s">
        <v>221</v>
      </c>
      <c r="D19" s="0" t="s">
        <v>575</v>
      </c>
      <c r="E19" s="0" t="s">
        <v>537</v>
      </c>
      <c r="F19" s="0" t="n">
        <v>125</v>
      </c>
      <c r="G19" s="0" t="n">
        <v>255.3</v>
      </c>
      <c r="H19" s="0" t="n">
        <v>165.98</v>
      </c>
      <c r="I19" s="0" t="n">
        <v>31912.5</v>
      </c>
      <c r="J19" s="0" t="n">
        <v>20747.5</v>
      </c>
      <c r="K19" s="0" t="n">
        <v>11165</v>
      </c>
    </row>
    <row r="20" customFormat="false" ht="15" hidden="false" customHeight="false" outlineLevel="0" collapsed="false">
      <c r="A20" s="0" t="s">
        <v>576</v>
      </c>
      <c r="B20" s="0" t="s">
        <v>63</v>
      </c>
      <c r="C20" s="0" t="s">
        <v>221</v>
      </c>
      <c r="D20" s="0" t="s">
        <v>577</v>
      </c>
      <c r="E20" s="0" t="s">
        <v>540</v>
      </c>
      <c r="F20" s="0" t="n">
        <v>279</v>
      </c>
      <c r="G20" s="0" t="n">
        <v>259.32</v>
      </c>
      <c r="H20" s="0" t="n">
        <v>177.2</v>
      </c>
      <c r="I20" s="0" t="n">
        <v>72350.28</v>
      </c>
      <c r="J20" s="0" t="n">
        <v>49438.8</v>
      </c>
      <c r="K20" s="0" t="n">
        <v>22911.48</v>
      </c>
    </row>
    <row r="21" customFormat="false" ht="15" hidden="false" customHeight="false" outlineLevel="0" collapsed="false">
      <c r="A21" s="0" t="s">
        <v>578</v>
      </c>
      <c r="B21" s="0" t="s">
        <v>63</v>
      </c>
      <c r="C21" s="0" t="s">
        <v>221</v>
      </c>
      <c r="D21" s="0" t="s">
        <v>579</v>
      </c>
      <c r="E21" s="0" t="s">
        <v>543</v>
      </c>
      <c r="F21" s="0" t="n">
        <v>271</v>
      </c>
      <c r="G21" s="0" t="n">
        <v>296.12</v>
      </c>
      <c r="H21" s="0" t="n">
        <v>202.53</v>
      </c>
      <c r="I21" s="0" t="n">
        <v>80248.52</v>
      </c>
      <c r="J21" s="0" t="n">
        <v>54885.63</v>
      </c>
      <c r="K21" s="0" t="n">
        <v>25362.89</v>
      </c>
    </row>
    <row r="22" customFormat="false" ht="15" hidden="false" customHeight="false" outlineLevel="0" collapsed="false">
      <c r="A22" s="0" t="s">
        <v>580</v>
      </c>
      <c r="B22" s="0" t="s">
        <v>63</v>
      </c>
      <c r="C22" s="0" t="s">
        <v>221</v>
      </c>
      <c r="D22" s="0" t="s">
        <v>581</v>
      </c>
      <c r="E22" s="0" t="s">
        <v>546</v>
      </c>
      <c r="F22" s="0" t="n">
        <v>428</v>
      </c>
      <c r="G22" s="0" t="n">
        <v>101.72</v>
      </c>
      <c r="H22" s="0" t="n">
        <v>71.85</v>
      </c>
      <c r="I22" s="0" t="n">
        <v>43536.16</v>
      </c>
      <c r="J22" s="0" t="n">
        <v>30751.8</v>
      </c>
      <c r="K22" s="0" t="n">
        <v>12784.36</v>
      </c>
    </row>
    <row r="23" customFormat="false" ht="15" hidden="false" customHeight="false" outlineLevel="0" collapsed="false">
      <c r="A23" s="0" t="s">
        <v>582</v>
      </c>
      <c r="B23" s="0" t="s">
        <v>63</v>
      </c>
      <c r="C23" s="0" t="s">
        <v>221</v>
      </c>
      <c r="D23" s="0" t="s">
        <v>583</v>
      </c>
      <c r="E23" s="0" t="s">
        <v>549</v>
      </c>
      <c r="F23" s="0" t="n">
        <v>416</v>
      </c>
      <c r="G23" s="0" t="n">
        <v>130.4</v>
      </c>
      <c r="H23" s="0" t="n">
        <v>84.97</v>
      </c>
      <c r="I23" s="0" t="n">
        <v>54246.4</v>
      </c>
      <c r="J23" s="0" t="n">
        <v>35347.52</v>
      </c>
      <c r="K23" s="0" t="n">
        <v>18898.88</v>
      </c>
    </row>
    <row r="24" customFormat="false" ht="15" hidden="false" customHeight="false" outlineLevel="0" collapsed="false">
      <c r="A24" s="0" t="s">
        <v>584</v>
      </c>
      <c r="B24" s="0" t="s">
        <v>63</v>
      </c>
      <c r="C24" s="0" t="s">
        <v>221</v>
      </c>
      <c r="D24" s="0" t="s">
        <v>585</v>
      </c>
      <c r="E24" s="0" t="s">
        <v>552</v>
      </c>
      <c r="F24" s="0" t="n">
        <v>358</v>
      </c>
      <c r="G24" s="0" t="n">
        <v>187.11</v>
      </c>
      <c r="H24" s="0" t="n">
        <v>109.72</v>
      </c>
      <c r="I24" s="0" t="n">
        <v>66985.38</v>
      </c>
      <c r="J24" s="0" t="n">
        <v>39279.76</v>
      </c>
      <c r="K24" s="0" t="n">
        <v>27705.62</v>
      </c>
    </row>
    <row r="25" customFormat="false" ht="15" hidden="false" customHeight="false" outlineLevel="0" collapsed="false">
      <c r="A25" s="0" t="s">
        <v>586</v>
      </c>
      <c r="B25" s="0" t="s">
        <v>63</v>
      </c>
      <c r="C25" s="0" t="s">
        <v>221</v>
      </c>
      <c r="D25" s="0" t="s">
        <v>587</v>
      </c>
      <c r="E25" s="0" t="s">
        <v>555</v>
      </c>
      <c r="F25" s="0" t="n">
        <v>279</v>
      </c>
      <c r="G25" s="0" t="n">
        <v>161.89</v>
      </c>
      <c r="H25" s="0" t="n">
        <v>102.82</v>
      </c>
      <c r="I25" s="0" t="n">
        <v>45167.31</v>
      </c>
      <c r="J25" s="0" t="n">
        <v>28686.78</v>
      </c>
      <c r="K25" s="0" t="n">
        <v>16480.53</v>
      </c>
    </row>
    <row r="26" customFormat="false" ht="15" hidden="false" customHeight="false" outlineLevel="0" collapsed="false">
      <c r="A26" s="0" t="s">
        <v>588</v>
      </c>
      <c r="B26" s="0" t="s">
        <v>63</v>
      </c>
      <c r="C26" s="0" t="s">
        <v>221</v>
      </c>
      <c r="D26" s="0" t="s">
        <v>589</v>
      </c>
      <c r="E26" s="0" t="s">
        <v>534</v>
      </c>
      <c r="F26" s="0" t="n">
        <v>437</v>
      </c>
      <c r="G26" s="0" t="n">
        <v>202.1</v>
      </c>
      <c r="H26" s="0" t="n">
        <v>137.56</v>
      </c>
      <c r="I26" s="0" t="n">
        <v>88317.7</v>
      </c>
      <c r="J26" s="0" t="n">
        <v>60113.72</v>
      </c>
      <c r="K26" s="0" t="n">
        <v>28203.98</v>
      </c>
    </row>
    <row r="27" customFormat="false" ht="15" hidden="false" customHeight="false" outlineLevel="0" collapsed="false">
      <c r="A27" s="0" t="s">
        <v>590</v>
      </c>
      <c r="B27" s="0" t="s">
        <v>63</v>
      </c>
      <c r="C27" s="0" t="s">
        <v>221</v>
      </c>
      <c r="D27" s="0" t="s">
        <v>591</v>
      </c>
      <c r="E27" s="0" t="s">
        <v>537</v>
      </c>
      <c r="F27" s="0" t="n">
        <v>113</v>
      </c>
      <c r="G27" s="0" t="n">
        <v>234.54</v>
      </c>
      <c r="H27" s="0" t="n">
        <v>150.36</v>
      </c>
      <c r="I27" s="0" t="n">
        <v>26503.02</v>
      </c>
      <c r="J27" s="0" t="n">
        <v>16990.68</v>
      </c>
      <c r="K27" s="0" t="n">
        <v>9512.34</v>
      </c>
    </row>
    <row r="28" customFormat="false" ht="15" hidden="false" customHeight="false" outlineLevel="0" collapsed="false">
      <c r="A28" s="0" t="s">
        <v>592</v>
      </c>
      <c r="B28" s="0" t="s">
        <v>63</v>
      </c>
      <c r="C28" s="0" t="s">
        <v>221</v>
      </c>
      <c r="D28" s="0" t="s">
        <v>593</v>
      </c>
      <c r="E28" s="0" t="s">
        <v>540</v>
      </c>
      <c r="F28" s="0" t="n">
        <v>246</v>
      </c>
      <c r="G28" s="0" t="n">
        <v>263.8</v>
      </c>
      <c r="H28" s="0" t="n">
        <v>165.52</v>
      </c>
      <c r="I28" s="0" t="n">
        <v>64894.8</v>
      </c>
      <c r="J28" s="0" t="n">
        <v>40717.92</v>
      </c>
      <c r="K28" s="0" t="n">
        <v>24176.88</v>
      </c>
    </row>
    <row r="29" customFormat="false" ht="15" hidden="false" customHeight="false" outlineLevel="0" collapsed="false">
      <c r="A29" s="0" t="s">
        <v>594</v>
      </c>
      <c r="B29" s="0" t="s">
        <v>63</v>
      </c>
      <c r="C29" s="0" t="s">
        <v>221</v>
      </c>
      <c r="D29" s="0" t="s">
        <v>595</v>
      </c>
      <c r="E29" s="0" t="s">
        <v>543</v>
      </c>
      <c r="F29" s="0" t="n">
        <v>375</v>
      </c>
      <c r="G29" s="0" t="n">
        <v>326.28</v>
      </c>
      <c r="H29" s="0" t="n">
        <v>201.55</v>
      </c>
      <c r="I29" s="0" t="n">
        <v>122355</v>
      </c>
      <c r="J29" s="0" t="n">
        <v>75581.25</v>
      </c>
      <c r="K29" s="0" t="n">
        <v>46773.75</v>
      </c>
    </row>
    <row r="30" customFormat="false" ht="15" hidden="false" customHeight="false" outlineLevel="0" collapsed="false">
      <c r="A30" s="0" t="s">
        <v>596</v>
      </c>
      <c r="B30" s="0" t="s">
        <v>63</v>
      </c>
      <c r="C30" s="0" t="s">
        <v>221</v>
      </c>
      <c r="D30" s="0" t="s">
        <v>597</v>
      </c>
      <c r="E30" s="0" t="s">
        <v>546</v>
      </c>
      <c r="F30" s="0" t="n">
        <v>420</v>
      </c>
      <c r="G30" s="0" t="n">
        <v>105.04</v>
      </c>
      <c r="H30" s="0" t="n">
        <v>71.43</v>
      </c>
      <c r="I30" s="0" t="n">
        <v>44116.8</v>
      </c>
      <c r="J30" s="0" t="n">
        <v>30000.6</v>
      </c>
      <c r="K30" s="0" t="n">
        <v>14116.2</v>
      </c>
    </row>
    <row r="31" customFormat="false" ht="15" hidden="false" customHeight="false" outlineLevel="0" collapsed="false">
      <c r="A31" s="0" t="s">
        <v>598</v>
      </c>
      <c r="B31" s="0" t="s">
        <v>63</v>
      </c>
      <c r="C31" s="0" t="s">
        <v>221</v>
      </c>
      <c r="D31" s="0" t="s">
        <v>599</v>
      </c>
      <c r="E31" s="0" t="s">
        <v>549</v>
      </c>
      <c r="F31" s="0" t="n">
        <v>414</v>
      </c>
      <c r="G31" s="0" t="n">
        <v>137.7</v>
      </c>
      <c r="H31" s="0" t="n">
        <v>81.33</v>
      </c>
      <c r="I31" s="0" t="n">
        <v>57007.8</v>
      </c>
      <c r="J31" s="0" t="n">
        <v>33670.62</v>
      </c>
      <c r="K31" s="0" t="n">
        <v>23337.18</v>
      </c>
    </row>
    <row r="32" customFormat="false" ht="15" hidden="false" customHeight="false" outlineLevel="0" collapsed="false">
      <c r="A32" s="0" t="s">
        <v>600</v>
      </c>
      <c r="B32" s="0" t="s">
        <v>63</v>
      </c>
      <c r="C32" s="0" t="s">
        <v>221</v>
      </c>
      <c r="D32" s="0" t="s">
        <v>601</v>
      </c>
      <c r="E32" s="0" t="s">
        <v>552</v>
      </c>
      <c r="F32" s="0" t="n">
        <v>211</v>
      </c>
      <c r="G32" s="0" t="n">
        <v>187.5</v>
      </c>
      <c r="H32" s="0" t="n">
        <v>114.76</v>
      </c>
      <c r="I32" s="0" t="n">
        <v>39562.5</v>
      </c>
      <c r="J32" s="0" t="n">
        <v>24214.36</v>
      </c>
      <c r="K32" s="0" t="n">
        <v>15348.14</v>
      </c>
    </row>
    <row r="33" customFormat="false" ht="15" hidden="false" customHeight="false" outlineLevel="0" collapsed="false">
      <c r="A33" s="0" t="s">
        <v>602</v>
      </c>
      <c r="B33" s="0" t="s">
        <v>63</v>
      </c>
      <c r="C33" s="0" t="s">
        <v>221</v>
      </c>
      <c r="D33" s="0" t="s">
        <v>603</v>
      </c>
      <c r="E33" s="0" t="s">
        <v>555</v>
      </c>
      <c r="F33" s="0" t="n">
        <v>384</v>
      </c>
      <c r="G33" s="0" t="n">
        <v>165.5</v>
      </c>
      <c r="H33" s="0" t="n">
        <v>98.88</v>
      </c>
      <c r="I33" s="0" t="n">
        <v>63552</v>
      </c>
      <c r="J33" s="0" t="n">
        <v>37969.92</v>
      </c>
      <c r="K33" s="0" t="n">
        <v>25582.08</v>
      </c>
    </row>
    <row r="34" customFormat="false" ht="15" hidden="false" customHeight="false" outlineLevel="0" collapsed="false">
      <c r="A34" s="0" t="s">
        <v>604</v>
      </c>
      <c r="B34" s="0" t="s">
        <v>63</v>
      </c>
      <c r="C34" s="0" t="s">
        <v>221</v>
      </c>
      <c r="D34" s="0" t="s">
        <v>605</v>
      </c>
      <c r="E34" s="0" t="s">
        <v>534</v>
      </c>
      <c r="F34" s="0" t="n">
        <v>270</v>
      </c>
      <c r="G34" s="0" t="n">
        <v>192.89</v>
      </c>
      <c r="H34" s="0" t="n">
        <v>142.52</v>
      </c>
      <c r="I34" s="0" t="n">
        <v>52080.3</v>
      </c>
      <c r="J34" s="0" t="n">
        <v>38480.4</v>
      </c>
      <c r="K34" s="0" t="n">
        <v>13599.9</v>
      </c>
    </row>
    <row r="35" customFormat="false" ht="15" hidden="false" customHeight="false" outlineLevel="0" collapsed="false">
      <c r="A35" s="0" t="s">
        <v>606</v>
      </c>
      <c r="B35" s="0" t="s">
        <v>63</v>
      </c>
      <c r="C35" s="0" t="s">
        <v>221</v>
      </c>
      <c r="D35" s="0" t="s">
        <v>607</v>
      </c>
      <c r="E35" s="0" t="s">
        <v>537</v>
      </c>
      <c r="F35" s="0" t="n">
        <v>345</v>
      </c>
      <c r="G35" s="0" t="n">
        <v>243.31</v>
      </c>
      <c r="H35" s="0" t="n">
        <v>163.91</v>
      </c>
      <c r="I35" s="0" t="n">
        <v>83941.95</v>
      </c>
      <c r="J35" s="0" t="n">
        <v>56548.95</v>
      </c>
      <c r="K35" s="0" t="n">
        <v>27393</v>
      </c>
    </row>
    <row r="36" customFormat="false" ht="15" hidden="false" customHeight="false" outlineLevel="0" collapsed="false">
      <c r="A36" s="0" t="s">
        <v>608</v>
      </c>
      <c r="B36" s="0" t="s">
        <v>63</v>
      </c>
      <c r="C36" s="0" t="s">
        <v>221</v>
      </c>
      <c r="D36" s="0" t="s">
        <v>609</v>
      </c>
      <c r="E36" s="0" t="s">
        <v>540</v>
      </c>
      <c r="F36" s="0" t="n">
        <v>141</v>
      </c>
      <c r="G36" s="0" t="n">
        <v>254.76</v>
      </c>
      <c r="H36" s="0" t="n">
        <v>167.44</v>
      </c>
      <c r="I36" s="0" t="n">
        <v>35921.16</v>
      </c>
      <c r="J36" s="0" t="n">
        <v>23609.04</v>
      </c>
      <c r="K36" s="0" t="n">
        <v>12312.12</v>
      </c>
    </row>
    <row r="37" customFormat="false" ht="15" hidden="false" customHeight="false" outlineLevel="0" collapsed="false">
      <c r="A37" s="0" t="s">
        <v>610</v>
      </c>
      <c r="B37" s="0" t="s">
        <v>63</v>
      </c>
      <c r="C37" s="0" t="s">
        <v>221</v>
      </c>
      <c r="D37" s="0" t="s">
        <v>611</v>
      </c>
      <c r="E37" s="0" t="s">
        <v>543</v>
      </c>
      <c r="F37" s="0" t="n">
        <v>433</v>
      </c>
      <c r="G37" s="0" t="n">
        <v>307.09</v>
      </c>
      <c r="H37" s="0" t="n">
        <v>195.46</v>
      </c>
      <c r="I37" s="0" t="n">
        <v>132969.97</v>
      </c>
      <c r="J37" s="0" t="n">
        <v>84634.18</v>
      </c>
      <c r="K37" s="0" t="n">
        <v>48335.79</v>
      </c>
    </row>
    <row r="38" customFormat="false" ht="15" hidden="false" customHeight="false" outlineLevel="0" collapsed="false">
      <c r="A38" s="0" t="s">
        <v>612</v>
      </c>
      <c r="B38" s="0" t="s">
        <v>65</v>
      </c>
      <c r="C38" s="0" t="s">
        <v>221</v>
      </c>
      <c r="D38" s="0" t="s">
        <v>583</v>
      </c>
      <c r="E38" s="0" t="s">
        <v>549</v>
      </c>
      <c r="F38" s="0" t="n">
        <v>280</v>
      </c>
      <c r="G38" s="0" t="n">
        <v>140.28</v>
      </c>
      <c r="H38" s="0" t="n">
        <v>83.33</v>
      </c>
      <c r="I38" s="0" t="n">
        <v>39278.4</v>
      </c>
      <c r="J38" s="0" t="n">
        <v>23332.4</v>
      </c>
      <c r="K38" s="0" t="n">
        <v>15946</v>
      </c>
    </row>
    <row r="39" customFormat="false" ht="15" hidden="false" customHeight="false" outlineLevel="0" collapsed="false">
      <c r="A39" s="0" t="s">
        <v>613</v>
      </c>
      <c r="B39" s="0" t="s">
        <v>65</v>
      </c>
      <c r="C39" s="0" t="s">
        <v>221</v>
      </c>
      <c r="D39" s="0" t="s">
        <v>585</v>
      </c>
      <c r="E39" s="0" t="s">
        <v>552</v>
      </c>
      <c r="F39" s="0" t="n">
        <v>213</v>
      </c>
      <c r="G39" s="0" t="n">
        <v>193.09</v>
      </c>
      <c r="H39" s="0" t="n">
        <v>119.09</v>
      </c>
      <c r="I39" s="0" t="n">
        <v>41128.17</v>
      </c>
      <c r="J39" s="0" t="n">
        <v>25366.17</v>
      </c>
      <c r="K39" s="0" t="n">
        <v>15762</v>
      </c>
    </row>
    <row r="40" customFormat="false" ht="15" hidden="false" customHeight="false" outlineLevel="0" collapsed="false">
      <c r="A40" s="0" t="s">
        <v>614</v>
      </c>
      <c r="B40" s="0" t="s">
        <v>65</v>
      </c>
      <c r="C40" s="0" t="s">
        <v>221</v>
      </c>
      <c r="D40" s="0" t="s">
        <v>587</v>
      </c>
      <c r="E40" s="0" t="s">
        <v>555</v>
      </c>
      <c r="F40" s="0" t="n">
        <v>90</v>
      </c>
      <c r="G40" s="0" t="n">
        <v>171.23</v>
      </c>
      <c r="H40" s="0" t="n">
        <v>93.48</v>
      </c>
      <c r="I40" s="0" t="n">
        <v>15410.7</v>
      </c>
      <c r="J40" s="0" t="n">
        <v>8413.2</v>
      </c>
      <c r="K40" s="0" t="n">
        <v>6997.5</v>
      </c>
    </row>
    <row r="41" customFormat="false" ht="15" hidden="false" customHeight="false" outlineLevel="0" collapsed="false">
      <c r="A41" s="0" t="s">
        <v>615</v>
      </c>
      <c r="B41" s="0" t="s">
        <v>65</v>
      </c>
      <c r="C41" s="0" t="s">
        <v>221</v>
      </c>
      <c r="D41" s="0" t="s">
        <v>589</v>
      </c>
      <c r="E41" s="0" t="s">
        <v>534</v>
      </c>
      <c r="F41" s="0" t="n">
        <v>359</v>
      </c>
      <c r="G41" s="0" t="n">
        <v>207.4</v>
      </c>
      <c r="H41" s="0" t="n">
        <v>138.89</v>
      </c>
      <c r="I41" s="0" t="n">
        <v>74456.6</v>
      </c>
      <c r="J41" s="0" t="n">
        <v>49861.51</v>
      </c>
      <c r="K41" s="0" t="n">
        <v>24595.09</v>
      </c>
    </row>
    <row r="42" customFormat="false" ht="15" hidden="false" customHeight="false" outlineLevel="0" collapsed="false">
      <c r="A42" s="0" t="s">
        <v>616</v>
      </c>
      <c r="B42" s="0" t="s">
        <v>65</v>
      </c>
      <c r="C42" s="0" t="s">
        <v>221</v>
      </c>
      <c r="D42" s="0" t="s">
        <v>591</v>
      </c>
      <c r="E42" s="0" t="s">
        <v>537</v>
      </c>
      <c r="F42" s="0" t="n">
        <v>259</v>
      </c>
      <c r="G42" s="0" t="n">
        <v>230.65</v>
      </c>
      <c r="H42" s="0" t="n">
        <v>157.9</v>
      </c>
      <c r="I42" s="0" t="n">
        <v>59738.35</v>
      </c>
      <c r="J42" s="0" t="n">
        <v>40896.1</v>
      </c>
      <c r="K42" s="0" t="n">
        <v>18842.25</v>
      </c>
    </row>
    <row r="43" customFormat="false" ht="15" hidden="false" customHeight="false" outlineLevel="0" collapsed="false">
      <c r="A43" s="0" t="s">
        <v>617</v>
      </c>
      <c r="B43" s="0" t="s">
        <v>65</v>
      </c>
      <c r="C43" s="0" t="s">
        <v>221</v>
      </c>
      <c r="D43" s="0" t="s">
        <v>593</v>
      </c>
      <c r="E43" s="0" t="s">
        <v>540</v>
      </c>
      <c r="F43" s="0" t="n">
        <v>317</v>
      </c>
      <c r="G43" s="0" t="n">
        <v>249.32</v>
      </c>
      <c r="H43" s="0" t="n">
        <v>178.98</v>
      </c>
      <c r="I43" s="0" t="n">
        <v>79034.44</v>
      </c>
      <c r="J43" s="0" t="n">
        <v>56736.66</v>
      </c>
      <c r="K43" s="0" t="n">
        <v>22297.78</v>
      </c>
    </row>
    <row r="44" customFormat="false" ht="15" hidden="false" customHeight="false" outlineLevel="0" collapsed="false">
      <c r="A44" s="0" t="s">
        <v>618</v>
      </c>
      <c r="B44" s="0" t="s">
        <v>65</v>
      </c>
      <c r="C44" s="0" t="s">
        <v>221</v>
      </c>
      <c r="D44" s="0" t="s">
        <v>595</v>
      </c>
      <c r="E44" s="0" t="s">
        <v>543</v>
      </c>
      <c r="F44" s="0" t="n">
        <v>453</v>
      </c>
      <c r="G44" s="0" t="n">
        <v>300.38</v>
      </c>
      <c r="H44" s="0" t="n">
        <v>206.05</v>
      </c>
      <c r="I44" s="0" t="n">
        <v>136072.14</v>
      </c>
      <c r="J44" s="0" t="n">
        <v>93340.65</v>
      </c>
      <c r="K44" s="0" t="n">
        <v>42731.49</v>
      </c>
    </row>
    <row r="45" customFormat="false" ht="15" hidden="false" customHeight="false" outlineLevel="0" collapsed="false">
      <c r="A45" s="0" t="s">
        <v>619</v>
      </c>
      <c r="B45" s="0" t="s">
        <v>65</v>
      </c>
      <c r="C45" s="0" t="s">
        <v>221</v>
      </c>
      <c r="D45" s="0" t="s">
        <v>597</v>
      </c>
      <c r="E45" s="0" t="s">
        <v>546</v>
      </c>
      <c r="F45" s="0" t="n">
        <v>176</v>
      </c>
      <c r="G45" s="0" t="n">
        <v>105.16</v>
      </c>
      <c r="H45" s="0" t="n">
        <v>65.18</v>
      </c>
      <c r="I45" s="0" t="n">
        <v>18508.16</v>
      </c>
      <c r="J45" s="0" t="n">
        <v>11471.68</v>
      </c>
      <c r="K45" s="0" t="n">
        <v>7036.48</v>
      </c>
    </row>
    <row r="46" customFormat="false" ht="15" hidden="false" customHeight="false" outlineLevel="0" collapsed="false">
      <c r="A46" s="0" t="s">
        <v>620</v>
      </c>
      <c r="B46" s="0" t="s">
        <v>65</v>
      </c>
      <c r="C46" s="0" t="s">
        <v>221</v>
      </c>
      <c r="D46" s="0" t="s">
        <v>599</v>
      </c>
      <c r="E46" s="0" t="s">
        <v>549</v>
      </c>
      <c r="F46" s="0" t="n">
        <v>405</v>
      </c>
      <c r="G46" s="0" t="n">
        <v>134.68</v>
      </c>
      <c r="H46" s="0" t="n">
        <v>85.01</v>
      </c>
      <c r="I46" s="0" t="n">
        <v>54545.4</v>
      </c>
      <c r="J46" s="0" t="n">
        <v>34429.05</v>
      </c>
      <c r="K46" s="0" t="n">
        <v>20116.35</v>
      </c>
    </row>
    <row r="47" customFormat="false" ht="15" hidden="false" customHeight="false" outlineLevel="0" collapsed="false">
      <c r="A47" s="0" t="s">
        <v>621</v>
      </c>
      <c r="B47" s="0" t="s">
        <v>65</v>
      </c>
      <c r="C47" s="0" t="s">
        <v>221</v>
      </c>
      <c r="D47" s="0" t="s">
        <v>601</v>
      </c>
      <c r="E47" s="0" t="s">
        <v>552</v>
      </c>
      <c r="F47" s="0" t="n">
        <v>396</v>
      </c>
      <c r="G47" s="0" t="n">
        <v>174.01</v>
      </c>
      <c r="H47" s="0" t="n">
        <v>112.55</v>
      </c>
      <c r="I47" s="0" t="n">
        <v>68907.96</v>
      </c>
      <c r="J47" s="0" t="n">
        <v>44569.8</v>
      </c>
      <c r="K47" s="0" t="n">
        <v>24338.16</v>
      </c>
    </row>
    <row r="48" customFormat="false" ht="15" hidden="false" customHeight="false" outlineLevel="0" collapsed="false">
      <c r="A48" s="0" t="s">
        <v>622</v>
      </c>
      <c r="B48" s="0" t="s">
        <v>65</v>
      </c>
      <c r="C48" s="0" t="s">
        <v>221</v>
      </c>
      <c r="D48" s="0" t="s">
        <v>603</v>
      </c>
      <c r="E48" s="0" t="s">
        <v>555</v>
      </c>
      <c r="F48" s="0" t="n">
        <v>167</v>
      </c>
      <c r="G48" s="0" t="n">
        <v>168.02</v>
      </c>
      <c r="H48" s="0" t="n">
        <v>101.13</v>
      </c>
      <c r="I48" s="0" t="n">
        <v>28059.34</v>
      </c>
      <c r="J48" s="0" t="n">
        <v>16888.71</v>
      </c>
      <c r="K48" s="0" t="n">
        <v>11170.63</v>
      </c>
    </row>
    <row r="49" customFormat="false" ht="15" hidden="false" customHeight="false" outlineLevel="0" collapsed="false">
      <c r="A49" s="0" t="s">
        <v>623</v>
      </c>
      <c r="B49" s="0" t="s">
        <v>65</v>
      </c>
      <c r="C49" s="0" t="s">
        <v>221</v>
      </c>
      <c r="D49" s="0" t="s">
        <v>605</v>
      </c>
      <c r="E49" s="0" t="s">
        <v>534</v>
      </c>
      <c r="F49" s="0" t="n">
        <v>356</v>
      </c>
      <c r="G49" s="0" t="n">
        <v>211.97</v>
      </c>
      <c r="H49" s="0" t="n">
        <v>136.21</v>
      </c>
      <c r="I49" s="0" t="n">
        <v>75461.32</v>
      </c>
      <c r="J49" s="0" t="n">
        <v>48490.76</v>
      </c>
      <c r="K49" s="0" t="n">
        <v>26970.56</v>
      </c>
    </row>
    <row r="50" customFormat="false" ht="15" hidden="false" customHeight="false" outlineLevel="0" collapsed="false">
      <c r="A50" s="0" t="s">
        <v>624</v>
      </c>
      <c r="B50" s="0" t="s">
        <v>65</v>
      </c>
      <c r="C50" s="0" t="s">
        <v>221</v>
      </c>
      <c r="D50" s="0" t="s">
        <v>607</v>
      </c>
      <c r="E50" s="0" t="s">
        <v>537</v>
      </c>
      <c r="F50" s="0" t="n">
        <v>335</v>
      </c>
      <c r="G50" s="0" t="n">
        <v>227.6</v>
      </c>
      <c r="H50" s="0" t="n">
        <v>167.15</v>
      </c>
      <c r="I50" s="0" t="n">
        <v>76246</v>
      </c>
      <c r="J50" s="0" t="n">
        <v>55995.25</v>
      </c>
      <c r="K50" s="0" t="n">
        <v>20250.75</v>
      </c>
    </row>
    <row r="51" customFormat="false" ht="15" hidden="false" customHeight="false" outlineLevel="0" collapsed="false">
      <c r="A51" s="0" t="s">
        <v>625</v>
      </c>
      <c r="B51" s="0" t="s">
        <v>65</v>
      </c>
      <c r="C51" s="0" t="s">
        <v>221</v>
      </c>
      <c r="D51" s="0" t="s">
        <v>609</v>
      </c>
      <c r="E51" s="0" t="s">
        <v>540</v>
      </c>
      <c r="F51" s="0" t="n">
        <v>242</v>
      </c>
      <c r="G51" s="0" t="n">
        <v>257.92</v>
      </c>
      <c r="H51" s="0" t="n">
        <v>169.1</v>
      </c>
      <c r="I51" s="0" t="n">
        <v>62416.64</v>
      </c>
      <c r="J51" s="0" t="n">
        <v>40922.2</v>
      </c>
      <c r="K51" s="0" t="n">
        <v>21494.44</v>
      </c>
    </row>
    <row r="52" customFormat="false" ht="15" hidden="false" customHeight="false" outlineLevel="0" collapsed="false">
      <c r="A52" s="0" t="s">
        <v>626</v>
      </c>
      <c r="B52" s="0" t="s">
        <v>65</v>
      </c>
      <c r="C52" s="0" t="s">
        <v>221</v>
      </c>
      <c r="D52" s="0" t="s">
        <v>611</v>
      </c>
      <c r="E52" s="0" t="s">
        <v>543</v>
      </c>
      <c r="F52" s="0" t="n">
        <v>375</v>
      </c>
      <c r="G52" s="0" t="n">
        <v>329.26</v>
      </c>
      <c r="H52" s="0" t="n">
        <v>196</v>
      </c>
      <c r="I52" s="0" t="n">
        <v>123472.5</v>
      </c>
      <c r="J52" s="0" t="n">
        <v>73500</v>
      </c>
      <c r="K52" s="0" t="n">
        <v>49972.5</v>
      </c>
    </row>
    <row r="53" customFormat="false" ht="15" hidden="false" customHeight="false" outlineLevel="0" collapsed="false">
      <c r="A53" s="0" t="s">
        <v>627</v>
      </c>
      <c r="B53" s="0" t="s">
        <v>65</v>
      </c>
      <c r="C53" s="0" t="s">
        <v>221</v>
      </c>
      <c r="D53" s="0" t="s">
        <v>628</v>
      </c>
      <c r="E53" s="0" t="s">
        <v>546</v>
      </c>
      <c r="F53" s="0" t="n">
        <v>333</v>
      </c>
      <c r="G53" s="0" t="n">
        <v>109.57</v>
      </c>
      <c r="H53" s="0" t="n">
        <v>72.18</v>
      </c>
      <c r="I53" s="0" t="n">
        <v>36486.81</v>
      </c>
      <c r="J53" s="0" t="n">
        <v>24035.94</v>
      </c>
      <c r="K53" s="0" t="n">
        <v>12450.87</v>
      </c>
    </row>
    <row r="54" customFormat="false" ht="15" hidden="false" customHeight="false" outlineLevel="0" collapsed="false">
      <c r="A54" s="0" t="s">
        <v>629</v>
      </c>
      <c r="B54" s="0" t="s">
        <v>65</v>
      </c>
      <c r="C54" s="0" t="s">
        <v>221</v>
      </c>
      <c r="D54" s="0" t="s">
        <v>630</v>
      </c>
      <c r="E54" s="0" t="s">
        <v>549</v>
      </c>
      <c r="F54" s="0" t="n">
        <v>357</v>
      </c>
      <c r="G54" s="0" t="n">
        <v>143.49</v>
      </c>
      <c r="H54" s="0" t="n">
        <v>79.98</v>
      </c>
      <c r="I54" s="0" t="n">
        <v>51225.93</v>
      </c>
      <c r="J54" s="0" t="n">
        <v>28552.86</v>
      </c>
      <c r="K54" s="0" t="n">
        <v>22673.07</v>
      </c>
    </row>
    <row r="55" customFormat="false" ht="15" hidden="false" customHeight="false" outlineLevel="0" collapsed="false">
      <c r="A55" s="0" t="s">
        <v>631</v>
      </c>
      <c r="B55" s="0" t="s">
        <v>65</v>
      </c>
      <c r="C55" s="0" t="s">
        <v>221</v>
      </c>
      <c r="D55" s="0" t="s">
        <v>632</v>
      </c>
      <c r="E55" s="0" t="s">
        <v>552</v>
      </c>
      <c r="F55" s="0" t="n">
        <v>328</v>
      </c>
      <c r="G55" s="0" t="n">
        <v>192.49</v>
      </c>
      <c r="H55" s="0" t="n">
        <v>109.74</v>
      </c>
      <c r="I55" s="0" t="n">
        <v>63136.72</v>
      </c>
      <c r="J55" s="0" t="n">
        <v>35994.72</v>
      </c>
      <c r="K55" s="0" t="n">
        <v>27142</v>
      </c>
    </row>
    <row r="56" customFormat="false" ht="15" hidden="false" customHeight="false" outlineLevel="0" collapsed="false">
      <c r="A56" s="0" t="s">
        <v>633</v>
      </c>
      <c r="B56" s="0" t="s">
        <v>65</v>
      </c>
      <c r="C56" s="0" t="s">
        <v>221</v>
      </c>
      <c r="D56" s="0" t="s">
        <v>634</v>
      </c>
      <c r="E56" s="0" t="s">
        <v>555</v>
      </c>
      <c r="F56" s="0" t="n">
        <v>355</v>
      </c>
      <c r="G56" s="0" t="n">
        <v>175.6</v>
      </c>
      <c r="H56" s="0" t="n">
        <v>97.03</v>
      </c>
      <c r="I56" s="0" t="n">
        <v>62338</v>
      </c>
      <c r="J56" s="0" t="n">
        <v>34445.65</v>
      </c>
      <c r="K56" s="0" t="n">
        <v>27892.35</v>
      </c>
    </row>
    <row r="57" customFormat="false" ht="15" hidden="false" customHeight="false" outlineLevel="0" collapsed="false">
      <c r="A57" s="0" t="s">
        <v>635</v>
      </c>
      <c r="B57" s="0" t="s">
        <v>65</v>
      </c>
      <c r="C57" s="0" t="s">
        <v>221</v>
      </c>
      <c r="D57" s="0" t="s">
        <v>636</v>
      </c>
      <c r="E57" s="0" t="s">
        <v>534</v>
      </c>
      <c r="F57" s="0" t="n">
        <v>193</v>
      </c>
      <c r="G57" s="0" t="n">
        <v>212.26</v>
      </c>
      <c r="H57" s="0" t="n">
        <v>138.68</v>
      </c>
      <c r="I57" s="0" t="n">
        <v>40966.18</v>
      </c>
      <c r="J57" s="0" t="n">
        <v>26765.24</v>
      </c>
      <c r="K57" s="0" t="n">
        <v>14200.94</v>
      </c>
    </row>
    <row r="58" customFormat="false" ht="15" hidden="false" customHeight="false" outlineLevel="0" collapsed="false">
      <c r="A58" s="0" t="s">
        <v>637</v>
      </c>
      <c r="B58" s="0" t="s">
        <v>65</v>
      </c>
      <c r="C58" s="0" t="s">
        <v>221</v>
      </c>
      <c r="D58" s="0" t="s">
        <v>638</v>
      </c>
      <c r="E58" s="0" t="s">
        <v>537</v>
      </c>
      <c r="F58" s="0" t="n">
        <v>438</v>
      </c>
      <c r="G58" s="0" t="n">
        <v>233.62</v>
      </c>
      <c r="H58" s="0" t="n">
        <v>155.6</v>
      </c>
      <c r="I58" s="0" t="n">
        <v>102325.56</v>
      </c>
      <c r="J58" s="0" t="n">
        <v>68152.8</v>
      </c>
      <c r="K58" s="0" t="n">
        <v>34172.76</v>
      </c>
    </row>
    <row r="59" customFormat="false" ht="15" hidden="false" customHeight="false" outlineLevel="0" collapsed="false">
      <c r="A59" s="0" t="s">
        <v>639</v>
      </c>
      <c r="B59" s="0" t="s">
        <v>65</v>
      </c>
      <c r="C59" s="0" t="s">
        <v>221</v>
      </c>
      <c r="D59" s="0" t="s">
        <v>640</v>
      </c>
      <c r="E59" s="0" t="s">
        <v>540</v>
      </c>
      <c r="F59" s="0" t="n">
        <v>428</v>
      </c>
      <c r="G59" s="0" t="n">
        <v>272.86</v>
      </c>
      <c r="H59" s="0" t="n">
        <v>173.15</v>
      </c>
      <c r="I59" s="0" t="n">
        <v>116784.08</v>
      </c>
      <c r="J59" s="0" t="n">
        <v>74108.2</v>
      </c>
      <c r="K59" s="0" t="n">
        <v>42675.88</v>
      </c>
    </row>
    <row r="60" customFormat="false" ht="15" hidden="false" customHeight="false" outlineLevel="0" collapsed="false">
      <c r="A60" s="0" t="s">
        <v>641</v>
      </c>
      <c r="B60" s="0" t="s">
        <v>65</v>
      </c>
      <c r="C60" s="0" t="s">
        <v>221</v>
      </c>
      <c r="D60" s="0" t="s">
        <v>642</v>
      </c>
      <c r="E60" s="0" t="s">
        <v>543</v>
      </c>
      <c r="F60" s="0" t="n">
        <v>349</v>
      </c>
      <c r="G60" s="0" t="n">
        <v>308.33</v>
      </c>
      <c r="H60" s="0" t="n">
        <v>199.93</v>
      </c>
      <c r="I60" s="0" t="n">
        <v>107607.17</v>
      </c>
      <c r="J60" s="0" t="n">
        <v>69775.57</v>
      </c>
      <c r="K60" s="0" t="n">
        <v>37831.6</v>
      </c>
    </row>
    <row r="61" customFormat="false" ht="15" hidden="false" customHeight="false" outlineLevel="0" collapsed="false">
      <c r="A61" s="0" t="s">
        <v>643</v>
      </c>
      <c r="B61" s="0" t="s">
        <v>65</v>
      </c>
      <c r="C61" s="0" t="s">
        <v>221</v>
      </c>
      <c r="D61" s="0" t="s">
        <v>644</v>
      </c>
      <c r="E61" s="0" t="s">
        <v>546</v>
      </c>
      <c r="F61" s="0" t="n">
        <v>117</v>
      </c>
      <c r="G61" s="0" t="n">
        <v>102.73</v>
      </c>
      <c r="H61" s="0" t="n">
        <v>69.05</v>
      </c>
      <c r="I61" s="0" t="n">
        <v>12019.41</v>
      </c>
      <c r="J61" s="0" t="n">
        <v>8078.85</v>
      </c>
      <c r="K61" s="0" t="n">
        <v>3940.56</v>
      </c>
    </row>
    <row r="62" customFormat="false" ht="15" hidden="false" customHeight="false" outlineLevel="0" collapsed="false">
      <c r="A62" s="0" t="s">
        <v>645</v>
      </c>
      <c r="B62" s="0" t="s">
        <v>65</v>
      </c>
      <c r="C62" s="0" t="s">
        <v>221</v>
      </c>
      <c r="D62" s="0" t="s">
        <v>646</v>
      </c>
      <c r="E62" s="0" t="s">
        <v>549</v>
      </c>
      <c r="F62" s="0" t="n">
        <v>202</v>
      </c>
      <c r="G62" s="0" t="n">
        <v>140.14</v>
      </c>
      <c r="H62" s="0" t="n">
        <v>78.79</v>
      </c>
      <c r="I62" s="0" t="n">
        <v>28308.28</v>
      </c>
      <c r="J62" s="0" t="n">
        <v>15915.58</v>
      </c>
      <c r="K62" s="0" t="n">
        <v>12392.7</v>
      </c>
    </row>
    <row r="63" customFormat="false" ht="15" hidden="false" customHeight="false" outlineLevel="0" collapsed="false">
      <c r="A63" s="0" t="s">
        <v>647</v>
      </c>
      <c r="B63" s="0" t="s">
        <v>65</v>
      </c>
      <c r="C63" s="0" t="s">
        <v>221</v>
      </c>
      <c r="D63" s="0" t="s">
        <v>648</v>
      </c>
      <c r="E63" s="0" t="s">
        <v>552</v>
      </c>
      <c r="F63" s="0" t="n">
        <v>447</v>
      </c>
      <c r="G63" s="0" t="n">
        <v>184.69</v>
      </c>
      <c r="H63" s="0" t="n">
        <v>110.6</v>
      </c>
      <c r="I63" s="0" t="n">
        <v>82556.43</v>
      </c>
      <c r="J63" s="0" t="n">
        <v>49438.2</v>
      </c>
      <c r="K63" s="0" t="n">
        <v>33118.23</v>
      </c>
    </row>
    <row r="64" customFormat="false" ht="15" hidden="false" customHeight="false" outlineLevel="0" collapsed="false">
      <c r="A64" s="0" t="s">
        <v>649</v>
      </c>
      <c r="B64" s="0" t="s">
        <v>65</v>
      </c>
      <c r="C64" s="0" t="s">
        <v>221</v>
      </c>
      <c r="D64" s="0" t="s">
        <v>650</v>
      </c>
      <c r="E64" s="0" t="s">
        <v>555</v>
      </c>
      <c r="F64" s="0" t="n">
        <v>101</v>
      </c>
      <c r="G64" s="0" t="n">
        <v>175.31</v>
      </c>
      <c r="H64" s="0" t="n">
        <v>92.98</v>
      </c>
      <c r="I64" s="0" t="n">
        <v>17706.31</v>
      </c>
      <c r="J64" s="0" t="n">
        <v>9390.98</v>
      </c>
      <c r="K64" s="0" t="n">
        <v>8315.33</v>
      </c>
    </row>
    <row r="65" customFormat="false" ht="15" hidden="false" customHeight="false" outlineLevel="0" collapsed="false">
      <c r="A65" s="0" t="s">
        <v>651</v>
      </c>
      <c r="B65" s="0" t="s">
        <v>65</v>
      </c>
      <c r="C65" s="0" t="s">
        <v>221</v>
      </c>
      <c r="D65" s="0" t="s">
        <v>533</v>
      </c>
      <c r="E65" s="0" t="s">
        <v>534</v>
      </c>
      <c r="F65" s="0" t="n">
        <v>206</v>
      </c>
      <c r="G65" s="0" t="n">
        <v>194.5</v>
      </c>
      <c r="H65" s="0" t="n">
        <v>134.41</v>
      </c>
      <c r="I65" s="0" t="n">
        <v>40067</v>
      </c>
      <c r="J65" s="0" t="n">
        <v>27688.46</v>
      </c>
      <c r="K65" s="0" t="n">
        <v>12378.54</v>
      </c>
    </row>
    <row r="66" customFormat="false" ht="15" hidden="false" customHeight="false" outlineLevel="0" collapsed="false">
      <c r="A66" s="0" t="s">
        <v>652</v>
      </c>
      <c r="B66" s="0" t="s">
        <v>65</v>
      </c>
      <c r="C66" s="0" t="s">
        <v>221</v>
      </c>
      <c r="D66" s="0" t="s">
        <v>536</v>
      </c>
      <c r="E66" s="0" t="s">
        <v>537</v>
      </c>
      <c r="F66" s="0" t="n">
        <v>361</v>
      </c>
      <c r="G66" s="0" t="n">
        <v>231.34</v>
      </c>
      <c r="H66" s="0" t="n">
        <v>167.27</v>
      </c>
      <c r="I66" s="0" t="n">
        <v>83513.74</v>
      </c>
      <c r="J66" s="0" t="n">
        <v>60384.47</v>
      </c>
      <c r="K66" s="0" t="n">
        <v>23129.27</v>
      </c>
    </row>
    <row r="67" customFormat="false" ht="15" hidden="false" customHeight="false" outlineLevel="0" collapsed="false">
      <c r="A67" s="0" t="s">
        <v>653</v>
      </c>
      <c r="B67" s="0" t="s">
        <v>65</v>
      </c>
      <c r="C67" s="0" t="s">
        <v>221</v>
      </c>
      <c r="D67" s="0" t="s">
        <v>539</v>
      </c>
      <c r="E67" s="0" t="s">
        <v>540</v>
      </c>
      <c r="F67" s="0" t="n">
        <v>377</v>
      </c>
      <c r="G67" s="0" t="n">
        <v>270.17</v>
      </c>
      <c r="H67" s="0" t="n">
        <v>169.15</v>
      </c>
      <c r="I67" s="0" t="n">
        <v>101854.09</v>
      </c>
      <c r="J67" s="0" t="n">
        <v>63769.55</v>
      </c>
      <c r="K67" s="0" t="n">
        <v>38084.54</v>
      </c>
    </row>
    <row r="68" customFormat="false" ht="15" hidden="false" customHeight="false" outlineLevel="0" collapsed="false">
      <c r="A68" s="0" t="s">
        <v>654</v>
      </c>
      <c r="B68" s="0" t="s">
        <v>65</v>
      </c>
      <c r="C68" s="0" t="s">
        <v>221</v>
      </c>
      <c r="D68" s="0" t="s">
        <v>542</v>
      </c>
      <c r="E68" s="0" t="s">
        <v>543</v>
      </c>
      <c r="F68" s="0" t="n">
        <v>327</v>
      </c>
      <c r="G68" s="0" t="n">
        <v>323.37</v>
      </c>
      <c r="H68" s="0" t="n">
        <v>198.54</v>
      </c>
      <c r="I68" s="0" t="n">
        <v>105741.99</v>
      </c>
      <c r="J68" s="0" t="n">
        <v>64922.58</v>
      </c>
      <c r="K68" s="0" t="n">
        <v>40819.41</v>
      </c>
    </row>
    <row r="69" customFormat="false" ht="15" hidden="false" customHeight="false" outlineLevel="0" collapsed="false">
      <c r="A69" s="0" t="s">
        <v>655</v>
      </c>
      <c r="B69" s="0" t="s">
        <v>65</v>
      </c>
      <c r="C69" s="0" t="s">
        <v>221</v>
      </c>
      <c r="D69" s="0" t="s">
        <v>545</v>
      </c>
      <c r="E69" s="0" t="s">
        <v>546</v>
      </c>
      <c r="F69" s="0" t="n">
        <v>134</v>
      </c>
      <c r="G69" s="0" t="n">
        <v>107.32</v>
      </c>
      <c r="H69" s="0" t="n">
        <v>67.17</v>
      </c>
      <c r="I69" s="0" t="n">
        <v>14380.88</v>
      </c>
      <c r="J69" s="0" t="n">
        <v>9000.78</v>
      </c>
      <c r="K69" s="0" t="n">
        <v>5380.1</v>
      </c>
    </row>
    <row r="70" customFormat="false" ht="15" hidden="false" customHeight="false" outlineLevel="0" collapsed="false">
      <c r="A70" s="0" t="s">
        <v>656</v>
      </c>
      <c r="B70" s="0" t="s">
        <v>65</v>
      </c>
      <c r="C70" s="0" t="s">
        <v>221</v>
      </c>
      <c r="D70" s="0" t="s">
        <v>548</v>
      </c>
      <c r="E70" s="0" t="s">
        <v>549</v>
      </c>
      <c r="F70" s="0" t="n">
        <v>295</v>
      </c>
      <c r="G70" s="0" t="n">
        <v>137.85</v>
      </c>
      <c r="H70" s="0" t="n">
        <v>85.89</v>
      </c>
      <c r="I70" s="0" t="n">
        <v>40665.75</v>
      </c>
      <c r="J70" s="0" t="n">
        <v>25337.55</v>
      </c>
      <c r="K70" s="0" t="n">
        <v>15328.2</v>
      </c>
    </row>
    <row r="71" customFormat="false" ht="15" hidden="false" customHeight="false" outlineLevel="0" collapsed="false">
      <c r="A71" s="0" t="s">
        <v>657</v>
      </c>
      <c r="B71" s="0" t="s">
        <v>65</v>
      </c>
      <c r="C71" s="0" t="s">
        <v>221</v>
      </c>
      <c r="D71" s="0" t="s">
        <v>551</v>
      </c>
      <c r="E71" s="0" t="s">
        <v>552</v>
      </c>
      <c r="F71" s="0" t="n">
        <v>429</v>
      </c>
      <c r="G71" s="0" t="n">
        <v>185.24</v>
      </c>
      <c r="H71" s="0" t="n">
        <v>116.2</v>
      </c>
      <c r="I71" s="0" t="n">
        <v>79467.96</v>
      </c>
      <c r="J71" s="0" t="n">
        <v>49849.8</v>
      </c>
      <c r="K71" s="0" t="n">
        <v>29618.16</v>
      </c>
    </row>
    <row r="72" customFormat="false" ht="15" hidden="false" customHeight="false" outlineLevel="0" collapsed="false">
      <c r="A72" s="0" t="s">
        <v>658</v>
      </c>
      <c r="B72" s="0" t="s">
        <v>65</v>
      </c>
      <c r="C72" s="0" t="s">
        <v>221</v>
      </c>
      <c r="D72" s="0" t="s">
        <v>554</v>
      </c>
      <c r="E72" s="0" t="s">
        <v>555</v>
      </c>
      <c r="F72" s="0" t="n">
        <v>116</v>
      </c>
      <c r="G72" s="0" t="n">
        <v>164.91</v>
      </c>
      <c r="H72" s="0" t="n">
        <v>96.07</v>
      </c>
      <c r="I72" s="0" t="n">
        <v>19129.56</v>
      </c>
      <c r="J72" s="0" t="n">
        <v>11144.12</v>
      </c>
      <c r="K72" s="0" t="n">
        <v>7985.44</v>
      </c>
    </row>
    <row r="73" customFormat="false" ht="15" hidden="false" customHeight="false" outlineLevel="0" collapsed="false">
      <c r="A73" s="0" t="s">
        <v>659</v>
      </c>
      <c r="B73" s="0" t="s">
        <v>65</v>
      </c>
      <c r="C73" s="0" t="s">
        <v>221</v>
      </c>
      <c r="D73" s="0" t="s">
        <v>557</v>
      </c>
      <c r="E73" s="0" t="s">
        <v>534</v>
      </c>
      <c r="F73" s="0" t="n">
        <v>140</v>
      </c>
      <c r="G73" s="0" t="n">
        <v>193.69</v>
      </c>
      <c r="H73" s="0" t="n">
        <v>129.73</v>
      </c>
      <c r="I73" s="0" t="n">
        <v>27116.6</v>
      </c>
      <c r="J73" s="0" t="n">
        <v>18162.2</v>
      </c>
      <c r="K73" s="0" t="n">
        <v>8954.4</v>
      </c>
    </row>
    <row r="74" customFormat="false" ht="15" hidden="false" customHeight="false" outlineLevel="0" collapsed="false">
      <c r="A74" s="0" t="s">
        <v>660</v>
      </c>
      <c r="B74" s="0" t="s">
        <v>66</v>
      </c>
      <c r="C74" s="0" t="s">
        <v>221</v>
      </c>
      <c r="D74" s="0" t="s">
        <v>640</v>
      </c>
      <c r="E74" s="0" t="s">
        <v>540</v>
      </c>
      <c r="F74" s="0" t="n">
        <v>314</v>
      </c>
      <c r="G74" s="0" t="n">
        <v>254.3</v>
      </c>
      <c r="H74" s="0" t="n">
        <v>167.93</v>
      </c>
      <c r="I74" s="0" t="n">
        <v>79850.2</v>
      </c>
      <c r="J74" s="0" t="n">
        <v>52730.02</v>
      </c>
      <c r="K74" s="0" t="n">
        <v>27120.18</v>
      </c>
    </row>
    <row r="75" customFormat="false" ht="15" hidden="false" customHeight="false" outlineLevel="0" collapsed="false">
      <c r="A75" s="0" t="s">
        <v>661</v>
      </c>
      <c r="B75" s="0" t="s">
        <v>66</v>
      </c>
      <c r="C75" s="0" t="s">
        <v>221</v>
      </c>
      <c r="D75" s="0" t="s">
        <v>642</v>
      </c>
      <c r="E75" s="0" t="s">
        <v>543</v>
      </c>
      <c r="F75" s="0" t="n">
        <v>321</v>
      </c>
      <c r="G75" s="0" t="n">
        <v>299.8</v>
      </c>
      <c r="H75" s="0" t="n">
        <v>216.3</v>
      </c>
      <c r="I75" s="0" t="n">
        <v>96235.8</v>
      </c>
      <c r="J75" s="0" t="n">
        <v>69432.3</v>
      </c>
      <c r="K75" s="0" t="n">
        <v>26803.5</v>
      </c>
    </row>
    <row r="76" customFormat="false" ht="15" hidden="false" customHeight="false" outlineLevel="0" collapsed="false">
      <c r="A76" s="0" t="s">
        <v>662</v>
      </c>
      <c r="B76" s="0" t="s">
        <v>66</v>
      </c>
      <c r="C76" s="0" t="s">
        <v>221</v>
      </c>
      <c r="D76" s="0" t="s">
        <v>644</v>
      </c>
      <c r="E76" s="0" t="s">
        <v>546</v>
      </c>
      <c r="F76" s="0" t="n">
        <v>311</v>
      </c>
      <c r="G76" s="0" t="n">
        <v>109.45</v>
      </c>
      <c r="H76" s="0" t="n">
        <v>71.2</v>
      </c>
      <c r="I76" s="0" t="n">
        <v>34038.95</v>
      </c>
      <c r="J76" s="0" t="n">
        <v>22143.2</v>
      </c>
      <c r="K76" s="0" t="n">
        <v>11895.75</v>
      </c>
    </row>
    <row r="77" customFormat="false" ht="15" hidden="false" customHeight="false" outlineLevel="0" collapsed="false">
      <c r="A77" s="0" t="s">
        <v>663</v>
      </c>
      <c r="B77" s="0" t="s">
        <v>66</v>
      </c>
      <c r="C77" s="0" t="s">
        <v>221</v>
      </c>
      <c r="D77" s="0" t="s">
        <v>646</v>
      </c>
      <c r="E77" s="0" t="s">
        <v>549</v>
      </c>
      <c r="F77" s="0" t="n">
        <v>135</v>
      </c>
      <c r="G77" s="0" t="n">
        <v>130</v>
      </c>
      <c r="H77" s="0" t="n">
        <v>88.55</v>
      </c>
      <c r="I77" s="0" t="n">
        <v>17550</v>
      </c>
      <c r="J77" s="0" t="n">
        <v>11954.25</v>
      </c>
      <c r="K77" s="0" t="n">
        <v>5595.75</v>
      </c>
    </row>
    <row r="78" customFormat="false" ht="15" hidden="false" customHeight="false" outlineLevel="0" collapsed="false">
      <c r="A78" s="0" t="s">
        <v>664</v>
      </c>
      <c r="B78" s="0" t="s">
        <v>66</v>
      </c>
      <c r="C78" s="0" t="s">
        <v>221</v>
      </c>
      <c r="D78" s="0" t="s">
        <v>648</v>
      </c>
      <c r="E78" s="0" t="s">
        <v>552</v>
      </c>
      <c r="F78" s="0" t="n">
        <v>92</v>
      </c>
      <c r="G78" s="0" t="n">
        <v>193.03</v>
      </c>
      <c r="H78" s="0" t="n">
        <v>119.97</v>
      </c>
      <c r="I78" s="0" t="n">
        <v>17758.76</v>
      </c>
      <c r="J78" s="0" t="n">
        <v>11037.24</v>
      </c>
      <c r="K78" s="0" t="n">
        <v>6721.52</v>
      </c>
    </row>
    <row r="79" customFormat="false" ht="15" hidden="false" customHeight="false" outlineLevel="0" collapsed="false">
      <c r="A79" s="0" t="s">
        <v>665</v>
      </c>
      <c r="B79" s="0" t="s">
        <v>66</v>
      </c>
      <c r="C79" s="0" t="s">
        <v>221</v>
      </c>
      <c r="D79" s="0" t="s">
        <v>650</v>
      </c>
      <c r="E79" s="0" t="s">
        <v>555</v>
      </c>
      <c r="F79" s="0" t="n">
        <v>206</v>
      </c>
      <c r="G79" s="0" t="n">
        <v>159.53</v>
      </c>
      <c r="H79" s="0" t="n">
        <v>97.75</v>
      </c>
      <c r="I79" s="0" t="n">
        <v>32863.18</v>
      </c>
      <c r="J79" s="0" t="n">
        <v>20136.5</v>
      </c>
      <c r="K79" s="0" t="n">
        <v>12726.68</v>
      </c>
    </row>
    <row r="80" customFormat="false" ht="15" hidden="false" customHeight="false" outlineLevel="0" collapsed="false">
      <c r="A80" s="0" t="s">
        <v>666</v>
      </c>
      <c r="B80" s="0" t="s">
        <v>66</v>
      </c>
      <c r="C80" s="0" t="s">
        <v>221</v>
      </c>
      <c r="D80" s="0" t="s">
        <v>533</v>
      </c>
      <c r="E80" s="0" t="s">
        <v>534</v>
      </c>
      <c r="F80" s="0" t="n">
        <v>194</v>
      </c>
      <c r="G80" s="0" t="n">
        <v>210.5</v>
      </c>
      <c r="H80" s="0" t="n">
        <v>141.01</v>
      </c>
      <c r="I80" s="0" t="n">
        <v>40837</v>
      </c>
      <c r="J80" s="0" t="n">
        <v>27355.94</v>
      </c>
      <c r="K80" s="0" t="n">
        <v>13481.06</v>
      </c>
    </row>
    <row r="81" customFormat="false" ht="15" hidden="false" customHeight="false" outlineLevel="0" collapsed="false">
      <c r="A81" s="0" t="s">
        <v>667</v>
      </c>
      <c r="B81" s="0" t="s">
        <v>66</v>
      </c>
      <c r="C81" s="0" t="s">
        <v>221</v>
      </c>
      <c r="D81" s="0" t="s">
        <v>536</v>
      </c>
      <c r="E81" s="0" t="s">
        <v>537</v>
      </c>
      <c r="F81" s="0" t="n">
        <v>169</v>
      </c>
      <c r="G81" s="0" t="n">
        <v>239.51</v>
      </c>
      <c r="H81" s="0" t="n">
        <v>168.2</v>
      </c>
      <c r="I81" s="0" t="n">
        <v>40477.19</v>
      </c>
      <c r="J81" s="0" t="n">
        <v>28425.8</v>
      </c>
      <c r="K81" s="0" t="n">
        <v>12051.39</v>
      </c>
    </row>
    <row r="82" customFormat="false" ht="15" hidden="false" customHeight="false" outlineLevel="0" collapsed="false">
      <c r="A82" s="0" t="s">
        <v>668</v>
      </c>
      <c r="B82" s="0" t="s">
        <v>66</v>
      </c>
      <c r="C82" s="0" t="s">
        <v>221</v>
      </c>
      <c r="D82" s="0" t="s">
        <v>539</v>
      </c>
      <c r="E82" s="0" t="s">
        <v>540</v>
      </c>
      <c r="F82" s="0" t="n">
        <v>220</v>
      </c>
      <c r="G82" s="0" t="n">
        <v>282.93</v>
      </c>
      <c r="H82" s="0" t="n">
        <v>180.27</v>
      </c>
      <c r="I82" s="0" t="n">
        <v>62244.6</v>
      </c>
      <c r="J82" s="0" t="n">
        <v>39659.4</v>
      </c>
      <c r="K82" s="0" t="n">
        <v>22585.2</v>
      </c>
    </row>
    <row r="83" customFormat="false" ht="15" hidden="false" customHeight="false" outlineLevel="0" collapsed="false">
      <c r="A83" s="0" t="s">
        <v>669</v>
      </c>
      <c r="B83" s="0" t="s">
        <v>66</v>
      </c>
      <c r="C83" s="0" t="s">
        <v>221</v>
      </c>
      <c r="D83" s="0" t="s">
        <v>542</v>
      </c>
      <c r="E83" s="0" t="s">
        <v>543</v>
      </c>
      <c r="F83" s="0" t="n">
        <v>231</v>
      </c>
      <c r="G83" s="0" t="n">
        <v>307.12</v>
      </c>
      <c r="H83" s="0" t="n">
        <v>217.13</v>
      </c>
      <c r="I83" s="0" t="n">
        <v>70944.72</v>
      </c>
      <c r="J83" s="0" t="n">
        <v>50157.03</v>
      </c>
      <c r="K83" s="0" t="n">
        <v>20787.69</v>
      </c>
    </row>
    <row r="84" customFormat="false" ht="15" hidden="false" customHeight="false" outlineLevel="0" collapsed="false">
      <c r="A84" s="0" t="s">
        <v>670</v>
      </c>
      <c r="B84" s="0" t="s">
        <v>66</v>
      </c>
      <c r="C84" s="0" t="s">
        <v>221</v>
      </c>
      <c r="D84" s="0" t="s">
        <v>545</v>
      </c>
      <c r="E84" s="0" t="s">
        <v>546</v>
      </c>
      <c r="F84" s="0" t="n">
        <v>369</v>
      </c>
      <c r="G84" s="0" t="n">
        <v>107.36</v>
      </c>
      <c r="H84" s="0" t="n">
        <v>68.23</v>
      </c>
      <c r="I84" s="0" t="n">
        <v>39615.84</v>
      </c>
      <c r="J84" s="0" t="n">
        <v>25176.87</v>
      </c>
      <c r="K84" s="0" t="n">
        <v>14438.97</v>
      </c>
    </row>
    <row r="85" customFormat="false" ht="15" hidden="false" customHeight="false" outlineLevel="0" collapsed="false">
      <c r="A85" s="0" t="s">
        <v>671</v>
      </c>
      <c r="B85" s="0" t="s">
        <v>66</v>
      </c>
      <c r="C85" s="0" t="s">
        <v>221</v>
      </c>
      <c r="D85" s="0" t="s">
        <v>548</v>
      </c>
      <c r="E85" s="0" t="s">
        <v>549</v>
      </c>
      <c r="F85" s="0" t="n">
        <v>182</v>
      </c>
      <c r="G85" s="0" t="n">
        <v>134.64</v>
      </c>
      <c r="H85" s="0" t="n">
        <v>88.25</v>
      </c>
      <c r="I85" s="0" t="n">
        <v>24504.48</v>
      </c>
      <c r="J85" s="0" t="n">
        <v>16061.5</v>
      </c>
      <c r="K85" s="0" t="n">
        <v>8442.98</v>
      </c>
    </row>
    <row r="86" customFormat="false" ht="15" hidden="false" customHeight="false" outlineLevel="0" collapsed="false">
      <c r="A86" s="0" t="s">
        <v>672</v>
      </c>
      <c r="B86" s="0" t="s">
        <v>66</v>
      </c>
      <c r="C86" s="0" t="s">
        <v>221</v>
      </c>
      <c r="D86" s="0" t="s">
        <v>551</v>
      </c>
      <c r="E86" s="0" t="s">
        <v>552</v>
      </c>
      <c r="F86" s="0" t="n">
        <v>381</v>
      </c>
      <c r="G86" s="0" t="n">
        <v>187.27</v>
      </c>
      <c r="H86" s="0" t="n">
        <v>108.34</v>
      </c>
      <c r="I86" s="0" t="n">
        <v>71349.87</v>
      </c>
      <c r="J86" s="0" t="n">
        <v>41277.54</v>
      </c>
      <c r="K86" s="0" t="n">
        <v>30072.33</v>
      </c>
    </row>
    <row r="87" customFormat="false" ht="15" hidden="false" customHeight="false" outlineLevel="0" collapsed="false">
      <c r="A87" s="0" t="s">
        <v>673</v>
      </c>
      <c r="B87" s="0" t="s">
        <v>66</v>
      </c>
      <c r="C87" s="0" t="s">
        <v>221</v>
      </c>
      <c r="D87" s="0" t="s">
        <v>554</v>
      </c>
      <c r="E87" s="0" t="s">
        <v>555</v>
      </c>
      <c r="F87" s="0" t="n">
        <v>245</v>
      </c>
      <c r="G87" s="0" t="n">
        <v>157.05</v>
      </c>
      <c r="H87" s="0" t="n">
        <v>98.89</v>
      </c>
      <c r="I87" s="0" t="n">
        <v>38477.25</v>
      </c>
      <c r="J87" s="0" t="n">
        <v>24228.05</v>
      </c>
      <c r="K87" s="0" t="n">
        <v>14249.2</v>
      </c>
    </row>
    <row r="88" customFormat="false" ht="15" hidden="false" customHeight="false" outlineLevel="0" collapsed="false">
      <c r="A88" s="0" t="s">
        <v>674</v>
      </c>
      <c r="B88" s="0" t="s">
        <v>66</v>
      </c>
      <c r="C88" s="0" t="s">
        <v>221</v>
      </c>
      <c r="D88" s="0" t="s">
        <v>557</v>
      </c>
      <c r="E88" s="0" t="s">
        <v>534</v>
      </c>
      <c r="F88" s="0" t="n">
        <v>342</v>
      </c>
      <c r="G88" s="0" t="n">
        <v>212</v>
      </c>
      <c r="H88" s="0" t="n">
        <v>135.13</v>
      </c>
      <c r="I88" s="0" t="n">
        <v>72504</v>
      </c>
      <c r="J88" s="0" t="n">
        <v>46214.46</v>
      </c>
      <c r="K88" s="0" t="n">
        <v>26289.54</v>
      </c>
    </row>
    <row r="89" customFormat="false" ht="15" hidden="false" customHeight="false" outlineLevel="0" collapsed="false">
      <c r="A89" s="0" t="s">
        <v>675</v>
      </c>
      <c r="B89" s="0" t="s">
        <v>66</v>
      </c>
      <c r="C89" s="0" t="s">
        <v>221</v>
      </c>
      <c r="D89" s="0" t="s">
        <v>559</v>
      </c>
      <c r="E89" s="0" t="s">
        <v>537</v>
      </c>
      <c r="F89" s="0" t="n">
        <v>114</v>
      </c>
      <c r="G89" s="0" t="n">
        <v>258.8</v>
      </c>
      <c r="H89" s="0" t="n">
        <v>151.26</v>
      </c>
      <c r="I89" s="0" t="n">
        <v>29503.2</v>
      </c>
      <c r="J89" s="0" t="n">
        <v>17243.64</v>
      </c>
      <c r="K89" s="0" t="n">
        <v>12259.56</v>
      </c>
    </row>
    <row r="90" customFormat="false" ht="15" hidden="false" customHeight="false" outlineLevel="0" collapsed="false">
      <c r="A90" s="0" t="s">
        <v>676</v>
      </c>
      <c r="B90" s="0" t="s">
        <v>66</v>
      </c>
      <c r="C90" s="0" t="s">
        <v>221</v>
      </c>
      <c r="D90" s="0" t="s">
        <v>561</v>
      </c>
      <c r="E90" s="0" t="s">
        <v>540</v>
      </c>
      <c r="F90" s="0" t="n">
        <v>180</v>
      </c>
      <c r="G90" s="0" t="n">
        <v>251.69</v>
      </c>
      <c r="H90" s="0" t="n">
        <v>165.55</v>
      </c>
      <c r="I90" s="0" t="n">
        <v>45304.2</v>
      </c>
      <c r="J90" s="0" t="n">
        <v>29799</v>
      </c>
      <c r="K90" s="0" t="n">
        <v>15505.2</v>
      </c>
    </row>
    <row r="91" customFormat="false" ht="15" hidden="false" customHeight="false" outlineLevel="0" collapsed="false">
      <c r="A91" s="0" t="s">
        <v>677</v>
      </c>
      <c r="B91" s="0" t="s">
        <v>66</v>
      </c>
      <c r="C91" s="0" t="s">
        <v>221</v>
      </c>
      <c r="D91" s="0" t="s">
        <v>563</v>
      </c>
      <c r="E91" s="0" t="s">
        <v>543</v>
      </c>
      <c r="F91" s="0" t="n">
        <v>205</v>
      </c>
      <c r="G91" s="0" t="n">
        <v>306.31</v>
      </c>
      <c r="H91" s="0" t="n">
        <v>216.74</v>
      </c>
      <c r="I91" s="0" t="n">
        <v>62793.55</v>
      </c>
      <c r="J91" s="0" t="n">
        <v>44431.7</v>
      </c>
      <c r="K91" s="0" t="n">
        <v>18361.85</v>
      </c>
    </row>
    <row r="92" customFormat="false" ht="15" hidden="false" customHeight="false" outlineLevel="0" collapsed="false">
      <c r="A92" s="0" t="s">
        <v>678</v>
      </c>
      <c r="B92" s="0" t="s">
        <v>66</v>
      </c>
      <c r="C92" s="0" t="s">
        <v>221</v>
      </c>
      <c r="D92" s="0" t="s">
        <v>565</v>
      </c>
      <c r="E92" s="0" t="s">
        <v>546</v>
      </c>
      <c r="F92" s="0" t="n">
        <v>376</v>
      </c>
      <c r="G92" s="0" t="n">
        <v>101.42</v>
      </c>
      <c r="H92" s="0" t="n">
        <v>69.1</v>
      </c>
      <c r="I92" s="0" t="n">
        <v>38133.92</v>
      </c>
      <c r="J92" s="0" t="n">
        <v>25981.6</v>
      </c>
      <c r="K92" s="0" t="n">
        <v>12152.32</v>
      </c>
    </row>
    <row r="93" customFormat="false" ht="15" hidden="false" customHeight="false" outlineLevel="0" collapsed="false">
      <c r="A93" s="0" t="s">
        <v>679</v>
      </c>
      <c r="B93" s="0" t="s">
        <v>66</v>
      </c>
      <c r="C93" s="0" t="s">
        <v>221</v>
      </c>
      <c r="D93" s="0" t="s">
        <v>567</v>
      </c>
      <c r="E93" s="0" t="s">
        <v>549</v>
      </c>
      <c r="F93" s="0" t="n">
        <v>402</v>
      </c>
      <c r="G93" s="0" t="n">
        <v>130.6</v>
      </c>
      <c r="H93" s="0" t="n">
        <v>85.19</v>
      </c>
      <c r="I93" s="0" t="n">
        <v>52501.2</v>
      </c>
      <c r="J93" s="0" t="n">
        <v>34246.38</v>
      </c>
      <c r="K93" s="0" t="n">
        <v>18254.82</v>
      </c>
    </row>
    <row r="94" customFormat="false" ht="15" hidden="false" customHeight="false" outlineLevel="0" collapsed="false">
      <c r="A94" s="0" t="s">
        <v>680</v>
      </c>
      <c r="B94" s="0" t="s">
        <v>66</v>
      </c>
      <c r="C94" s="0" t="s">
        <v>221</v>
      </c>
      <c r="D94" s="0" t="s">
        <v>569</v>
      </c>
      <c r="E94" s="0" t="s">
        <v>552</v>
      </c>
      <c r="F94" s="0" t="n">
        <v>374</v>
      </c>
      <c r="G94" s="0" t="n">
        <v>182.01</v>
      </c>
      <c r="H94" s="0" t="n">
        <v>120.08</v>
      </c>
      <c r="I94" s="0" t="n">
        <v>68071.74</v>
      </c>
      <c r="J94" s="0" t="n">
        <v>44909.92</v>
      </c>
      <c r="K94" s="0" t="n">
        <v>23161.82</v>
      </c>
    </row>
    <row r="95" customFormat="false" ht="15" hidden="false" customHeight="false" outlineLevel="0" collapsed="false">
      <c r="A95" s="0" t="s">
        <v>681</v>
      </c>
      <c r="B95" s="0" t="s">
        <v>66</v>
      </c>
      <c r="C95" s="0" t="s">
        <v>221</v>
      </c>
      <c r="D95" s="0" t="s">
        <v>571</v>
      </c>
      <c r="E95" s="0" t="s">
        <v>555</v>
      </c>
      <c r="F95" s="0" t="n">
        <v>189</v>
      </c>
      <c r="G95" s="0" t="n">
        <v>170.99</v>
      </c>
      <c r="H95" s="0" t="n">
        <v>95.78</v>
      </c>
      <c r="I95" s="0" t="n">
        <v>32317.11</v>
      </c>
      <c r="J95" s="0" t="n">
        <v>18102.42</v>
      </c>
      <c r="K95" s="0" t="n">
        <v>14214.69</v>
      </c>
    </row>
    <row r="96" customFormat="false" ht="15" hidden="false" customHeight="false" outlineLevel="0" collapsed="false">
      <c r="A96" s="0" t="s">
        <v>682</v>
      </c>
      <c r="B96" s="0" t="s">
        <v>66</v>
      </c>
      <c r="C96" s="0" t="s">
        <v>221</v>
      </c>
      <c r="D96" s="0" t="s">
        <v>573</v>
      </c>
      <c r="E96" s="0" t="s">
        <v>534</v>
      </c>
      <c r="F96" s="0" t="n">
        <v>220</v>
      </c>
      <c r="G96" s="0" t="n">
        <v>197.7</v>
      </c>
      <c r="H96" s="0" t="n">
        <v>137.36</v>
      </c>
      <c r="I96" s="0" t="n">
        <v>43494</v>
      </c>
      <c r="J96" s="0" t="n">
        <v>30219.2</v>
      </c>
      <c r="K96" s="0" t="n">
        <v>13274.8</v>
      </c>
    </row>
    <row r="97" customFormat="false" ht="15" hidden="false" customHeight="false" outlineLevel="0" collapsed="false">
      <c r="A97" s="0" t="s">
        <v>683</v>
      </c>
      <c r="B97" s="0" t="s">
        <v>66</v>
      </c>
      <c r="C97" s="0" t="s">
        <v>221</v>
      </c>
      <c r="D97" s="0" t="s">
        <v>575</v>
      </c>
      <c r="E97" s="0" t="s">
        <v>537</v>
      </c>
      <c r="F97" s="0" t="n">
        <v>238</v>
      </c>
      <c r="G97" s="0" t="n">
        <v>242.11</v>
      </c>
      <c r="H97" s="0" t="n">
        <v>167.15</v>
      </c>
      <c r="I97" s="0" t="n">
        <v>57622.18</v>
      </c>
      <c r="J97" s="0" t="n">
        <v>39781.7</v>
      </c>
      <c r="K97" s="0" t="n">
        <v>17840.48</v>
      </c>
    </row>
    <row r="98" customFormat="false" ht="15" hidden="false" customHeight="false" outlineLevel="0" collapsed="false">
      <c r="A98" s="0" t="s">
        <v>684</v>
      </c>
      <c r="B98" s="0" t="s">
        <v>66</v>
      </c>
      <c r="C98" s="0" t="s">
        <v>221</v>
      </c>
      <c r="D98" s="0" t="s">
        <v>577</v>
      </c>
      <c r="E98" s="0" t="s">
        <v>540</v>
      </c>
      <c r="F98" s="0" t="n">
        <v>122</v>
      </c>
      <c r="G98" s="0" t="n">
        <v>249.54</v>
      </c>
      <c r="H98" s="0" t="n">
        <v>176.91</v>
      </c>
      <c r="I98" s="0" t="n">
        <v>30443.88</v>
      </c>
      <c r="J98" s="0" t="n">
        <v>21583.02</v>
      </c>
      <c r="K98" s="0" t="n">
        <v>8860.86</v>
      </c>
    </row>
    <row r="99" customFormat="false" ht="15" hidden="false" customHeight="false" outlineLevel="0" collapsed="false">
      <c r="A99" s="0" t="s">
        <v>685</v>
      </c>
      <c r="B99" s="0" t="s">
        <v>66</v>
      </c>
      <c r="C99" s="0" t="s">
        <v>221</v>
      </c>
      <c r="D99" s="0" t="s">
        <v>579</v>
      </c>
      <c r="E99" s="0" t="s">
        <v>543</v>
      </c>
      <c r="F99" s="0" t="n">
        <v>373</v>
      </c>
      <c r="G99" s="0" t="n">
        <v>331.34</v>
      </c>
      <c r="H99" s="0" t="n">
        <v>195.7</v>
      </c>
      <c r="I99" s="0" t="n">
        <v>123589.82</v>
      </c>
      <c r="J99" s="0" t="n">
        <v>72996.1</v>
      </c>
      <c r="K99" s="0" t="n">
        <v>50593.72</v>
      </c>
    </row>
    <row r="100" customFormat="false" ht="15" hidden="false" customHeight="false" outlineLevel="0" collapsed="false">
      <c r="A100" s="0" t="s">
        <v>686</v>
      </c>
      <c r="B100" s="0" t="s">
        <v>66</v>
      </c>
      <c r="C100" s="0" t="s">
        <v>221</v>
      </c>
      <c r="D100" s="0" t="s">
        <v>581</v>
      </c>
      <c r="E100" s="0" t="s">
        <v>546</v>
      </c>
      <c r="F100" s="0" t="n">
        <v>194</v>
      </c>
      <c r="G100" s="0" t="n">
        <v>105.13</v>
      </c>
      <c r="H100" s="0" t="n">
        <v>65.38</v>
      </c>
      <c r="I100" s="0" t="n">
        <v>20395.22</v>
      </c>
      <c r="J100" s="0" t="n">
        <v>12683.72</v>
      </c>
      <c r="K100" s="0" t="n">
        <v>7711.5</v>
      </c>
    </row>
    <row r="101" customFormat="false" ht="15" hidden="false" customHeight="false" outlineLevel="0" collapsed="false">
      <c r="A101" s="0" t="s">
        <v>687</v>
      </c>
      <c r="B101" s="0" t="s">
        <v>66</v>
      </c>
      <c r="C101" s="0" t="s">
        <v>221</v>
      </c>
      <c r="D101" s="0" t="s">
        <v>583</v>
      </c>
      <c r="E101" s="0" t="s">
        <v>549</v>
      </c>
      <c r="F101" s="0" t="n">
        <v>263</v>
      </c>
      <c r="G101" s="0" t="n">
        <v>145.65</v>
      </c>
      <c r="H101" s="0" t="n">
        <v>87.37</v>
      </c>
      <c r="I101" s="0" t="n">
        <v>38305.95</v>
      </c>
      <c r="J101" s="0" t="n">
        <v>22978.31</v>
      </c>
      <c r="K101" s="0" t="n">
        <v>15327.64</v>
      </c>
    </row>
    <row r="102" customFormat="false" ht="15" hidden="false" customHeight="false" outlineLevel="0" collapsed="false">
      <c r="A102" s="0" t="s">
        <v>688</v>
      </c>
      <c r="B102" s="0" t="s">
        <v>66</v>
      </c>
      <c r="C102" s="0" t="s">
        <v>221</v>
      </c>
      <c r="D102" s="0" t="s">
        <v>585</v>
      </c>
      <c r="E102" s="0" t="s">
        <v>552</v>
      </c>
      <c r="F102" s="0" t="n">
        <v>274</v>
      </c>
      <c r="G102" s="0" t="n">
        <v>176.14</v>
      </c>
      <c r="H102" s="0" t="n">
        <v>113.41</v>
      </c>
      <c r="I102" s="0" t="n">
        <v>48262.36</v>
      </c>
      <c r="J102" s="0" t="n">
        <v>31074.34</v>
      </c>
      <c r="K102" s="0" t="n">
        <v>17188.02</v>
      </c>
    </row>
    <row r="103" customFormat="false" ht="15" hidden="false" customHeight="false" outlineLevel="0" collapsed="false">
      <c r="A103" s="0" t="s">
        <v>689</v>
      </c>
      <c r="B103" s="0" t="s">
        <v>66</v>
      </c>
      <c r="C103" s="0" t="s">
        <v>221</v>
      </c>
      <c r="D103" s="0" t="s">
        <v>587</v>
      </c>
      <c r="E103" s="0" t="s">
        <v>555</v>
      </c>
      <c r="F103" s="0" t="n">
        <v>363</v>
      </c>
      <c r="G103" s="0" t="n">
        <v>171.76</v>
      </c>
      <c r="H103" s="0" t="n">
        <v>99.21</v>
      </c>
      <c r="I103" s="0" t="n">
        <v>62348.88</v>
      </c>
      <c r="J103" s="0" t="n">
        <v>36013.23</v>
      </c>
      <c r="K103" s="0" t="n">
        <v>26335.65</v>
      </c>
    </row>
    <row r="104" customFormat="false" ht="15" hidden="false" customHeight="false" outlineLevel="0" collapsed="false">
      <c r="A104" s="0" t="s">
        <v>690</v>
      </c>
      <c r="B104" s="0" t="s">
        <v>66</v>
      </c>
      <c r="C104" s="0" t="s">
        <v>221</v>
      </c>
      <c r="D104" s="0" t="s">
        <v>589</v>
      </c>
      <c r="E104" s="0" t="s">
        <v>534</v>
      </c>
      <c r="F104" s="0" t="n">
        <v>419</v>
      </c>
      <c r="G104" s="0" t="n">
        <v>201.34</v>
      </c>
      <c r="H104" s="0" t="n">
        <v>137.3</v>
      </c>
      <c r="I104" s="0" t="n">
        <v>84361.46</v>
      </c>
      <c r="J104" s="0" t="n">
        <v>57528.7</v>
      </c>
      <c r="K104" s="0" t="n">
        <v>26832.76</v>
      </c>
    </row>
    <row r="105" customFormat="false" ht="15" hidden="false" customHeight="false" outlineLevel="0" collapsed="false">
      <c r="A105" s="0" t="s">
        <v>691</v>
      </c>
      <c r="B105" s="0" t="s">
        <v>66</v>
      </c>
      <c r="C105" s="0" t="s">
        <v>221</v>
      </c>
      <c r="D105" s="0" t="s">
        <v>591</v>
      </c>
      <c r="E105" s="0" t="s">
        <v>537</v>
      </c>
      <c r="F105" s="0" t="n">
        <v>368</v>
      </c>
      <c r="G105" s="0" t="n">
        <v>236.87</v>
      </c>
      <c r="H105" s="0" t="n">
        <v>162.18</v>
      </c>
      <c r="I105" s="0" t="n">
        <v>87168.16</v>
      </c>
      <c r="J105" s="0" t="n">
        <v>59682.24</v>
      </c>
      <c r="K105" s="0" t="n">
        <v>27485.92</v>
      </c>
    </row>
    <row r="106" customFormat="false" ht="15" hidden="false" customHeight="false" outlineLevel="0" collapsed="false">
      <c r="A106" s="0" t="s">
        <v>692</v>
      </c>
      <c r="B106" s="0" t="s">
        <v>66</v>
      </c>
      <c r="C106" s="0" t="s">
        <v>221</v>
      </c>
      <c r="D106" s="0" t="s">
        <v>593</v>
      </c>
      <c r="E106" s="0" t="s">
        <v>540</v>
      </c>
      <c r="F106" s="0" t="n">
        <v>153</v>
      </c>
      <c r="G106" s="0" t="n">
        <v>258.83</v>
      </c>
      <c r="H106" s="0" t="n">
        <v>182.42</v>
      </c>
      <c r="I106" s="0" t="n">
        <v>39600.99</v>
      </c>
      <c r="J106" s="0" t="n">
        <v>27910.26</v>
      </c>
      <c r="K106" s="0" t="n">
        <v>11690.73</v>
      </c>
    </row>
    <row r="107" customFormat="false" ht="15" hidden="false" customHeight="false" outlineLevel="0" collapsed="false">
      <c r="A107" s="0" t="s">
        <v>693</v>
      </c>
      <c r="B107" s="0" t="s">
        <v>66</v>
      </c>
      <c r="C107" s="0" t="s">
        <v>221</v>
      </c>
      <c r="D107" s="0" t="s">
        <v>595</v>
      </c>
      <c r="E107" s="0" t="s">
        <v>543</v>
      </c>
      <c r="F107" s="0" t="n">
        <v>368</v>
      </c>
      <c r="G107" s="0" t="n">
        <v>295.82</v>
      </c>
      <c r="H107" s="0" t="n">
        <v>200.75</v>
      </c>
      <c r="I107" s="0" t="n">
        <v>108861.76</v>
      </c>
      <c r="J107" s="0" t="n">
        <v>73876</v>
      </c>
      <c r="K107" s="0" t="n">
        <v>34985.76</v>
      </c>
    </row>
    <row r="108" customFormat="false" ht="15" hidden="false" customHeight="false" outlineLevel="0" collapsed="false">
      <c r="A108" s="0" t="s">
        <v>694</v>
      </c>
      <c r="B108" s="0" t="s">
        <v>66</v>
      </c>
      <c r="C108" s="0" t="s">
        <v>221</v>
      </c>
      <c r="D108" s="0" t="s">
        <v>597</v>
      </c>
      <c r="E108" s="0" t="s">
        <v>546</v>
      </c>
      <c r="F108" s="0" t="n">
        <v>192</v>
      </c>
      <c r="G108" s="0" t="n">
        <v>108.16</v>
      </c>
      <c r="H108" s="0" t="n">
        <v>65.96</v>
      </c>
      <c r="I108" s="0" t="n">
        <v>20766.72</v>
      </c>
      <c r="J108" s="0" t="n">
        <v>12664.32</v>
      </c>
      <c r="K108" s="0" t="n">
        <v>8102.4</v>
      </c>
    </row>
    <row r="109" customFormat="false" ht="15" hidden="false" customHeight="false" outlineLevel="0" collapsed="false">
      <c r="A109" s="0" t="s">
        <v>695</v>
      </c>
      <c r="B109" s="0" t="s">
        <v>66</v>
      </c>
      <c r="C109" s="0" t="s">
        <v>221</v>
      </c>
      <c r="D109" s="0" t="s">
        <v>599</v>
      </c>
      <c r="E109" s="0" t="s">
        <v>549</v>
      </c>
      <c r="F109" s="0" t="n">
        <v>409</v>
      </c>
      <c r="G109" s="0" t="n">
        <v>145.13</v>
      </c>
      <c r="H109" s="0" t="n">
        <v>83.69</v>
      </c>
      <c r="I109" s="0" t="n">
        <v>59358.17</v>
      </c>
      <c r="J109" s="0" t="n">
        <v>34229.21</v>
      </c>
      <c r="K109" s="0" t="n">
        <v>25128.96</v>
      </c>
    </row>
    <row r="110" customFormat="false" ht="15" hidden="false" customHeight="false" outlineLevel="0" collapsed="false">
      <c r="A110" s="0" t="s">
        <v>696</v>
      </c>
      <c r="B110" s="0" t="s">
        <v>67</v>
      </c>
      <c r="C110" s="0" t="s">
        <v>221</v>
      </c>
      <c r="D110" s="0" t="s">
        <v>571</v>
      </c>
      <c r="E110" s="0" t="s">
        <v>555</v>
      </c>
      <c r="F110" s="0" t="n">
        <v>213</v>
      </c>
      <c r="G110" s="0" t="n">
        <v>176.35</v>
      </c>
      <c r="H110" s="0" t="n">
        <v>101.91</v>
      </c>
      <c r="I110" s="0" t="n">
        <v>37562.55</v>
      </c>
      <c r="J110" s="0" t="n">
        <v>21706.83</v>
      </c>
      <c r="K110" s="0" t="n">
        <v>15855.72</v>
      </c>
    </row>
    <row r="111" customFormat="false" ht="15" hidden="false" customHeight="false" outlineLevel="0" collapsed="false">
      <c r="A111" s="0" t="s">
        <v>697</v>
      </c>
      <c r="B111" s="0" t="s">
        <v>67</v>
      </c>
      <c r="C111" s="0" t="s">
        <v>221</v>
      </c>
      <c r="D111" s="0" t="s">
        <v>573</v>
      </c>
      <c r="E111" s="0" t="s">
        <v>534</v>
      </c>
      <c r="F111" s="0" t="n">
        <v>132</v>
      </c>
      <c r="G111" s="0" t="n">
        <v>204.22</v>
      </c>
      <c r="H111" s="0" t="n">
        <v>139.86</v>
      </c>
      <c r="I111" s="0" t="n">
        <v>26957.04</v>
      </c>
      <c r="J111" s="0" t="n">
        <v>18461.52</v>
      </c>
      <c r="K111" s="0" t="n">
        <v>8495.52</v>
      </c>
    </row>
    <row r="112" customFormat="false" ht="15" hidden="false" customHeight="false" outlineLevel="0" collapsed="false">
      <c r="A112" s="0" t="s">
        <v>698</v>
      </c>
      <c r="B112" s="0" t="s">
        <v>67</v>
      </c>
      <c r="C112" s="0" t="s">
        <v>221</v>
      </c>
      <c r="D112" s="0" t="s">
        <v>575</v>
      </c>
      <c r="E112" s="0" t="s">
        <v>537</v>
      </c>
      <c r="F112" s="0" t="n">
        <v>107</v>
      </c>
      <c r="G112" s="0" t="n">
        <v>227.07</v>
      </c>
      <c r="H112" s="0" t="n">
        <v>164.2</v>
      </c>
      <c r="I112" s="0" t="n">
        <v>24296.49</v>
      </c>
      <c r="J112" s="0" t="n">
        <v>17569.4</v>
      </c>
      <c r="K112" s="0" t="n">
        <v>6727.09</v>
      </c>
    </row>
    <row r="113" customFormat="false" ht="15" hidden="false" customHeight="false" outlineLevel="0" collapsed="false">
      <c r="A113" s="0" t="s">
        <v>699</v>
      </c>
      <c r="B113" s="0" t="s">
        <v>67</v>
      </c>
      <c r="C113" s="0" t="s">
        <v>221</v>
      </c>
      <c r="D113" s="0" t="s">
        <v>577</v>
      </c>
      <c r="E113" s="0" t="s">
        <v>540</v>
      </c>
      <c r="F113" s="0" t="n">
        <v>411</v>
      </c>
      <c r="G113" s="0" t="n">
        <v>284.86</v>
      </c>
      <c r="H113" s="0" t="n">
        <v>167.48</v>
      </c>
      <c r="I113" s="0" t="n">
        <v>117077.46</v>
      </c>
      <c r="J113" s="0" t="n">
        <v>68834.28</v>
      </c>
      <c r="K113" s="0" t="n">
        <v>48243.18</v>
      </c>
    </row>
    <row r="114" customFormat="false" ht="15" hidden="false" customHeight="false" outlineLevel="0" collapsed="false">
      <c r="A114" s="0" t="s">
        <v>700</v>
      </c>
      <c r="B114" s="0" t="s">
        <v>67</v>
      </c>
      <c r="C114" s="0" t="s">
        <v>221</v>
      </c>
      <c r="D114" s="0" t="s">
        <v>579</v>
      </c>
      <c r="E114" s="0" t="s">
        <v>543</v>
      </c>
      <c r="F114" s="0" t="n">
        <v>311</v>
      </c>
      <c r="G114" s="0" t="n">
        <v>312.56</v>
      </c>
      <c r="H114" s="0" t="n">
        <v>204.29</v>
      </c>
      <c r="I114" s="0" t="n">
        <v>97206.16</v>
      </c>
      <c r="J114" s="0" t="n">
        <v>63534.19</v>
      </c>
      <c r="K114" s="0" t="n">
        <v>33671.97</v>
      </c>
    </row>
    <row r="115" customFormat="false" ht="15" hidden="false" customHeight="false" outlineLevel="0" collapsed="false">
      <c r="A115" s="0" t="s">
        <v>701</v>
      </c>
      <c r="B115" s="0" t="s">
        <v>67</v>
      </c>
      <c r="C115" s="0" t="s">
        <v>221</v>
      </c>
      <c r="D115" s="0" t="s">
        <v>581</v>
      </c>
      <c r="E115" s="0" t="s">
        <v>546</v>
      </c>
      <c r="F115" s="0" t="n">
        <v>89</v>
      </c>
      <c r="G115" s="0" t="n">
        <v>99.5</v>
      </c>
      <c r="H115" s="0" t="n">
        <v>71.92</v>
      </c>
      <c r="I115" s="0" t="n">
        <v>8855.5</v>
      </c>
      <c r="J115" s="0" t="n">
        <v>6400.88</v>
      </c>
      <c r="K115" s="0" t="n">
        <v>2454.62</v>
      </c>
    </row>
    <row r="116" customFormat="false" ht="15" hidden="false" customHeight="false" outlineLevel="0" collapsed="false">
      <c r="A116" s="0" t="s">
        <v>702</v>
      </c>
      <c r="B116" s="0" t="s">
        <v>67</v>
      </c>
      <c r="C116" s="0" t="s">
        <v>221</v>
      </c>
      <c r="D116" s="0" t="s">
        <v>583</v>
      </c>
      <c r="E116" s="0" t="s">
        <v>549</v>
      </c>
      <c r="F116" s="0" t="n">
        <v>438</v>
      </c>
      <c r="G116" s="0" t="n">
        <v>146.09</v>
      </c>
      <c r="H116" s="0" t="n">
        <v>84.09</v>
      </c>
      <c r="I116" s="0" t="n">
        <v>63987.42</v>
      </c>
      <c r="J116" s="0" t="n">
        <v>36831.42</v>
      </c>
      <c r="K116" s="0" t="n">
        <v>27156</v>
      </c>
    </row>
    <row r="117" customFormat="false" ht="15" hidden="false" customHeight="false" outlineLevel="0" collapsed="false">
      <c r="A117" s="0" t="s">
        <v>703</v>
      </c>
      <c r="B117" s="0" t="s">
        <v>67</v>
      </c>
      <c r="C117" s="0" t="s">
        <v>221</v>
      </c>
      <c r="D117" s="0" t="s">
        <v>585</v>
      </c>
      <c r="E117" s="0" t="s">
        <v>552</v>
      </c>
      <c r="F117" s="0" t="n">
        <v>274</v>
      </c>
      <c r="G117" s="0" t="n">
        <v>183.49</v>
      </c>
      <c r="H117" s="0" t="n">
        <v>109.51</v>
      </c>
      <c r="I117" s="0" t="n">
        <v>50276.26</v>
      </c>
      <c r="J117" s="0" t="n">
        <v>30005.74</v>
      </c>
      <c r="K117" s="0" t="n">
        <v>20270.52</v>
      </c>
    </row>
    <row r="118" customFormat="false" ht="15" hidden="false" customHeight="false" outlineLevel="0" collapsed="false">
      <c r="A118" s="0" t="s">
        <v>704</v>
      </c>
      <c r="B118" s="0" t="s">
        <v>67</v>
      </c>
      <c r="C118" s="0" t="s">
        <v>221</v>
      </c>
      <c r="D118" s="0" t="s">
        <v>587</v>
      </c>
      <c r="E118" s="0" t="s">
        <v>555</v>
      </c>
      <c r="F118" s="0" t="n">
        <v>150</v>
      </c>
      <c r="G118" s="0" t="n">
        <v>156.7</v>
      </c>
      <c r="H118" s="0" t="n">
        <v>96.36</v>
      </c>
      <c r="I118" s="0" t="n">
        <v>23505</v>
      </c>
      <c r="J118" s="0" t="n">
        <v>14454</v>
      </c>
      <c r="K118" s="0" t="n">
        <v>9051</v>
      </c>
    </row>
    <row r="119" customFormat="false" ht="15" hidden="false" customHeight="false" outlineLevel="0" collapsed="false">
      <c r="A119" s="0" t="s">
        <v>705</v>
      </c>
      <c r="B119" s="0" t="s">
        <v>67</v>
      </c>
      <c r="C119" s="0" t="s">
        <v>221</v>
      </c>
      <c r="D119" s="0" t="s">
        <v>589</v>
      </c>
      <c r="E119" s="0" t="s">
        <v>534</v>
      </c>
      <c r="F119" s="0" t="n">
        <v>105</v>
      </c>
      <c r="G119" s="0" t="n">
        <v>211.44</v>
      </c>
      <c r="H119" s="0" t="n">
        <v>130.05</v>
      </c>
      <c r="I119" s="0" t="n">
        <v>22201.2</v>
      </c>
      <c r="J119" s="0" t="n">
        <v>13655.25</v>
      </c>
      <c r="K119" s="0" t="n">
        <v>8545.95</v>
      </c>
    </row>
    <row r="120" customFormat="false" ht="15" hidden="false" customHeight="false" outlineLevel="0" collapsed="false">
      <c r="A120" s="0" t="s">
        <v>706</v>
      </c>
      <c r="B120" s="0" t="s">
        <v>67</v>
      </c>
      <c r="C120" s="0" t="s">
        <v>221</v>
      </c>
      <c r="D120" s="0" t="s">
        <v>591</v>
      </c>
      <c r="E120" s="0" t="s">
        <v>537</v>
      </c>
      <c r="F120" s="0" t="n">
        <v>212</v>
      </c>
      <c r="G120" s="0" t="n">
        <v>249.06</v>
      </c>
      <c r="H120" s="0" t="n">
        <v>156.38</v>
      </c>
      <c r="I120" s="0" t="n">
        <v>52800.72</v>
      </c>
      <c r="J120" s="0" t="n">
        <v>33152.56</v>
      </c>
      <c r="K120" s="0" t="n">
        <v>19648.16</v>
      </c>
    </row>
    <row r="121" customFormat="false" ht="15" hidden="false" customHeight="false" outlineLevel="0" collapsed="false">
      <c r="A121" s="0" t="s">
        <v>707</v>
      </c>
      <c r="B121" s="0" t="s">
        <v>67</v>
      </c>
      <c r="C121" s="0" t="s">
        <v>221</v>
      </c>
      <c r="D121" s="0" t="s">
        <v>593</v>
      </c>
      <c r="E121" s="0" t="s">
        <v>540</v>
      </c>
      <c r="F121" s="0" t="n">
        <v>371</v>
      </c>
      <c r="G121" s="0" t="n">
        <v>281.38</v>
      </c>
      <c r="H121" s="0" t="n">
        <v>172.5</v>
      </c>
      <c r="I121" s="0" t="n">
        <v>104391.98</v>
      </c>
      <c r="J121" s="0" t="n">
        <v>63997.5</v>
      </c>
      <c r="K121" s="0" t="n">
        <v>40394.48</v>
      </c>
    </row>
    <row r="122" customFormat="false" ht="15" hidden="false" customHeight="false" outlineLevel="0" collapsed="false">
      <c r="A122" s="0" t="s">
        <v>708</v>
      </c>
      <c r="B122" s="0" t="s">
        <v>67</v>
      </c>
      <c r="C122" s="0" t="s">
        <v>221</v>
      </c>
      <c r="D122" s="0" t="s">
        <v>595</v>
      </c>
      <c r="E122" s="0" t="s">
        <v>543</v>
      </c>
      <c r="F122" s="0" t="n">
        <v>402</v>
      </c>
      <c r="G122" s="0" t="n">
        <v>320.92</v>
      </c>
      <c r="H122" s="0" t="n">
        <v>216.36</v>
      </c>
      <c r="I122" s="0" t="n">
        <v>129009.84</v>
      </c>
      <c r="J122" s="0" t="n">
        <v>86976.72</v>
      </c>
      <c r="K122" s="0" t="n">
        <v>42033.12</v>
      </c>
    </row>
    <row r="123" customFormat="false" ht="15" hidden="false" customHeight="false" outlineLevel="0" collapsed="false">
      <c r="A123" s="0" t="s">
        <v>709</v>
      </c>
      <c r="B123" s="0" t="s">
        <v>67</v>
      </c>
      <c r="C123" s="0" t="s">
        <v>221</v>
      </c>
      <c r="D123" s="0" t="s">
        <v>597</v>
      </c>
      <c r="E123" s="0" t="s">
        <v>546</v>
      </c>
      <c r="F123" s="0" t="n">
        <v>206</v>
      </c>
      <c r="G123" s="0" t="n">
        <v>110.26</v>
      </c>
      <c r="H123" s="0" t="n">
        <v>72.17</v>
      </c>
      <c r="I123" s="0" t="n">
        <v>22713.56</v>
      </c>
      <c r="J123" s="0" t="n">
        <v>14867.02</v>
      </c>
      <c r="K123" s="0" t="n">
        <v>7846.54</v>
      </c>
    </row>
    <row r="124" customFormat="false" ht="15" hidden="false" customHeight="false" outlineLevel="0" collapsed="false">
      <c r="A124" s="0" t="s">
        <v>710</v>
      </c>
      <c r="B124" s="0" t="s">
        <v>67</v>
      </c>
      <c r="C124" s="0" t="s">
        <v>221</v>
      </c>
      <c r="D124" s="0" t="s">
        <v>599</v>
      </c>
      <c r="E124" s="0" t="s">
        <v>549</v>
      </c>
      <c r="F124" s="0" t="n">
        <v>175</v>
      </c>
      <c r="G124" s="0" t="n">
        <v>145.66</v>
      </c>
      <c r="H124" s="0" t="n">
        <v>78.96</v>
      </c>
      <c r="I124" s="0" t="n">
        <v>25490.5</v>
      </c>
      <c r="J124" s="0" t="n">
        <v>13818</v>
      </c>
      <c r="K124" s="0" t="n">
        <v>11672.5</v>
      </c>
    </row>
    <row r="125" customFormat="false" ht="15" hidden="false" customHeight="false" outlineLevel="0" collapsed="false">
      <c r="A125" s="0" t="s">
        <v>711</v>
      </c>
      <c r="B125" s="0" t="s">
        <v>67</v>
      </c>
      <c r="C125" s="0" t="s">
        <v>221</v>
      </c>
      <c r="D125" s="0" t="s">
        <v>601</v>
      </c>
      <c r="E125" s="0" t="s">
        <v>552</v>
      </c>
      <c r="F125" s="0" t="n">
        <v>255</v>
      </c>
      <c r="G125" s="0" t="n">
        <v>188.42</v>
      </c>
      <c r="H125" s="0" t="n">
        <v>113.05</v>
      </c>
      <c r="I125" s="0" t="n">
        <v>48047.1</v>
      </c>
      <c r="J125" s="0" t="n">
        <v>28827.75</v>
      </c>
      <c r="K125" s="0" t="n">
        <v>19219.35</v>
      </c>
    </row>
    <row r="126" customFormat="false" ht="15" hidden="false" customHeight="false" outlineLevel="0" collapsed="false">
      <c r="A126" s="0" t="s">
        <v>712</v>
      </c>
      <c r="B126" s="0" t="s">
        <v>67</v>
      </c>
      <c r="C126" s="0" t="s">
        <v>221</v>
      </c>
      <c r="D126" s="0" t="s">
        <v>603</v>
      </c>
      <c r="E126" s="0" t="s">
        <v>555</v>
      </c>
      <c r="F126" s="0" t="n">
        <v>427</v>
      </c>
      <c r="G126" s="0" t="n">
        <v>175.41</v>
      </c>
      <c r="H126" s="0" t="n">
        <v>101.5</v>
      </c>
      <c r="I126" s="0" t="n">
        <v>74900.07</v>
      </c>
      <c r="J126" s="0" t="n">
        <v>43340.5</v>
      </c>
      <c r="K126" s="0" t="n">
        <v>31559.57</v>
      </c>
    </row>
    <row r="127" customFormat="false" ht="15" hidden="false" customHeight="false" outlineLevel="0" collapsed="false">
      <c r="A127" s="0" t="s">
        <v>713</v>
      </c>
      <c r="B127" s="0" t="s">
        <v>67</v>
      </c>
      <c r="C127" s="0" t="s">
        <v>221</v>
      </c>
      <c r="D127" s="0" t="s">
        <v>605</v>
      </c>
      <c r="E127" s="0" t="s">
        <v>534</v>
      </c>
      <c r="F127" s="0" t="n">
        <v>221</v>
      </c>
      <c r="G127" s="0" t="n">
        <v>191.25</v>
      </c>
      <c r="H127" s="0" t="n">
        <v>137.83</v>
      </c>
      <c r="I127" s="0" t="n">
        <v>42266.25</v>
      </c>
      <c r="J127" s="0" t="n">
        <v>30460.43</v>
      </c>
      <c r="K127" s="0" t="n">
        <v>11805.82</v>
      </c>
    </row>
    <row r="128" customFormat="false" ht="15" hidden="false" customHeight="false" outlineLevel="0" collapsed="false">
      <c r="A128" s="0" t="s">
        <v>714</v>
      </c>
      <c r="B128" s="0" t="s">
        <v>67</v>
      </c>
      <c r="C128" s="0" t="s">
        <v>221</v>
      </c>
      <c r="D128" s="0" t="s">
        <v>607</v>
      </c>
      <c r="E128" s="0" t="s">
        <v>537</v>
      </c>
      <c r="F128" s="0" t="n">
        <v>280</v>
      </c>
      <c r="G128" s="0" t="n">
        <v>255.86</v>
      </c>
      <c r="H128" s="0" t="n">
        <v>165.83</v>
      </c>
      <c r="I128" s="0" t="n">
        <v>71640.8</v>
      </c>
      <c r="J128" s="0" t="n">
        <v>46432.4</v>
      </c>
      <c r="K128" s="0" t="n">
        <v>25208.4</v>
      </c>
    </row>
    <row r="129" customFormat="false" ht="15" hidden="false" customHeight="false" outlineLevel="0" collapsed="false">
      <c r="A129" s="0" t="s">
        <v>715</v>
      </c>
      <c r="B129" s="0" t="s">
        <v>67</v>
      </c>
      <c r="C129" s="0" t="s">
        <v>221</v>
      </c>
      <c r="D129" s="0" t="s">
        <v>609</v>
      </c>
      <c r="E129" s="0" t="s">
        <v>540</v>
      </c>
      <c r="F129" s="0" t="n">
        <v>198</v>
      </c>
      <c r="G129" s="0" t="n">
        <v>256.46</v>
      </c>
      <c r="H129" s="0" t="n">
        <v>183.01</v>
      </c>
      <c r="I129" s="0" t="n">
        <v>50779.08</v>
      </c>
      <c r="J129" s="0" t="n">
        <v>36235.98</v>
      </c>
      <c r="K129" s="0" t="n">
        <v>14543.1</v>
      </c>
    </row>
    <row r="130" customFormat="false" ht="15" hidden="false" customHeight="false" outlineLevel="0" collapsed="false">
      <c r="A130" s="0" t="s">
        <v>716</v>
      </c>
      <c r="B130" s="0" t="s">
        <v>67</v>
      </c>
      <c r="C130" s="0" t="s">
        <v>221</v>
      </c>
      <c r="D130" s="0" t="s">
        <v>611</v>
      </c>
      <c r="E130" s="0" t="s">
        <v>543</v>
      </c>
      <c r="F130" s="0" t="n">
        <v>264</v>
      </c>
      <c r="G130" s="0" t="n">
        <v>302.14</v>
      </c>
      <c r="H130" s="0" t="n">
        <v>213.2</v>
      </c>
      <c r="I130" s="0" t="n">
        <v>79764.96</v>
      </c>
      <c r="J130" s="0" t="n">
        <v>56284.8</v>
      </c>
      <c r="K130" s="0" t="n">
        <v>23480.16</v>
      </c>
    </row>
    <row r="131" customFormat="false" ht="15" hidden="false" customHeight="false" outlineLevel="0" collapsed="false">
      <c r="A131" s="0" t="s">
        <v>717</v>
      </c>
      <c r="B131" s="0" t="s">
        <v>67</v>
      </c>
      <c r="C131" s="0" t="s">
        <v>221</v>
      </c>
      <c r="D131" s="0" t="s">
        <v>628</v>
      </c>
      <c r="E131" s="0" t="s">
        <v>546</v>
      </c>
      <c r="F131" s="0" t="n">
        <v>201</v>
      </c>
      <c r="G131" s="0" t="n">
        <v>101.09</v>
      </c>
      <c r="H131" s="0" t="n">
        <v>69.63</v>
      </c>
      <c r="I131" s="0" t="n">
        <v>20319.09</v>
      </c>
      <c r="J131" s="0" t="n">
        <v>13995.63</v>
      </c>
      <c r="K131" s="0" t="n">
        <v>6323.46</v>
      </c>
    </row>
    <row r="132" customFormat="false" ht="15" hidden="false" customHeight="false" outlineLevel="0" collapsed="false">
      <c r="A132" s="0" t="s">
        <v>718</v>
      </c>
      <c r="B132" s="0" t="s">
        <v>67</v>
      </c>
      <c r="C132" s="0" t="s">
        <v>221</v>
      </c>
      <c r="D132" s="0" t="s">
        <v>630</v>
      </c>
      <c r="E132" s="0" t="s">
        <v>549</v>
      </c>
      <c r="F132" s="0" t="n">
        <v>289</v>
      </c>
      <c r="G132" s="0" t="n">
        <v>135.24</v>
      </c>
      <c r="H132" s="0" t="n">
        <v>87.23</v>
      </c>
      <c r="I132" s="0" t="n">
        <v>39084.36</v>
      </c>
      <c r="J132" s="0" t="n">
        <v>25209.47</v>
      </c>
      <c r="K132" s="0" t="n">
        <v>13874.89</v>
      </c>
    </row>
    <row r="133" customFormat="false" ht="15" hidden="false" customHeight="false" outlineLevel="0" collapsed="false">
      <c r="A133" s="0" t="s">
        <v>719</v>
      </c>
      <c r="B133" s="0" t="s">
        <v>67</v>
      </c>
      <c r="C133" s="0" t="s">
        <v>221</v>
      </c>
      <c r="D133" s="0" t="s">
        <v>632</v>
      </c>
      <c r="E133" s="0" t="s">
        <v>552</v>
      </c>
      <c r="F133" s="0" t="n">
        <v>227</v>
      </c>
      <c r="G133" s="0" t="n">
        <v>177.77</v>
      </c>
      <c r="H133" s="0" t="n">
        <v>114.37</v>
      </c>
      <c r="I133" s="0" t="n">
        <v>40353.79</v>
      </c>
      <c r="J133" s="0" t="n">
        <v>25961.99</v>
      </c>
      <c r="K133" s="0" t="n">
        <v>14391.8</v>
      </c>
    </row>
    <row r="134" customFormat="false" ht="15" hidden="false" customHeight="false" outlineLevel="0" collapsed="false">
      <c r="A134" s="0" t="s">
        <v>720</v>
      </c>
      <c r="B134" s="0" t="s">
        <v>67</v>
      </c>
      <c r="C134" s="0" t="s">
        <v>221</v>
      </c>
      <c r="D134" s="0" t="s">
        <v>634</v>
      </c>
      <c r="E134" s="0" t="s">
        <v>555</v>
      </c>
      <c r="F134" s="0" t="n">
        <v>432</v>
      </c>
      <c r="G134" s="0" t="n">
        <v>178.07</v>
      </c>
      <c r="H134" s="0" t="n">
        <v>98.34</v>
      </c>
      <c r="I134" s="0" t="n">
        <v>76926.24</v>
      </c>
      <c r="J134" s="0" t="n">
        <v>42482.88</v>
      </c>
      <c r="K134" s="0" t="n">
        <v>34443.36</v>
      </c>
    </row>
    <row r="135" customFormat="false" ht="15" hidden="false" customHeight="false" outlineLevel="0" collapsed="false">
      <c r="A135" s="0" t="s">
        <v>721</v>
      </c>
      <c r="B135" s="0" t="s">
        <v>67</v>
      </c>
      <c r="C135" s="0" t="s">
        <v>221</v>
      </c>
      <c r="D135" s="0" t="s">
        <v>636</v>
      </c>
      <c r="E135" s="0" t="s">
        <v>534</v>
      </c>
      <c r="F135" s="0" t="n">
        <v>99</v>
      </c>
      <c r="G135" s="0" t="n">
        <v>190.05</v>
      </c>
      <c r="H135" s="0" t="n">
        <v>142.09</v>
      </c>
      <c r="I135" s="0" t="n">
        <v>18814.95</v>
      </c>
      <c r="J135" s="0" t="n">
        <v>14066.91</v>
      </c>
      <c r="K135" s="0" t="n">
        <v>4748.04</v>
      </c>
    </row>
    <row r="136" customFormat="false" ht="15" hidden="false" customHeight="false" outlineLevel="0" collapsed="false">
      <c r="A136" s="0" t="s">
        <v>722</v>
      </c>
      <c r="B136" s="0" t="s">
        <v>67</v>
      </c>
      <c r="C136" s="0" t="s">
        <v>221</v>
      </c>
      <c r="D136" s="0" t="s">
        <v>638</v>
      </c>
      <c r="E136" s="0" t="s">
        <v>537</v>
      </c>
      <c r="F136" s="0" t="n">
        <v>176</v>
      </c>
      <c r="G136" s="0" t="n">
        <v>246.2</v>
      </c>
      <c r="H136" s="0" t="n">
        <v>168.17</v>
      </c>
      <c r="I136" s="0" t="n">
        <v>43331.2</v>
      </c>
      <c r="J136" s="0" t="n">
        <v>29597.92</v>
      </c>
      <c r="K136" s="0" t="n">
        <v>13733.28</v>
      </c>
    </row>
    <row r="137" customFormat="false" ht="15" hidden="false" customHeight="false" outlineLevel="0" collapsed="false">
      <c r="A137" s="0" t="s">
        <v>723</v>
      </c>
      <c r="B137" s="0" t="s">
        <v>67</v>
      </c>
      <c r="C137" s="0" t="s">
        <v>221</v>
      </c>
      <c r="D137" s="0" t="s">
        <v>640</v>
      </c>
      <c r="E137" s="0" t="s">
        <v>540</v>
      </c>
      <c r="F137" s="0" t="n">
        <v>104</v>
      </c>
      <c r="G137" s="0" t="n">
        <v>253.15</v>
      </c>
      <c r="H137" s="0" t="n">
        <v>173.08</v>
      </c>
      <c r="I137" s="0" t="n">
        <v>26327.6</v>
      </c>
      <c r="J137" s="0" t="n">
        <v>18000.32</v>
      </c>
      <c r="K137" s="0" t="n">
        <v>8327.28</v>
      </c>
    </row>
    <row r="138" customFormat="false" ht="15" hidden="false" customHeight="false" outlineLevel="0" collapsed="false">
      <c r="A138" s="0" t="s">
        <v>724</v>
      </c>
      <c r="B138" s="0" t="s">
        <v>67</v>
      </c>
      <c r="C138" s="0" t="s">
        <v>221</v>
      </c>
      <c r="D138" s="0" t="s">
        <v>642</v>
      </c>
      <c r="E138" s="0" t="s">
        <v>543</v>
      </c>
      <c r="F138" s="0" t="n">
        <v>458</v>
      </c>
      <c r="G138" s="0" t="n">
        <v>322.48</v>
      </c>
      <c r="H138" s="0" t="n">
        <v>204.5</v>
      </c>
      <c r="I138" s="0" t="n">
        <v>147695.84</v>
      </c>
      <c r="J138" s="0" t="n">
        <v>93661</v>
      </c>
      <c r="K138" s="0" t="n">
        <v>54034.84</v>
      </c>
    </row>
    <row r="139" customFormat="false" ht="15" hidden="false" customHeight="false" outlineLevel="0" collapsed="false">
      <c r="A139" s="0" t="s">
        <v>725</v>
      </c>
      <c r="B139" s="0" t="s">
        <v>67</v>
      </c>
      <c r="C139" s="0" t="s">
        <v>221</v>
      </c>
      <c r="D139" s="0" t="s">
        <v>644</v>
      </c>
      <c r="E139" s="0" t="s">
        <v>546</v>
      </c>
      <c r="F139" s="0" t="n">
        <v>346</v>
      </c>
      <c r="G139" s="0" t="n">
        <v>99.55</v>
      </c>
      <c r="H139" s="0" t="n">
        <v>71.55</v>
      </c>
      <c r="I139" s="0" t="n">
        <v>34444.3</v>
      </c>
      <c r="J139" s="0" t="n">
        <v>24756.3</v>
      </c>
      <c r="K139" s="0" t="n">
        <v>9688</v>
      </c>
    </row>
    <row r="140" customFormat="false" ht="15" hidden="false" customHeight="false" outlineLevel="0" collapsed="false">
      <c r="A140" s="0" t="s">
        <v>726</v>
      </c>
      <c r="B140" s="0" t="s">
        <v>67</v>
      </c>
      <c r="C140" s="0" t="s">
        <v>221</v>
      </c>
      <c r="D140" s="0" t="s">
        <v>646</v>
      </c>
      <c r="E140" s="0" t="s">
        <v>549</v>
      </c>
      <c r="F140" s="0" t="n">
        <v>182</v>
      </c>
      <c r="G140" s="0" t="n">
        <v>133.85</v>
      </c>
      <c r="H140" s="0" t="n">
        <v>85.69</v>
      </c>
      <c r="I140" s="0" t="n">
        <v>24360.7</v>
      </c>
      <c r="J140" s="0" t="n">
        <v>15595.58</v>
      </c>
      <c r="K140" s="0" t="n">
        <v>8765.12</v>
      </c>
    </row>
    <row r="141" customFormat="false" ht="15" hidden="false" customHeight="false" outlineLevel="0" collapsed="false">
      <c r="A141" s="0" t="s">
        <v>727</v>
      </c>
      <c r="B141" s="0" t="s">
        <v>67</v>
      </c>
      <c r="C141" s="0" t="s">
        <v>221</v>
      </c>
      <c r="D141" s="0" t="s">
        <v>648</v>
      </c>
      <c r="E141" s="0" t="s">
        <v>552</v>
      </c>
      <c r="F141" s="0" t="n">
        <v>85</v>
      </c>
      <c r="G141" s="0" t="n">
        <v>181.94</v>
      </c>
      <c r="H141" s="0" t="n">
        <v>118.36</v>
      </c>
      <c r="I141" s="0" t="n">
        <v>15464.9</v>
      </c>
      <c r="J141" s="0" t="n">
        <v>10060.6</v>
      </c>
      <c r="K141" s="0" t="n">
        <v>5404.3</v>
      </c>
    </row>
    <row r="142" customFormat="false" ht="15" hidden="false" customHeight="false" outlineLevel="0" collapsed="false">
      <c r="A142" s="0" t="s">
        <v>728</v>
      </c>
      <c r="B142" s="0" t="s">
        <v>67</v>
      </c>
      <c r="C142" s="0" t="s">
        <v>221</v>
      </c>
      <c r="D142" s="0" t="s">
        <v>650</v>
      </c>
      <c r="E142" s="0" t="s">
        <v>555</v>
      </c>
      <c r="F142" s="0" t="n">
        <v>436</v>
      </c>
      <c r="G142" s="0" t="n">
        <v>172.12</v>
      </c>
      <c r="H142" s="0" t="n">
        <v>100.71</v>
      </c>
      <c r="I142" s="0" t="n">
        <v>75044.32</v>
      </c>
      <c r="J142" s="0" t="n">
        <v>43909.56</v>
      </c>
      <c r="K142" s="0" t="n">
        <v>31134.76</v>
      </c>
    </row>
    <row r="143" customFormat="false" ht="15" hidden="false" customHeight="false" outlineLevel="0" collapsed="false">
      <c r="A143" s="0" t="s">
        <v>729</v>
      </c>
      <c r="B143" s="0" t="s">
        <v>67</v>
      </c>
      <c r="C143" s="0" t="s">
        <v>221</v>
      </c>
      <c r="D143" s="0" t="s">
        <v>533</v>
      </c>
      <c r="E143" s="0" t="s">
        <v>534</v>
      </c>
      <c r="F143" s="0" t="n">
        <v>428</v>
      </c>
      <c r="G143" s="0" t="n">
        <v>192.28</v>
      </c>
      <c r="H143" s="0" t="n">
        <v>133.55</v>
      </c>
      <c r="I143" s="0" t="n">
        <v>82295.84</v>
      </c>
      <c r="J143" s="0" t="n">
        <v>57159.4</v>
      </c>
      <c r="K143" s="0" t="n">
        <v>25136.44</v>
      </c>
    </row>
    <row r="144" customFormat="false" ht="15" hidden="false" customHeight="false" outlineLevel="0" collapsed="false">
      <c r="A144" s="0" t="s">
        <v>730</v>
      </c>
      <c r="B144" s="0" t="s">
        <v>67</v>
      </c>
      <c r="C144" s="0" t="s">
        <v>221</v>
      </c>
      <c r="D144" s="0" t="s">
        <v>536</v>
      </c>
      <c r="E144" s="0" t="s">
        <v>537</v>
      </c>
      <c r="F144" s="0" t="n">
        <v>425</v>
      </c>
      <c r="G144" s="0" t="n">
        <v>257.47</v>
      </c>
      <c r="H144" s="0" t="n">
        <v>161.43</v>
      </c>
      <c r="I144" s="0" t="n">
        <v>109424.75</v>
      </c>
      <c r="J144" s="0" t="n">
        <v>68607.75</v>
      </c>
      <c r="K144" s="0" t="n">
        <v>40817</v>
      </c>
    </row>
    <row r="145" customFormat="false" ht="15" hidden="false" customHeight="false" outlineLevel="0" collapsed="false">
      <c r="A145" s="0" t="s">
        <v>731</v>
      </c>
      <c r="B145" s="0" t="s">
        <v>67</v>
      </c>
      <c r="C145" s="0" t="s">
        <v>221</v>
      </c>
      <c r="D145" s="0" t="s">
        <v>539</v>
      </c>
      <c r="E145" s="0" t="s">
        <v>540</v>
      </c>
      <c r="F145" s="0" t="n">
        <v>424</v>
      </c>
      <c r="G145" s="0" t="n">
        <v>280.07</v>
      </c>
      <c r="H145" s="0" t="n">
        <v>178.93</v>
      </c>
      <c r="I145" s="0" t="n">
        <v>118749.68</v>
      </c>
      <c r="J145" s="0" t="n">
        <v>75866.32</v>
      </c>
      <c r="K145" s="0" t="n">
        <v>42883.36</v>
      </c>
    </row>
    <row r="146" customFormat="false" ht="15" hidden="false" customHeight="false" outlineLevel="0" collapsed="false">
      <c r="A146" s="0" t="s">
        <v>732</v>
      </c>
      <c r="B146" s="0" t="s">
        <v>68</v>
      </c>
      <c r="C146" s="0" t="s">
        <v>221</v>
      </c>
      <c r="D146" s="0" t="s">
        <v>628</v>
      </c>
      <c r="E146" s="0" t="s">
        <v>546</v>
      </c>
      <c r="F146" s="0" t="n">
        <v>238</v>
      </c>
      <c r="G146" s="0" t="n">
        <v>105.15</v>
      </c>
      <c r="H146" s="0" t="n">
        <v>69.68</v>
      </c>
      <c r="I146" s="0" t="n">
        <v>25025.7</v>
      </c>
      <c r="J146" s="0" t="n">
        <v>16583.84</v>
      </c>
      <c r="K146" s="0" t="n">
        <v>8441.86</v>
      </c>
    </row>
    <row r="147" customFormat="false" ht="15" hidden="false" customHeight="false" outlineLevel="0" collapsed="false">
      <c r="A147" s="0" t="s">
        <v>733</v>
      </c>
      <c r="B147" s="0" t="s">
        <v>68</v>
      </c>
      <c r="C147" s="0" t="s">
        <v>221</v>
      </c>
      <c r="D147" s="0" t="s">
        <v>630</v>
      </c>
      <c r="E147" s="0" t="s">
        <v>549</v>
      </c>
      <c r="F147" s="0" t="n">
        <v>252</v>
      </c>
      <c r="G147" s="0" t="n">
        <v>136.64</v>
      </c>
      <c r="H147" s="0" t="n">
        <v>81.63</v>
      </c>
      <c r="I147" s="0" t="n">
        <v>34433.28</v>
      </c>
      <c r="J147" s="0" t="n">
        <v>20570.76</v>
      </c>
      <c r="K147" s="0" t="n">
        <v>13862.52</v>
      </c>
    </row>
    <row r="148" customFormat="false" ht="15" hidden="false" customHeight="false" outlineLevel="0" collapsed="false">
      <c r="A148" s="0" t="s">
        <v>734</v>
      </c>
      <c r="B148" s="0" t="s">
        <v>68</v>
      </c>
      <c r="C148" s="0" t="s">
        <v>221</v>
      </c>
      <c r="D148" s="0" t="s">
        <v>632</v>
      </c>
      <c r="E148" s="0" t="s">
        <v>552</v>
      </c>
      <c r="F148" s="0" t="n">
        <v>150</v>
      </c>
      <c r="G148" s="0" t="n">
        <v>173.84</v>
      </c>
      <c r="H148" s="0" t="n">
        <v>116.46</v>
      </c>
      <c r="I148" s="0" t="n">
        <v>26076</v>
      </c>
      <c r="J148" s="0" t="n">
        <v>17469</v>
      </c>
      <c r="K148" s="0" t="n">
        <v>8607</v>
      </c>
    </row>
    <row r="149" customFormat="false" ht="15" hidden="false" customHeight="false" outlineLevel="0" collapsed="false">
      <c r="A149" s="0" t="s">
        <v>735</v>
      </c>
      <c r="B149" s="0" t="s">
        <v>68</v>
      </c>
      <c r="C149" s="0" t="s">
        <v>221</v>
      </c>
      <c r="D149" s="0" t="s">
        <v>634</v>
      </c>
      <c r="E149" s="0" t="s">
        <v>555</v>
      </c>
      <c r="F149" s="0" t="n">
        <v>279</v>
      </c>
      <c r="G149" s="0" t="n">
        <v>171.16</v>
      </c>
      <c r="H149" s="0" t="n">
        <v>102.56</v>
      </c>
      <c r="I149" s="0" t="n">
        <v>47753.64</v>
      </c>
      <c r="J149" s="0" t="n">
        <v>28614.24</v>
      </c>
      <c r="K149" s="0" t="n">
        <v>19139.4</v>
      </c>
    </row>
    <row r="150" customFormat="false" ht="15" hidden="false" customHeight="false" outlineLevel="0" collapsed="false">
      <c r="A150" s="0" t="s">
        <v>736</v>
      </c>
      <c r="B150" s="0" t="s">
        <v>68</v>
      </c>
      <c r="C150" s="0" t="s">
        <v>221</v>
      </c>
      <c r="D150" s="0" t="s">
        <v>636</v>
      </c>
      <c r="E150" s="0" t="s">
        <v>534</v>
      </c>
      <c r="F150" s="0" t="n">
        <v>400</v>
      </c>
      <c r="G150" s="0" t="n">
        <v>202.44</v>
      </c>
      <c r="H150" s="0" t="n">
        <v>133.15</v>
      </c>
      <c r="I150" s="0" t="n">
        <v>80976</v>
      </c>
      <c r="J150" s="0" t="n">
        <v>53260</v>
      </c>
      <c r="K150" s="0" t="n">
        <v>27716</v>
      </c>
    </row>
    <row r="151" customFormat="false" ht="15" hidden="false" customHeight="false" outlineLevel="0" collapsed="false">
      <c r="A151" s="0" t="s">
        <v>737</v>
      </c>
      <c r="B151" s="0" t="s">
        <v>68</v>
      </c>
      <c r="C151" s="0" t="s">
        <v>221</v>
      </c>
      <c r="D151" s="0" t="s">
        <v>638</v>
      </c>
      <c r="E151" s="0" t="s">
        <v>537</v>
      </c>
      <c r="F151" s="0" t="n">
        <v>85</v>
      </c>
      <c r="G151" s="0" t="n">
        <v>237.02</v>
      </c>
      <c r="H151" s="0" t="n">
        <v>153.69</v>
      </c>
      <c r="I151" s="0" t="n">
        <v>20146.7</v>
      </c>
      <c r="J151" s="0" t="n">
        <v>13063.65</v>
      </c>
      <c r="K151" s="0" t="n">
        <v>7083.05</v>
      </c>
    </row>
    <row r="152" customFormat="false" ht="15" hidden="false" customHeight="false" outlineLevel="0" collapsed="false">
      <c r="A152" s="0" t="s">
        <v>738</v>
      </c>
      <c r="B152" s="0" t="s">
        <v>68</v>
      </c>
      <c r="C152" s="0" t="s">
        <v>221</v>
      </c>
      <c r="D152" s="0" t="s">
        <v>640</v>
      </c>
      <c r="E152" s="0" t="s">
        <v>540</v>
      </c>
      <c r="F152" s="0" t="n">
        <v>381</v>
      </c>
      <c r="G152" s="0" t="n">
        <v>271.28</v>
      </c>
      <c r="H152" s="0" t="n">
        <v>170.77</v>
      </c>
      <c r="I152" s="0" t="n">
        <v>103357.68</v>
      </c>
      <c r="J152" s="0" t="n">
        <v>65063.37</v>
      </c>
      <c r="K152" s="0" t="n">
        <v>38294.31</v>
      </c>
    </row>
    <row r="153" customFormat="false" ht="15" hidden="false" customHeight="false" outlineLevel="0" collapsed="false">
      <c r="A153" s="0" t="s">
        <v>739</v>
      </c>
      <c r="B153" s="0" t="s">
        <v>68</v>
      </c>
      <c r="C153" s="0" t="s">
        <v>221</v>
      </c>
      <c r="D153" s="0" t="s">
        <v>642</v>
      </c>
      <c r="E153" s="0" t="s">
        <v>543</v>
      </c>
      <c r="F153" s="0" t="n">
        <v>311</v>
      </c>
      <c r="G153" s="0" t="n">
        <v>307.93</v>
      </c>
      <c r="H153" s="0" t="n">
        <v>199.1</v>
      </c>
      <c r="I153" s="0" t="n">
        <v>95766.23</v>
      </c>
      <c r="J153" s="0" t="n">
        <v>61920.1</v>
      </c>
      <c r="K153" s="0" t="n">
        <v>33846.13</v>
      </c>
    </row>
    <row r="154" customFormat="false" ht="15" hidden="false" customHeight="false" outlineLevel="0" collapsed="false">
      <c r="A154" s="0" t="s">
        <v>740</v>
      </c>
      <c r="B154" s="0" t="s">
        <v>68</v>
      </c>
      <c r="C154" s="0" t="s">
        <v>221</v>
      </c>
      <c r="D154" s="0" t="s">
        <v>644</v>
      </c>
      <c r="E154" s="0" t="s">
        <v>546</v>
      </c>
      <c r="F154" s="0" t="n">
        <v>327</v>
      </c>
      <c r="G154" s="0" t="n">
        <v>109.25</v>
      </c>
      <c r="H154" s="0" t="n">
        <v>72.04</v>
      </c>
      <c r="I154" s="0" t="n">
        <v>35724.75</v>
      </c>
      <c r="J154" s="0" t="n">
        <v>23557.08</v>
      </c>
      <c r="K154" s="0" t="n">
        <v>12167.67</v>
      </c>
    </row>
    <row r="155" customFormat="false" ht="15" hidden="false" customHeight="false" outlineLevel="0" collapsed="false">
      <c r="A155" s="0" t="s">
        <v>741</v>
      </c>
      <c r="B155" s="0" t="s">
        <v>68</v>
      </c>
      <c r="C155" s="0" t="s">
        <v>221</v>
      </c>
      <c r="D155" s="0" t="s">
        <v>646</v>
      </c>
      <c r="E155" s="0" t="s">
        <v>549</v>
      </c>
      <c r="F155" s="0" t="n">
        <v>171</v>
      </c>
      <c r="G155" s="0" t="n">
        <v>141.47</v>
      </c>
      <c r="H155" s="0" t="n">
        <v>81.51</v>
      </c>
      <c r="I155" s="0" t="n">
        <v>24191.37</v>
      </c>
      <c r="J155" s="0" t="n">
        <v>13938.21</v>
      </c>
      <c r="K155" s="0" t="n">
        <v>10253.16</v>
      </c>
    </row>
    <row r="156" customFormat="false" ht="15" hidden="false" customHeight="false" outlineLevel="0" collapsed="false">
      <c r="A156" s="0" t="s">
        <v>742</v>
      </c>
      <c r="B156" s="0" t="s">
        <v>68</v>
      </c>
      <c r="C156" s="0" t="s">
        <v>221</v>
      </c>
      <c r="D156" s="0" t="s">
        <v>648</v>
      </c>
      <c r="E156" s="0" t="s">
        <v>552</v>
      </c>
      <c r="F156" s="0" t="n">
        <v>424</v>
      </c>
      <c r="G156" s="0" t="n">
        <v>184.73</v>
      </c>
      <c r="H156" s="0" t="n">
        <v>112.02</v>
      </c>
      <c r="I156" s="0" t="n">
        <v>78325.52</v>
      </c>
      <c r="J156" s="0" t="n">
        <v>47496.48</v>
      </c>
      <c r="K156" s="0" t="n">
        <v>30829.04</v>
      </c>
    </row>
    <row r="157" customFormat="false" ht="15" hidden="false" customHeight="false" outlineLevel="0" collapsed="false">
      <c r="A157" s="0" t="s">
        <v>743</v>
      </c>
      <c r="B157" s="0" t="s">
        <v>68</v>
      </c>
      <c r="C157" s="0" t="s">
        <v>221</v>
      </c>
      <c r="D157" s="0" t="s">
        <v>650</v>
      </c>
      <c r="E157" s="0" t="s">
        <v>555</v>
      </c>
      <c r="F157" s="0" t="n">
        <v>205</v>
      </c>
      <c r="G157" s="0" t="n">
        <v>171.06</v>
      </c>
      <c r="H157" s="0" t="n">
        <v>94.75</v>
      </c>
      <c r="I157" s="0" t="n">
        <v>35067.3</v>
      </c>
      <c r="J157" s="0" t="n">
        <v>19423.75</v>
      </c>
      <c r="K157" s="0" t="n">
        <v>15643.55</v>
      </c>
    </row>
    <row r="158" customFormat="false" ht="15" hidden="false" customHeight="false" outlineLevel="0" collapsed="false">
      <c r="A158" s="0" t="s">
        <v>744</v>
      </c>
      <c r="B158" s="0" t="s">
        <v>68</v>
      </c>
      <c r="C158" s="0" t="s">
        <v>221</v>
      </c>
      <c r="D158" s="0" t="s">
        <v>533</v>
      </c>
      <c r="E158" s="0" t="s">
        <v>534</v>
      </c>
      <c r="F158" s="0" t="n">
        <v>186</v>
      </c>
      <c r="G158" s="0" t="n">
        <v>190.92</v>
      </c>
      <c r="H158" s="0" t="n">
        <v>127.45</v>
      </c>
      <c r="I158" s="0" t="n">
        <v>35511.12</v>
      </c>
      <c r="J158" s="0" t="n">
        <v>23705.7</v>
      </c>
      <c r="K158" s="0" t="n">
        <v>11805.42</v>
      </c>
    </row>
    <row r="159" customFormat="false" ht="15" hidden="false" customHeight="false" outlineLevel="0" collapsed="false">
      <c r="A159" s="0" t="s">
        <v>745</v>
      </c>
      <c r="B159" s="0" t="s">
        <v>68</v>
      </c>
      <c r="C159" s="0" t="s">
        <v>221</v>
      </c>
      <c r="D159" s="0" t="s">
        <v>536</v>
      </c>
      <c r="E159" s="0" t="s">
        <v>537</v>
      </c>
      <c r="F159" s="0" t="n">
        <v>328</v>
      </c>
      <c r="G159" s="0" t="n">
        <v>247.21</v>
      </c>
      <c r="H159" s="0" t="n">
        <v>164.15</v>
      </c>
      <c r="I159" s="0" t="n">
        <v>81084.88</v>
      </c>
      <c r="J159" s="0" t="n">
        <v>53841.2</v>
      </c>
      <c r="K159" s="0" t="n">
        <v>27243.68</v>
      </c>
    </row>
    <row r="160" customFormat="false" ht="15" hidden="false" customHeight="false" outlineLevel="0" collapsed="false">
      <c r="A160" s="0" t="s">
        <v>746</v>
      </c>
      <c r="B160" s="0" t="s">
        <v>68</v>
      </c>
      <c r="C160" s="0" t="s">
        <v>221</v>
      </c>
      <c r="D160" s="0" t="s">
        <v>539</v>
      </c>
      <c r="E160" s="0" t="s">
        <v>540</v>
      </c>
      <c r="F160" s="0" t="n">
        <v>318</v>
      </c>
      <c r="G160" s="0" t="n">
        <v>264.29</v>
      </c>
      <c r="H160" s="0" t="n">
        <v>177.08</v>
      </c>
      <c r="I160" s="0" t="n">
        <v>84044.22</v>
      </c>
      <c r="J160" s="0" t="n">
        <v>56311.44</v>
      </c>
      <c r="K160" s="0" t="n">
        <v>27732.78</v>
      </c>
    </row>
    <row r="161" customFormat="false" ht="15" hidden="false" customHeight="false" outlineLevel="0" collapsed="false">
      <c r="A161" s="0" t="s">
        <v>747</v>
      </c>
      <c r="B161" s="0" t="s">
        <v>68</v>
      </c>
      <c r="C161" s="0" t="s">
        <v>221</v>
      </c>
      <c r="D161" s="0" t="s">
        <v>542</v>
      </c>
      <c r="E161" s="0" t="s">
        <v>543</v>
      </c>
      <c r="F161" s="0" t="n">
        <v>184</v>
      </c>
      <c r="G161" s="0" t="n">
        <v>319.6</v>
      </c>
      <c r="H161" s="0" t="n">
        <v>203.23</v>
      </c>
      <c r="I161" s="0" t="n">
        <v>58806.4</v>
      </c>
      <c r="J161" s="0" t="n">
        <v>37394.32</v>
      </c>
      <c r="K161" s="0" t="n">
        <v>21412.08</v>
      </c>
    </row>
    <row r="162" customFormat="false" ht="15" hidden="false" customHeight="false" outlineLevel="0" collapsed="false">
      <c r="A162" s="0" t="s">
        <v>748</v>
      </c>
      <c r="B162" s="0" t="s">
        <v>68</v>
      </c>
      <c r="C162" s="0" t="s">
        <v>221</v>
      </c>
      <c r="D162" s="0" t="s">
        <v>545</v>
      </c>
      <c r="E162" s="0" t="s">
        <v>546</v>
      </c>
      <c r="F162" s="0" t="n">
        <v>289</v>
      </c>
      <c r="G162" s="0" t="n">
        <v>101.39</v>
      </c>
      <c r="H162" s="0" t="n">
        <v>69.59</v>
      </c>
      <c r="I162" s="0" t="n">
        <v>29301.71</v>
      </c>
      <c r="J162" s="0" t="n">
        <v>20111.51</v>
      </c>
      <c r="K162" s="0" t="n">
        <v>9190.2</v>
      </c>
    </row>
    <row r="163" customFormat="false" ht="15" hidden="false" customHeight="false" outlineLevel="0" collapsed="false">
      <c r="A163" s="0" t="s">
        <v>749</v>
      </c>
      <c r="B163" s="0" t="s">
        <v>68</v>
      </c>
      <c r="C163" s="0" t="s">
        <v>221</v>
      </c>
      <c r="D163" s="0" t="s">
        <v>548</v>
      </c>
      <c r="E163" s="0" t="s">
        <v>549</v>
      </c>
      <c r="F163" s="0" t="n">
        <v>87</v>
      </c>
      <c r="G163" s="0" t="n">
        <v>145.88</v>
      </c>
      <c r="H163" s="0" t="n">
        <v>87.19</v>
      </c>
      <c r="I163" s="0" t="n">
        <v>12691.56</v>
      </c>
      <c r="J163" s="0" t="n">
        <v>7585.53</v>
      </c>
      <c r="K163" s="0" t="n">
        <v>5106.03</v>
      </c>
    </row>
    <row r="164" customFormat="false" ht="15" hidden="false" customHeight="false" outlineLevel="0" collapsed="false">
      <c r="A164" s="0" t="s">
        <v>750</v>
      </c>
      <c r="B164" s="0" t="s">
        <v>68</v>
      </c>
      <c r="C164" s="0" t="s">
        <v>221</v>
      </c>
      <c r="D164" s="0" t="s">
        <v>551</v>
      </c>
      <c r="E164" s="0" t="s">
        <v>552</v>
      </c>
      <c r="F164" s="0" t="n">
        <v>139</v>
      </c>
      <c r="G164" s="0" t="n">
        <v>188.33</v>
      </c>
      <c r="H164" s="0" t="n">
        <v>110.46</v>
      </c>
      <c r="I164" s="0" t="n">
        <v>26177.87</v>
      </c>
      <c r="J164" s="0" t="n">
        <v>15353.94</v>
      </c>
      <c r="K164" s="0" t="n">
        <v>10823.93</v>
      </c>
    </row>
    <row r="165" customFormat="false" ht="15" hidden="false" customHeight="false" outlineLevel="0" collapsed="false">
      <c r="A165" s="0" t="s">
        <v>751</v>
      </c>
      <c r="B165" s="0" t="s">
        <v>68</v>
      </c>
      <c r="C165" s="0" t="s">
        <v>221</v>
      </c>
      <c r="D165" s="0" t="s">
        <v>554</v>
      </c>
      <c r="E165" s="0" t="s">
        <v>555</v>
      </c>
      <c r="F165" s="0" t="n">
        <v>441</v>
      </c>
      <c r="G165" s="0" t="n">
        <v>167.53</v>
      </c>
      <c r="H165" s="0" t="n">
        <v>92.74</v>
      </c>
      <c r="I165" s="0" t="n">
        <v>73880.73</v>
      </c>
      <c r="J165" s="0" t="n">
        <v>40898.34</v>
      </c>
      <c r="K165" s="0" t="n">
        <v>32982.39</v>
      </c>
    </row>
    <row r="166" customFormat="false" ht="15" hidden="false" customHeight="false" outlineLevel="0" collapsed="false">
      <c r="A166" s="0" t="s">
        <v>752</v>
      </c>
      <c r="B166" s="0" t="s">
        <v>68</v>
      </c>
      <c r="C166" s="0" t="s">
        <v>221</v>
      </c>
      <c r="D166" s="0" t="s">
        <v>557</v>
      </c>
      <c r="E166" s="0" t="s">
        <v>534</v>
      </c>
      <c r="F166" s="0" t="n">
        <v>212</v>
      </c>
      <c r="G166" s="0" t="n">
        <v>211.95</v>
      </c>
      <c r="H166" s="0" t="n">
        <v>128.64</v>
      </c>
      <c r="I166" s="0" t="n">
        <v>44933.4</v>
      </c>
      <c r="J166" s="0" t="n">
        <v>27271.68</v>
      </c>
      <c r="K166" s="0" t="n">
        <v>17661.72</v>
      </c>
    </row>
    <row r="167" customFormat="false" ht="15" hidden="false" customHeight="false" outlineLevel="0" collapsed="false">
      <c r="A167" s="0" t="s">
        <v>753</v>
      </c>
      <c r="B167" s="0" t="s">
        <v>68</v>
      </c>
      <c r="C167" s="0" t="s">
        <v>221</v>
      </c>
      <c r="D167" s="0" t="s">
        <v>559</v>
      </c>
      <c r="E167" s="0" t="s">
        <v>537</v>
      </c>
      <c r="F167" s="0" t="n">
        <v>153</v>
      </c>
      <c r="G167" s="0" t="n">
        <v>253.52</v>
      </c>
      <c r="H167" s="0" t="n">
        <v>162.26</v>
      </c>
      <c r="I167" s="0" t="n">
        <v>38788.56</v>
      </c>
      <c r="J167" s="0" t="n">
        <v>24825.78</v>
      </c>
      <c r="K167" s="0" t="n">
        <v>13962.78</v>
      </c>
    </row>
    <row r="168" customFormat="false" ht="15" hidden="false" customHeight="false" outlineLevel="0" collapsed="false">
      <c r="A168" s="0" t="s">
        <v>754</v>
      </c>
      <c r="B168" s="0" t="s">
        <v>68</v>
      </c>
      <c r="C168" s="0" t="s">
        <v>221</v>
      </c>
      <c r="D168" s="0" t="s">
        <v>561</v>
      </c>
      <c r="E168" s="0" t="s">
        <v>540</v>
      </c>
      <c r="F168" s="0" t="n">
        <v>371</v>
      </c>
      <c r="G168" s="0" t="n">
        <v>270.87</v>
      </c>
      <c r="H168" s="0" t="n">
        <v>183.65</v>
      </c>
      <c r="I168" s="0" t="n">
        <v>100492.77</v>
      </c>
      <c r="J168" s="0" t="n">
        <v>68134.15</v>
      </c>
      <c r="K168" s="0" t="n">
        <v>32358.62</v>
      </c>
    </row>
    <row r="169" customFormat="false" ht="15" hidden="false" customHeight="false" outlineLevel="0" collapsed="false">
      <c r="A169" s="0" t="s">
        <v>755</v>
      </c>
      <c r="B169" s="0" t="s">
        <v>68</v>
      </c>
      <c r="C169" s="0" t="s">
        <v>221</v>
      </c>
      <c r="D169" s="0" t="s">
        <v>563</v>
      </c>
      <c r="E169" s="0" t="s">
        <v>543</v>
      </c>
      <c r="F169" s="0" t="n">
        <v>311</v>
      </c>
      <c r="G169" s="0" t="n">
        <v>315.13</v>
      </c>
      <c r="H169" s="0" t="n">
        <v>211.36</v>
      </c>
      <c r="I169" s="0" t="n">
        <v>98005.43</v>
      </c>
      <c r="J169" s="0" t="n">
        <v>65732.96</v>
      </c>
      <c r="K169" s="0" t="n">
        <v>32272.47</v>
      </c>
    </row>
    <row r="170" customFormat="false" ht="15" hidden="false" customHeight="false" outlineLevel="0" collapsed="false">
      <c r="A170" s="0" t="s">
        <v>756</v>
      </c>
      <c r="B170" s="0" t="s">
        <v>68</v>
      </c>
      <c r="C170" s="0" t="s">
        <v>221</v>
      </c>
      <c r="D170" s="0" t="s">
        <v>565</v>
      </c>
      <c r="E170" s="0" t="s">
        <v>546</v>
      </c>
      <c r="F170" s="0" t="n">
        <v>343</v>
      </c>
      <c r="G170" s="0" t="n">
        <v>104</v>
      </c>
      <c r="H170" s="0" t="n">
        <v>71.61</v>
      </c>
      <c r="I170" s="0" t="n">
        <v>35672</v>
      </c>
      <c r="J170" s="0" t="n">
        <v>24562.23</v>
      </c>
      <c r="K170" s="0" t="n">
        <v>11109.77</v>
      </c>
    </row>
    <row r="171" customFormat="false" ht="15" hidden="false" customHeight="false" outlineLevel="0" collapsed="false">
      <c r="A171" s="0" t="s">
        <v>757</v>
      </c>
      <c r="B171" s="0" t="s">
        <v>68</v>
      </c>
      <c r="C171" s="0" t="s">
        <v>221</v>
      </c>
      <c r="D171" s="0" t="s">
        <v>567</v>
      </c>
      <c r="E171" s="0" t="s">
        <v>549</v>
      </c>
      <c r="F171" s="0" t="n">
        <v>313</v>
      </c>
      <c r="G171" s="0" t="n">
        <v>145.96</v>
      </c>
      <c r="H171" s="0" t="n">
        <v>86.04</v>
      </c>
      <c r="I171" s="0" t="n">
        <v>45685.48</v>
      </c>
      <c r="J171" s="0" t="n">
        <v>26930.52</v>
      </c>
      <c r="K171" s="0" t="n">
        <v>18754.96</v>
      </c>
    </row>
    <row r="172" customFormat="false" ht="15" hidden="false" customHeight="false" outlineLevel="0" collapsed="false">
      <c r="A172" s="0" t="s">
        <v>758</v>
      </c>
      <c r="B172" s="0" t="s">
        <v>68</v>
      </c>
      <c r="C172" s="0" t="s">
        <v>221</v>
      </c>
      <c r="D172" s="0" t="s">
        <v>569</v>
      </c>
      <c r="E172" s="0" t="s">
        <v>552</v>
      </c>
      <c r="F172" s="0" t="n">
        <v>328</v>
      </c>
      <c r="G172" s="0" t="n">
        <v>180.22</v>
      </c>
      <c r="H172" s="0" t="n">
        <v>117.62</v>
      </c>
      <c r="I172" s="0" t="n">
        <v>59112.16</v>
      </c>
      <c r="J172" s="0" t="n">
        <v>38579.36</v>
      </c>
      <c r="K172" s="0" t="n">
        <v>20532.8</v>
      </c>
    </row>
    <row r="173" customFormat="false" ht="15" hidden="false" customHeight="false" outlineLevel="0" collapsed="false">
      <c r="A173" s="0" t="s">
        <v>759</v>
      </c>
      <c r="B173" s="0" t="s">
        <v>68</v>
      </c>
      <c r="C173" s="0" t="s">
        <v>221</v>
      </c>
      <c r="D173" s="0" t="s">
        <v>571</v>
      </c>
      <c r="E173" s="0" t="s">
        <v>555</v>
      </c>
      <c r="F173" s="0" t="n">
        <v>411</v>
      </c>
      <c r="G173" s="0" t="n">
        <v>162.06</v>
      </c>
      <c r="H173" s="0" t="n">
        <v>101.12</v>
      </c>
      <c r="I173" s="0" t="n">
        <v>66606.66</v>
      </c>
      <c r="J173" s="0" t="n">
        <v>41560.32</v>
      </c>
      <c r="K173" s="0" t="n">
        <v>25046.34</v>
      </c>
    </row>
    <row r="174" customFormat="false" ht="15" hidden="false" customHeight="false" outlineLevel="0" collapsed="false">
      <c r="A174" s="0" t="s">
        <v>760</v>
      </c>
      <c r="B174" s="0" t="s">
        <v>68</v>
      </c>
      <c r="C174" s="0" t="s">
        <v>221</v>
      </c>
      <c r="D174" s="0" t="s">
        <v>573</v>
      </c>
      <c r="E174" s="0" t="s">
        <v>534</v>
      </c>
      <c r="F174" s="0" t="n">
        <v>333</v>
      </c>
      <c r="G174" s="0" t="n">
        <v>204.01</v>
      </c>
      <c r="H174" s="0" t="n">
        <v>131.07</v>
      </c>
      <c r="I174" s="0" t="n">
        <v>67935.33</v>
      </c>
      <c r="J174" s="0" t="n">
        <v>43646.31</v>
      </c>
      <c r="K174" s="0" t="n">
        <v>24289.02</v>
      </c>
    </row>
    <row r="175" customFormat="false" ht="15" hidden="false" customHeight="false" outlineLevel="0" collapsed="false">
      <c r="A175" s="0" t="s">
        <v>761</v>
      </c>
      <c r="B175" s="0" t="s">
        <v>68</v>
      </c>
      <c r="C175" s="0" t="s">
        <v>221</v>
      </c>
      <c r="D175" s="0" t="s">
        <v>575</v>
      </c>
      <c r="E175" s="0" t="s">
        <v>537</v>
      </c>
      <c r="F175" s="0" t="n">
        <v>124</v>
      </c>
      <c r="G175" s="0" t="n">
        <v>250.6</v>
      </c>
      <c r="H175" s="0" t="n">
        <v>154.15</v>
      </c>
      <c r="I175" s="0" t="n">
        <v>31074.4</v>
      </c>
      <c r="J175" s="0" t="n">
        <v>19114.6</v>
      </c>
      <c r="K175" s="0" t="n">
        <v>11959.8</v>
      </c>
    </row>
    <row r="176" customFormat="false" ht="15" hidden="false" customHeight="false" outlineLevel="0" collapsed="false">
      <c r="A176" s="0" t="s">
        <v>762</v>
      </c>
      <c r="B176" s="0" t="s">
        <v>68</v>
      </c>
      <c r="C176" s="0" t="s">
        <v>221</v>
      </c>
      <c r="D176" s="0" t="s">
        <v>577</v>
      </c>
      <c r="E176" s="0" t="s">
        <v>540</v>
      </c>
      <c r="F176" s="0" t="n">
        <v>256</v>
      </c>
      <c r="G176" s="0" t="n">
        <v>260.84</v>
      </c>
      <c r="H176" s="0" t="n">
        <v>175.24</v>
      </c>
      <c r="I176" s="0" t="n">
        <v>66775.04</v>
      </c>
      <c r="J176" s="0" t="n">
        <v>44861.44</v>
      </c>
      <c r="K176" s="0" t="n">
        <v>21913.6</v>
      </c>
    </row>
    <row r="177" customFormat="false" ht="15" hidden="false" customHeight="false" outlineLevel="0" collapsed="false">
      <c r="A177" s="0" t="s">
        <v>763</v>
      </c>
      <c r="B177" s="0" t="s">
        <v>68</v>
      </c>
      <c r="C177" s="0" t="s">
        <v>221</v>
      </c>
      <c r="D177" s="0" t="s">
        <v>579</v>
      </c>
      <c r="E177" s="0" t="s">
        <v>543</v>
      </c>
      <c r="F177" s="0" t="n">
        <v>155</v>
      </c>
      <c r="G177" s="0" t="n">
        <v>295.62</v>
      </c>
      <c r="H177" s="0" t="n">
        <v>203.2</v>
      </c>
      <c r="I177" s="0" t="n">
        <v>45821.1</v>
      </c>
      <c r="J177" s="0" t="n">
        <v>31496</v>
      </c>
      <c r="K177" s="0" t="n">
        <v>14325.1</v>
      </c>
    </row>
    <row r="178" customFormat="false" ht="15" hidden="false" customHeight="false" outlineLevel="0" collapsed="false">
      <c r="A178" s="0" t="s">
        <v>764</v>
      </c>
      <c r="B178" s="0" t="s">
        <v>68</v>
      </c>
      <c r="C178" s="0" t="s">
        <v>221</v>
      </c>
      <c r="D178" s="0" t="s">
        <v>581</v>
      </c>
      <c r="E178" s="0" t="s">
        <v>546</v>
      </c>
      <c r="F178" s="0" t="n">
        <v>163</v>
      </c>
      <c r="G178" s="0" t="n">
        <v>108</v>
      </c>
      <c r="H178" s="0" t="n">
        <v>64.84</v>
      </c>
      <c r="I178" s="0" t="n">
        <v>17604</v>
      </c>
      <c r="J178" s="0" t="n">
        <v>10568.92</v>
      </c>
      <c r="K178" s="0" t="n">
        <v>7035.08</v>
      </c>
    </row>
    <row r="179" customFormat="false" ht="15" hidden="false" customHeight="false" outlineLevel="0" collapsed="false">
      <c r="A179" s="0" t="s">
        <v>765</v>
      </c>
      <c r="B179" s="0" t="s">
        <v>68</v>
      </c>
      <c r="C179" s="0" t="s">
        <v>221</v>
      </c>
      <c r="D179" s="0" t="s">
        <v>583</v>
      </c>
      <c r="E179" s="0" t="s">
        <v>549</v>
      </c>
      <c r="F179" s="0" t="n">
        <v>293</v>
      </c>
      <c r="G179" s="0" t="n">
        <v>135.29</v>
      </c>
      <c r="H179" s="0" t="n">
        <v>83.3</v>
      </c>
      <c r="I179" s="0" t="n">
        <v>39639.97</v>
      </c>
      <c r="J179" s="0" t="n">
        <v>24406.9</v>
      </c>
      <c r="K179" s="0" t="n">
        <v>15233.07</v>
      </c>
    </row>
    <row r="180" customFormat="false" ht="15" hidden="false" customHeight="false" outlineLevel="0" collapsed="false">
      <c r="A180" s="0" t="s">
        <v>766</v>
      </c>
      <c r="B180" s="0" t="s">
        <v>68</v>
      </c>
      <c r="C180" s="0" t="s">
        <v>221</v>
      </c>
      <c r="D180" s="0" t="s">
        <v>585</v>
      </c>
      <c r="E180" s="0" t="s">
        <v>552</v>
      </c>
      <c r="F180" s="0" t="n">
        <v>116</v>
      </c>
      <c r="G180" s="0" t="n">
        <v>174.21</v>
      </c>
      <c r="H180" s="0" t="n">
        <v>113.17</v>
      </c>
      <c r="I180" s="0" t="n">
        <v>20208.36</v>
      </c>
      <c r="J180" s="0" t="n">
        <v>13127.72</v>
      </c>
      <c r="K180" s="0" t="n">
        <v>7080.64</v>
      </c>
    </row>
    <row r="181" customFormat="false" ht="15" hidden="false" customHeight="false" outlineLevel="0" collapsed="false">
      <c r="A181" s="0" t="s">
        <v>767</v>
      </c>
      <c r="B181" s="0" t="s">
        <v>68</v>
      </c>
      <c r="C181" s="0" t="s">
        <v>221</v>
      </c>
      <c r="D181" s="0" t="s">
        <v>587</v>
      </c>
      <c r="E181" s="0" t="s">
        <v>555</v>
      </c>
      <c r="F181" s="0" t="n">
        <v>384</v>
      </c>
      <c r="G181" s="0" t="n">
        <v>177.27</v>
      </c>
      <c r="H181" s="0" t="n">
        <v>92.39</v>
      </c>
      <c r="I181" s="0" t="n">
        <v>68071.68</v>
      </c>
      <c r="J181" s="0" t="n">
        <v>35477.76</v>
      </c>
      <c r="K181" s="0" t="n">
        <v>32593.92</v>
      </c>
    </row>
    <row r="182" customFormat="false" ht="15" hidden="false" customHeight="false" outlineLevel="0" collapsed="false">
      <c r="A182" s="0" t="s">
        <v>768</v>
      </c>
      <c r="B182" s="0" t="s">
        <v>69</v>
      </c>
      <c r="C182" s="0" t="s">
        <v>221</v>
      </c>
      <c r="D182" s="0" t="s">
        <v>559</v>
      </c>
      <c r="E182" s="0" t="s">
        <v>537</v>
      </c>
      <c r="F182" s="0" t="n">
        <v>379</v>
      </c>
      <c r="G182" s="0" t="n">
        <v>239.56</v>
      </c>
      <c r="H182" s="0" t="n">
        <v>149.87</v>
      </c>
      <c r="I182" s="0" t="n">
        <v>90793.24</v>
      </c>
      <c r="J182" s="0" t="n">
        <v>56800.73</v>
      </c>
      <c r="K182" s="0" t="n">
        <v>33992.51</v>
      </c>
    </row>
    <row r="183" customFormat="false" ht="15" hidden="false" customHeight="false" outlineLevel="0" collapsed="false">
      <c r="A183" s="0" t="s">
        <v>769</v>
      </c>
      <c r="B183" s="0" t="s">
        <v>69</v>
      </c>
      <c r="C183" s="0" t="s">
        <v>221</v>
      </c>
      <c r="D183" s="0" t="s">
        <v>561</v>
      </c>
      <c r="E183" s="0" t="s">
        <v>540</v>
      </c>
      <c r="F183" s="0" t="n">
        <v>265</v>
      </c>
      <c r="G183" s="0" t="n">
        <v>260.07</v>
      </c>
      <c r="H183" s="0" t="n">
        <v>172.16</v>
      </c>
      <c r="I183" s="0" t="n">
        <v>68918.55</v>
      </c>
      <c r="J183" s="0" t="n">
        <v>45622.4</v>
      </c>
      <c r="K183" s="0" t="n">
        <v>23296.15</v>
      </c>
    </row>
    <row r="184" customFormat="false" ht="15" hidden="false" customHeight="false" outlineLevel="0" collapsed="false">
      <c r="A184" s="0" t="s">
        <v>770</v>
      </c>
      <c r="B184" s="0" t="s">
        <v>69</v>
      </c>
      <c r="C184" s="0" t="s">
        <v>221</v>
      </c>
      <c r="D184" s="0" t="s">
        <v>563</v>
      </c>
      <c r="E184" s="0" t="s">
        <v>543</v>
      </c>
      <c r="F184" s="0" t="n">
        <v>299</v>
      </c>
      <c r="G184" s="0" t="n">
        <v>311.99</v>
      </c>
      <c r="H184" s="0" t="n">
        <v>211.73</v>
      </c>
      <c r="I184" s="0" t="n">
        <v>93285.01</v>
      </c>
      <c r="J184" s="0" t="n">
        <v>63307.27</v>
      </c>
      <c r="K184" s="0" t="n">
        <v>29977.74</v>
      </c>
    </row>
    <row r="185" customFormat="false" ht="15" hidden="false" customHeight="false" outlineLevel="0" collapsed="false">
      <c r="A185" s="0" t="s">
        <v>771</v>
      </c>
      <c r="B185" s="0" t="s">
        <v>69</v>
      </c>
      <c r="C185" s="0" t="s">
        <v>221</v>
      </c>
      <c r="D185" s="0" t="s">
        <v>565</v>
      </c>
      <c r="E185" s="0" t="s">
        <v>546</v>
      </c>
      <c r="F185" s="0" t="n">
        <v>393</v>
      </c>
      <c r="G185" s="0" t="n">
        <v>110.74</v>
      </c>
      <c r="H185" s="0" t="n">
        <v>68.25</v>
      </c>
      <c r="I185" s="0" t="n">
        <v>43520.82</v>
      </c>
      <c r="J185" s="0" t="n">
        <v>26822.25</v>
      </c>
      <c r="K185" s="0" t="n">
        <v>16698.57</v>
      </c>
    </row>
    <row r="186" customFormat="false" ht="15" hidden="false" customHeight="false" outlineLevel="0" collapsed="false">
      <c r="A186" s="0" t="s">
        <v>772</v>
      </c>
      <c r="B186" s="0" t="s">
        <v>69</v>
      </c>
      <c r="C186" s="0" t="s">
        <v>221</v>
      </c>
      <c r="D186" s="0" t="s">
        <v>567</v>
      </c>
      <c r="E186" s="0" t="s">
        <v>549</v>
      </c>
      <c r="F186" s="0" t="n">
        <v>224</v>
      </c>
      <c r="G186" s="0" t="n">
        <v>137.27</v>
      </c>
      <c r="H186" s="0" t="n">
        <v>79.01</v>
      </c>
      <c r="I186" s="0" t="n">
        <v>30748.48</v>
      </c>
      <c r="J186" s="0" t="n">
        <v>17698.24</v>
      </c>
      <c r="K186" s="0" t="n">
        <v>13050.24</v>
      </c>
    </row>
    <row r="187" customFormat="false" ht="15" hidden="false" customHeight="false" outlineLevel="0" collapsed="false">
      <c r="A187" s="0" t="s">
        <v>773</v>
      </c>
      <c r="B187" s="0" t="s">
        <v>69</v>
      </c>
      <c r="C187" s="0" t="s">
        <v>221</v>
      </c>
      <c r="D187" s="0" t="s">
        <v>569</v>
      </c>
      <c r="E187" s="0" t="s">
        <v>552</v>
      </c>
      <c r="F187" s="0" t="n">
        <v>257</v>
      </c>
      <c r="G187" s="0" t="n">
        <v>185.62</v>
      </c>
      <c r="H187" s="0" t="n">
        <v>118.25</v>
      </c>
      <c r="I187" s="0" t="n">
        <v>47704.34</v>
      </c>
      <c r="J187" s="0" t="n">
        <v>30390.25</v>
      </c>
      <c r="K187" s="0" t="n">
        <v>17314.09</v>
      </c>
    </row>
    <row r="188" customFormat="false" ht="15" hidden="false" customHeight="false" outlineLevel="0" collapsed="false">
      <c r="A188" s="0" t="s">
        <v>774</v>
      </c>
      <c r="B188" s="0" t="s">
        <v>69</v>
      </c>
      <c r="C188" s="0" t="s">
        <v>221</v>
      </c>
      <c r="D188" s="0" t="s">
        <v>571</v>
      </c>
      <c r="E188" s="0" t="s">
        <v>555</v>
      </c>
      <c r="F188" s="0" t="n">
        <v>455</v>
      </c>
      <c r="G188" s="0" t="n">
        <v>159.5</v>
      </c>
      <c r="H188" s="0" t="n">
        <v>97.54</v>
      </c>
      <c r="I188" s="0" t="n">
        <v>72572.5</v>
      </c>
      <c r="J188" s="0" t="n">
        <v>44380.7</v>
      </c>
      <c r="K188" s="0" t="n">
        <v>28191.8</v>
      </c>
    </row>
    <row r="189" customFormat="false" ht="15" hidden="false" customHeight="false" outlineLevel="0" collapsed="false">
      <c r="A189" s="0" t="s">
        <v>775</v>
      </c>
      <c r="B189" s="0" t="s">
        <v>69</v>
      </c>
      <c r="C189" s="0" t="s">
        <v>221</v>
      </c>
      <c r="D189" s="0" t="s">
        <v>573</v>
      </c>
      <c r="E189" s="0" t="s">
        <v>534</v>
      </c>
      <c r="F189" s="0" t="n">
        <v>150</v>
      </c>
      <c r="G189" s="0" t="n">
        <v>213.67</v>
      </c>
      <c r="H189" s="0" t="n">
        <v>135.18</v>
      </c>
      <c r="I189" s="0" t="n">
        <v>32050.5</v>
      </c>
      <c r="J189" s="0" t="n">
        <v>20277</v>
      </c>
      <c r="K189" s="0" t="n">
        <v>11773.5</v>
      </c>
    </row>
    <row r="190" customFormat="false" ht="15" hidden="false" customHeight="false" outlineLevel="0" collapsed="false">
      <c r="A190" s="0" t="s">
        <v>776</v>
      </c>
      <c r="B190" s="0" t="s">
        <v>69</v>
      </c>
      <c r="C190" s="0" t="s">
        <v>221</v>
      </c>
      <c r="D190" s="0" t="s">
        <v>575</v>
      </c>
      <c r="E190" s="0" t="s">
        <v>537</v>
      </c>
      <c r="F190" s="0" t="n">
        <v>286</v>
      </c>
      <c r="G190" s="0" t="n">
        <v>246.57</v>
      </c>
      <c r="H190" s="0" t="n">
        <v>162.17</v>
      </c>
      <c r="I190" s="0" t="n">
        <v>70519.02</v>
      </c>
      <c r="J190" s="0" t="n">
        <v>46380.62</v>
      </c>
      <c r="K190" s="0" t="n">
        <v>24138.4</v>
      </c>
    </row>
    <row r="191" customFormat="false" ht="15" hidden="false" customHeight="false" outlineLevel="0" collapsed="false">
      <c r="A191" s="0" t="s">
        <v>777</v>
      </c>
      <c r="B191" s="0" t="s">
        <v>69</v>
      </c>
      <c r="C191" s="0" t="s">
        <v>221</v>
      </c>
      <c r="D191" s="0" t="s">
        <v>577</v>
      </c>
      <c r="E191" s="0" t="s">
        <v>540</v>
      </c>
      <c r="F191" s="0" t="n">
        <v>127</v>
      </c>
      <c r="G191" s="0" t="n">
        <v>272.6</v>
      </c>
      <c r="H191" s="0" t="n">
        <v>166.94</v>
      </c>
      <c r="I191" s="0" t="n">
        <v>34620.2</v>
      </c>
      <c r="J191" s="0" t="n">
        <v>21201.38</v>
      </c>
      <c r="K191" s="0" t="n">
        <v>13418.82</v>
      </c>
    </row>
    <row r="192" customFormat="false" ht="15" hidden="false" customHeight="false" outlineLevel="0" collapsed="false">
      <c r="A192" s="0" t="s">
        <v>778</v>
      </c>
      <c r="B192" s="0" t="s">
        <v>69</v>
      </c>
      <c r="C192" s="0" t="s">
        <v>221</v>
      </c>
      <c r="D192" s="0" t="s">
        <v>579</v>
      </c>
      <c r="E192" s="0" t="s">
        <v>543</v>
      </c>
      <c r="F192" s="0" t="n">
        <v>321</v>
      </c>
      <c r="G192" s="0" t="n">
        <v>296.93</v>
      </c>
      <c r="H192" s="0" t="n">
        <v>200.23</v>
      </c>
      <c r="I192" s="0" t="n">
        <v>95314.53</v>
      </c>
      <c r="J192" s="0" t="n">
        <v>64273.83</v>
      </c>
      <c r="K192" s="0" t="n">
        <v>31040.7</v>
      </c>
    </row>
    <row r="193" customFormat="false" ht="15" hidden="false" customHeight="false" outlineLevel="0" collapsed="false">
      <c r="A193" s="0" t="s">
        <v>779</v>
      </c>
      <c r="B193" s="0" t="s">
        <v>69</v>
      </c>
      <c r="C193" s="0" t="s">
        <v>221</v>
      </c>
      <c r="D193" s="0" t="s">
        <v>581</v>
      </c>
      <c r="E193" s="0" t="s">
        <v>546</v>
      </c>
      <c r="F193" s="0" t="n">
        <v>252</v>
      </c>
      <c r="G193" s="0" t="n">
        <v>100.93</v>
      </c>
      <c r="H193" s="0" t="n">
        <v>66.95</v>
      </c>
      <c r="I193" s="0" t="n">
        <v>25434.36</v>
      </c>
      <c r="J193" s="0" t="n">
        <v>16871.4</v>
      </c>
      <c r="K193" s="0" t="n">
        <v>8562.96</v>
      </c>
    </row>
    <row r="194" customFormat="false" ht="15" hidden="false" customHeight="false" outlineLevel="0" collapsed="false">
      <c r="A194" s="0" t="s">
        <v>780</v>
      </c>
      <c r="B194" s="0" t="s">
        <v>69</v>
      </c>
      <c r="C194" s="0" t="s">
        <v>221</v>
      </c>
      <c r="D194" s="0" t="s">
        <v>583</v>
      </c>
      <c r="E194" s="0" t="s">
        <v>549</v>
      </c>
      <c r="F194" s="0" t="n">
        <v>279</v>
      </c>
      <c r="G194" s="0" t="n">
        <v>134.3</v>
      </c>
      <c r="H194" s="0" t="n">
        <v>88.08</v>
      </c>
      <c r="I194" s="0" t="n">
        <v>37469.7</v>
      </c>
      <c r="J194" s="0" t="n">
        <v>24574.32</v>
      </c>
      <c r="K194" s="0" t="n">
        <v>12895.38</v>
      </c>
    </row>
    <row r="195" customFormat="false" ht="15" hidden="false" customHeight="false" outlineLevel="0" collapsed="false">
      <c r="A195" s="0" t="s">
        <v>781</v>
      </c>
      <c r="B195" s="0" t="s">
        <v>69</v>
      </c>
      <c r="C195" s="0" t="s">
        <v>221</v>
      </c>
      <c r="D195" s="0" t="s">
        <v>585</v>
      </c>
      <c r="E195" s="0" t="s">
        <v>552</v>
      </c>
      <c r="F195" s="0" t="n">
        <v>300</v>
      </c>
      <c r="G195" s="0" t="n">
        <v>175.33</v>
      </c>
      <c r="H195" s="0" t="n">
        <v>108.62</v>
      </c>
      <c r="I195" s="0" t="n">
        <v>52599</v>
      </c>
      <c r="J195" s="0" t="n">
        <v>32586</v>
      </c>
      <c r="K195" s="0" t="n">
        <v>20013</v>
      </c>
    </row>
    <row r="196" customFormat="false" ht="15" hidden="false" customHeight="false" outlineLevel="0" collapsed="false">
      <c r="A196" s="0" t="s">
        <v>782</v>
      </c>
      <c r="B196" s="0" t="s">
        <v>69</v>
      </c>
      <c r="C196" s="0" t="s">
        <v>221</v>
      </c>
      <c r="D196" s="0" t="s">
        <v>587</v>
      </c>
      <c r="E196" s="0" t="s">
        <v>555</v>
      </c>
      <c r="F196" s="0" t="n">
        <v>94</v>
      </c>
      <c r="G196" s="0" t="n">
        <v>172.79</v>
      </c>
      <c r="H196" s="0" t="n">
        <v>92.76</v>
      </c>
      <c r="I196" s="0" t="n">
        <v>16242.26</v>
      </c>
      <c r="J196" s="0" t="n">
        <v>8719.44</v>
      </c>
      <c r="K196" s="0" t="n">
        <v>7522.82</v>
      </c>
    </row>
    <row r="197" customFormat="false" ht="15" hidden="false" customHeight="false" outlineLevel="0" collapsed="false">
      <c r="A197" s="0" t="s">
        <v>783</v>
      </c>
      <c r="B197" s="0" t="s">
        <v>69</v>
      </c>
      <c r="C197" s="0" t="s">
        <v>221</v>
      </c>
      <c r="D197" s="0" t="s">
        <v>589</v>
      </c>
      <c r="E197" s="0" t="s">
        <v>534</v>
      </c>
      <c r="F197" s="0" t="n">
        <v>264</v>
      </c>
      <c r="G197" s="0" t="n">
        <v>193.02</v>
      </c>
      <c r="H197" s="0" t="n">
        <v>127.81</v>
      </c>
      <c r="I197" s="0" t="n">
        <v>50957.28</v>
      </c>
      <c r="J197" s="0" t="n">
        <v>33741.84</v>
      </c>
      <c r="K197" s="0" t="n">
        <v>17215.44</v>
      </c>
    </row>
    <row r="198" customFormat="false" ht="15" hidden="false" customHeight="false" outlineLevel="0" collapsed="false">
      <c r="A198" s="0" t="s">
        <v>784</v>
      </c>
      <c r="B198" s="0" t="s">
        <v>69</v>
      </c>
      <c r="C198" s="0" t="s">
        <v>221</v>
      </c>
      <c r="D198" s="0" t="s">
        <v>591</v>
      </c>
      <c r="E198" s="0" t="s">
        <v>537</v>
      </c>
      <c r="F198" s="0" t="n">
        <v>418</v>
      </c>
      <c r="G198" s="0" t="n">
        <v>228.28</v>
      </c>
      <c r="H198" s="0" t="n">
        <v>150.34</v>
      </c>
      <c r="I198" s="0" t="n">
        <v>95421.04</v>
      </c>
      <c r="J198" s="0" t="n">
        <v>62842.12</v>
      </c>
      <c r="K198" s="0" t="n">
        <v>32578.92</v>
      </c>
    </row>
    <row r="199" customFormat="false" ht="15" hidden="false" customHeight="false" outlineLevel="0" collapsed="false">
      <c r="A199" s="0" t="s">
        <v>785</v>
      </c>
      <c r="B199" s="0" t="s">
        <v>69</v>
      </c>
      <c r="C199" s="0" t="s">
        <v>221</v>
      </c>
      <c r="D199" s="0" t="s">
        <v>593</v>
      </c>
      <c r="E199" s="0" t="s">
        <v>540</v>
      </c>
      <c r="F199" s="0" t="n">
        <v>211</v>
      </c>
      <c r="G199" s="0" t="n">
        <v>256.46</v>
      </c>
      <c r="H199" s="0" t="n">
        <v>164.58</v>
      </c>
      <c r="I199" s="0" t="n">
        <v>54113.06</v>
      </c>
      <c r="J199" s="0" t="n">
        <v>34726.38</v>
      </c>
      <c r="K199" s="0" t="n">
        <v>19386.68</v>
      </c>
    </row>
    <row r="200" customFormat="false" ht="15" hidden="false" customHeight="false" outlineLevel="0" collapsed="false">
      <c r="A200" s="0" t="s">
        <v>786</v>
      </c>
      <c r="B200" s="0" t="s">
        <v>69</v>
      </c>
      <c r="C200" s="0" t="s">
        <v>221</v>
      </c>
      <c r="D200" s="0" t="s">
        <v>595</v>
      </c>
      <c r="E200" s="0" t="s">
        <v>543</v>
      </c>
      <c r="F200" s="0" t="n">
        <v>163</v>
      </c>
      <c r="G200" s="0" t="n">
        <v>299.33</v>
      </c>
      <c r="H200" s="0" t="n">
        <v>205.4</v>
      </c>
      <c r="I200" s="0" t="n">
        <v>48790.79</v>
      </c>
      <c r="J200" s="0" t="n">
        <v>33480.2</v>
      </c>
      <c r="K200" s="0" t="n">
        <v>15310.59</v>
      </c>
    </row>
    <row r="201" customFormat="false" ht="15" hidden="false" customHeight="false" outlineLevel="0" collapsed="false">
      <c r="A201" s="0" t="s">
        <v>787</v>
      </c>
      <c r="B201" s="0" t="s">
        <v>69</v>
      </c>
      <c r="C201" s="0" t="s">
        <v>221</v>
      </c>
      <c r="D201" s="0" t="s">
        <v>597</v>
      </c>
      <c r="E201" s="0" t="s">
        <v>546</v>
      </c>
      <c r="F201" s="0" t="n">
        <v>143</v>
      </c>
      <c r="G201" s="0" t="n">
        <v>105.96</v>
      </c>
      <c r="H201" s="0" t="n">
        <v>66.07</v>
      </c>
      <c r="I201" s="0" t="n">
        <v>15152.28</v>
      </c>
      <c r="J201" s="0" t="n">
        <v>9448.01</v>
      </c>
      <c r="K201" s="0" t="n">
        <v>5704.27</v>
      </c>
    </row>
    <row r="202" customFormat="false" ht="15" hidden="false" customHeight="false" outlineLevel="0" collapsed="false">
      <c r="A202" s="0" t="s">
        <v>788</v>
      </c>
      <c r="B202" s="0" t="s">
        <v>69</v>
      </c>
      <c r="C202" s="0" t="s">
        <v>221</v>
      </c>
      <c r="D202" s="0" t="s">
        <v>599</v>
      </c>
      <c r="E202" s="0" t="s">
        <v>549</v>
      </c>
      <c r="F202" s="0" t="n">
        <v>443</v>
      </c>
      <c r="G202" s="0" t="n">
        <v>133.88</v>
      </c>
      <c r="H202" s="0" t="n">
        <v>82.35</v>
      </c>
      <c r="I202" s="0" t="n">
        <v>59308.84</v>
      </c>
      <c r="J202" s="0" t="n">
        <v>36481.05</v>
      </c>
      <c r="K202" s="0" t="n">
        <v>22827.79</v>
      </c>
    </row>
    <row r="203" customFormat="false" ht="15" hidden="false" customHeight="false" outlineLevel="0" collapsed="false">
      <c r="A203" s="0" t="s">
        <v>789</v>
      </c>
      <c r="B203" s="0" t="s">
        <v>69</v>
      </c>
      <c r="C203" s="0" t="s">
        <v>221</v>
      </c>
      <c r="D203" s="0" t="s">
        <v>601</v>
      </c>
      <c r="E203" s="0" t="s">
        <v>552</v>
      </c>
      <c r="F203" s="0" t="n">
        <v>395</v>
      </c>
      <c r="G203" s="0" t="n">
        <v>184.1</v>
      </c>
      <c r="H203" s="0" t="n">
        <v>117.57</v>
      </c>
      <c r="I203" s="0" t="n">
        <v>72719.5</v>
      </c>
      <c r="J203" s="0" t="n">
        <v>46440.15</v>
      </c>
      <c r="K203" s="0" t="n">
        <v>26279.35</v>
      </c>
    </row>
    <row r="204" customFormat="false" ht="15" hidden="false" customHeight="false" outlineLevel="0" collapsed="false">
      <c r="A204" s="0" t="s">
        <v>790</v>
      </c>
      <c r="B204" s="0" t="s">
        <v>69</v>
      </c>
      <c r="C204" s="0" t="s">
        <v>221</v>
      </c>
      <c r="D204" s="0" t="s">
        <v>603</v>
      </c>
      <c r="E204" s="0" t="s">
        <v>555</v>
      </c>
      <c r="F204" s="0" t="n">
        <v>143</v>
      </c>
      <c r="G204" s="0" t="n">
        <v>173.44</v>
      </c>
      <c r="H204" s="0" t="n">
        <v>94.05</v>
      </c>
      <c r="I204" s="0" t="n">
        <v>24801.92</v>
      </c>
      <c r="J204" s="0" t="n">
        <v>13449.15</v>
      </c>
      <c r="K204" s="0" t="n">
        <v>11352.77</v>
      </c>
    </row>
    <row r="205" customFormat="false" ht="15" hidden="false" customHeight="false" outlineLevel="0" collapsed="false">
      <c r="A205" s="0" t="s">
        <v>791</v>
      </c>
      <c r="B205" s="0" t="s">
        <v>69</v>
      </c>
      <c r="C205" s="0" t="s">
        <v>221</v>
      </c>
      <c r="D205" s="0" t="s">
        <v>605</v>
      </c>
      <c r="E205" s="0" t="s">
        <v>534</v>
      </c>
      <c r="F205" s="0" t="n">
        <v>244</v>
      </c>
      <c r="G205" s="0" t="n">
        <v>189.85</v>
      </c>
      <c r="H205" s="0" t="n">
        <v>127.13</v>
      </c>
      <c r="I205" s="0" t="n">
        <v>46323.4</v>
      </c>
      <c r="J205" s="0" t="n">
        <v>31019.72</v>
      </c>
      <c r="K205" s="0" t="n">
        <v>15303.68</v>
      </c>
    </row>
    <row r="206" customFormat="false" ht="15" hidden="false" customHeight="false" outlineLevel="0" collapsed="false">
      <c r="A206" s="0" t="s">
        <v>792</v>
      </c>
      <c r="B206" s="0" t="s">
        <v>69</v>
      </c>
      <c r="C206" s="0" t="s">
        <v>221</v>
      </c>
      <c r="D206" s="0" t="s">
        <v>607</v>
      </c>
      <c r="E206" s="0" t="s">
        <v>537</v>
      </c>
      <c r="F206" s="0" t="n">
        <v>244</v>
      </c>
      <c r="G206" s="0" t="n">
        <v>246.04</v>
      </c>
      <c r="H206" s="0" t="n">
        <v>166.76</v>
      </c>
      <c r="I206" s="0" t="n">
        <v>60033.76</v>
      </c>
      <c r="J206" s="0" t="n">
        <v>40689.44</v>
      </c>
      <c r="K206" s="0" t="n">
        <v>19344.32</v>
      </c>
    </row>
    <row r="207" customFormat="false" ht="15" hidden="false" customHeight="false" outlineLevel="0" collapsed="false">
      <c r="A207" s="0" t="s">
        <v>793</v>
      </c>
      <c r="B207" s="0" t="s">
        <v>69</v>
      </c>
      <c r="C207" s="0" t="s">
        <v>221</v>
      </c>
      <c r="D207" s="0" t="s">
        <v>609</v>
      </c>
      <c r="E207" s="0" t="s">
        <v>540</v>
      </c>
      <c r="F207" s="0" t="n">
        <v>277</v>
      </c>
      <c r="G207" s="0" t="n">
        <v>263.64</v>
      </c>
      <c r="H207" s="0" t="n">
        <v>178.83</v>
      </c>
      <c r="I207" s="0" t="n">
        <v>73028.28</v>
      </c>
      <c r="J207" s="0" t="n">
        <v>49535.91</v>
      </c>
      <c r="K207" s="0" t="n">
        <v>23492.37</v>
      </c>
    </row>
    <row r="208" customFormat="false" ht="15" hidden="false" customHeight="false" outlineLevel="0" collapsed="false">
      <c r="A208" s="0" t="s">
        <v>794</v>
      </c>
      <c r="B208" s="0" t="s">
        <v>69</v>
      </c>
      <c r="C208" s="0" t="s">
        <v>221</v>
      </c>
      <c r="D208" s="0" t="s">
        <v>611</v>
      </c>
      <c r="E208" s="0" t="s">
        <v>543</v>
      </c>
      <c r="F208" s="0" t="n">
        <v>123</v>
      </c>
      <c r="G208" s="0" t="n">
        <v>314.27</v>
      </c>
      <c r="H208" s="0" t="n">
        <v>214.05</v>
      </c>
      <c r="I208" s="0" t="n">
        <v>38655.21</v>
      </c>
      <c r="J208" s="0" t="n">
        <v>26328.15</v>
      </c>
      <c r="K208" s="0" t="n">
        <v>12327.06</v>
      </c>
    </row>
    <row r="209" customFormat="false" ht="15" hidden="false" customHeight="false" outlineLevel="0" collapsed="false">
      <c r="A209" s="0" t="s">
        <v>795</v>
      </c>
      <c r="B209" s="0" t="s">
        <v>69</v>
      </c>
      <c r="C209" s="0" t="s">
        <v>221</v>
      </c>
      <c r="D209" s="0" t="s">
        <v>628</v>
      </c>
      <c r="E209" s="0" t="s">
        <v>546</v>
      </c>
      <c r="F209" s="0" t="n">
        <v>209</v>
      </c>
      <c r="G209" s="0" t="n">
        <v>99.36</v>
      </c>
      <c r="H209" s="0" t="n">
        <v>70.53</v>
      </c>
      <c r="I209" s="0" t="n">
        <v>20766.24</v>
      </c>
      <c r="J209" s="0" t="n">
        <v>14740.77</v>
      </c>
      <c r="K209" s="0" t="n">
        <v>6025.47</v>
      </c>
    </row>
    <row r="210" customFormat="false" ht="15" hidden="false" customHeight="false" outlineLevel="0" collapsed="false">
      <c r="A210" s="0" t="s">
        <v>796</v>
      </c>
      <c r="B210" s="0" t="s">
        <v>69</v>
      </c>
      <c r="C210" s="0" t="s">
        <v>221</v>
      </c>
      <c r="D210" s="0" t="s">
        <v>630</v>
      </c>
      <c r="E210" s="0" t="s">
        <v>549</v>
      </c>
      <c r="F210" s="0" t="n">
        <v>435</v>
      </c>
      <c r="G210" s="0" t="n">
        <v>140.37</v>
      </c>
      <c r="H210" s="0" t="n">
        <v>79.91</v>
      </c>
      <c r="I210" s="0" t="n">
        <v>61060.95</v>
      </c>
      <c r="J210" s="0" t="n">
        <v>34760.85</v>
      </c>
      <c r="K210" s="0" t="n">
        <v>26300.1</v>
      </c>
    </row>
    <row r="211" customFormat="false" ht="15" hidden="false" customHeight="false" outlineLevel="0" collapsed="false">
      <c r="A211" s="0" t="s">
        <v>797</v>
      </c>
      <c r="B211" s="0" t="s">
        <v>69</v>
      </c>
      <c r="C211" s="0" t="s">
        <v>221</v>
      </c>
      <c r="D211" s="0" t="s">
        <v>632</v>
      </c>
      <c r="E211" s="0" t="s">
        <v>552</v>
      </c>
      <c r="F211" s="0" t="n">
        <v>374</v>
      </c>
      <c r="G211" s="0" t="n">
        <v>188.43</v>
      </c>
      <c r="H211" s="0" t="n">
        <v>112.19</v>
      </c>
      <c r="I211" s="0" t="n">
        <v>70472.82</v>
      </c>
      <c r="J211" s="0" t="n">
        <v>41959.06</v>
      </c>
      <c r="K211" s="0" t="n">
        <v>28513.76</v>
      </c>
    </row>
    <row r="212" customFormat="false" ht="15" hidden="false" customHeight="false" outlineLevel="0" collapsed="false">
      <c r="A212" s="0" t="s">
        <v>798</v>
      </c>
      <c r="B212" s="0" t="s">
        <v>69</v>
      </c>
      <c r="C212" s="0" t="s">
        <v>221</v>
      </c>
      <c r="D212" s="0" t="s">
        <v>634</v>
      </c>
      <c r="E212" s="0" t="s">
        <v>555</v>
      </c>
      <c r="F212" s="0" t="n">
        <v>304</v>
      </c>
      <c r="G212" s="0" t="n">
        <v>170.8</v>
      </c>
      <c r="H212" s="0" t="n">
        <v>92.95</v>
      </c>
      <c r="I212" s="0" t="n">
        <v>51923.2</v>
      </c>
      <c r="J212" s="0" t="n">
        <v>28256.8</v>
      </c>
      <c r="K212" s="0" t="n">
        <v>23666.4</v>
      </c>
    </row>
    <row r="213" customFormat="false" ht="15" hidden="false" customHeight="false" outlineLevel="0" collapsed="false">
      <c r="A213" s="0" t="s">
        <v>799</v>
      </c>
      <c r="B213" s="0" t="s">
        <v>69</v>
      </c>
      <c r="C213" s="0" t="s">
        <v>221</v>
      </c>
      <c r="D213" s="0" t="s">
        <v>636</v>
      </c>
      <c r="E213" s="0" t="s">
        <v>534</v>
      </c>
      <c r="F213" s="0" t="n">
        <v>416</v>
      </c>
      <c r="G213" s="0" t="n">
        <v>196.22</v>
      </c>
      <c r="H213" s="0" t="n">
        <v>140.18</v>
      </c>
      <c r="I213" s="0" t="n">
        <v>81627.52</v>
      </c>
      <c r="J213" s="0" t="n">
        <v>58314.88</v>
      </c>
      <c r="K213" s="0" t="n">
        <v>23312.64</v>
      </c>
    </row>
    <row r="214" customFormat="false" ht="15" hidden="false" customHeight="false" outlineLevel="0" collapsed="false">
      <c r="A214" s="0" t="s">
        <v>800</v>
      </c>
      <c r="B214" s="0" t="s">
        <v>69</v>
      </c>
      <c r="C214" s="0" t="s">
        <v>221</v>
      </c>
      <c r="D214" s="0" t="s">
        <v>638</v>
      </c>
      <c r="E214" s="0" t="s">
        <v>537</v>
      </c>
      <c r="F214" s="0" t="n">
        <v>335</v>
      </c>
      <c r="G214" s="0" t="n">
        <v>230.45</v>
      </c>
      <c r="H214" s="0" t="n">
        <v>167.75</v>
      </c>
      <c r="I214" s="0" t="n">
        <v>77200.75</v>
      </c>
      <c r="J214" s="0" t="n">
        <v>56196.25</v>
      </c>
      <c r="K214" s="0" t="n">
        <v>21004.5</v>
      </c>
    </row>
    <row r="215" customFormat="false" ht="15" hidden="false" customHeight="false" outlineLevel="0" collapsed="false">
      <c r="A215" s="0" t="s">
        <v>801</v>
      </c>
      <c r="B215" s="0" t="s">
        <v>69</v>
      </c>
      <c r="C215" s="0" t="s">
        <v>221</v>
      </c>
      <c r="D215" s="0" t="s">
        <v>640</v>
      </c>
      <c r="E215" s="0" t="s">
        <v>540</v>
      </c>
      <c r="F215" s="0" t="n">
        <v>410</v>
      </c>
      <c r="G215" s="0" t="n">
        <v>281.65</v>
      </c>
      <c r="H215" s="0" t="n">
        <v>173.59</v>
      </c>
      <c r="I215" s="0" t="n">
        <v>115476.5</v>
      </c>
      <c r="J215" s="0" t="n">
        <v>71171.9</v>
      </c>
      <c r="K215" s="0" t="n">
        <v>44304.6</v>
      </c>
    </row>
    <row r="216" customFormat="false" ht="15" hidden="false" customHeight="false" outlineLevel="0" collapsed="false">
      <c r="A216" s="0" t="s">
        <v>802</v>
      </c>
      <c r="B216" s="0" t="s">
        <v>69</v>
      </c>
      <c r="C216" s="0" t="s">
        <v>221</v>
      </c>
      <c r="D216" s="0" t="s">
        <v>642</v>
      </c>
      <c r="E216" s="0" t="s">
        <v>543</v>
      </c>
      <c r="F216" s="0" t="n">
        <v>163</v>
      </c>
      <c r="G216" s="0" t="n">
        <v>307.65</v>
      </c>
      <c r="H216" s="0" t="n">
        <v>211.71</v>
      </c>
      <c r="I216" s="0" t="n">
        <v>50146.95</v>
      </c>
      <c r="J216" s="0" t="n">
        <v>34508.73</v>
      </c>
      <c r="K216" s="0" t="n">
        <v>15638.22</v>
      </c>
    </row>
    <row r="217" customFormat="false" ht="15" hidden="false" customHeight="false" outlineLevel="0" collapsed="false">
      <c r="A217" s="0" t="s">
        <v>803</v>
      </c>
      <c r="B217" s="0" t="s">
        <v>69</v>
      </c>
      <c r="C217" s="0" t="s">
        <v>221</v>
      </c>
      <c r="D217" s="0" t="s">
        <v>644</v>
      </c>
      <c r="E217" s="0" t="s">
        <v>546</v>
      </c>
      <c r="F217" s="0" t="n">
        <v>418</v>
      </c>
      <c r="G217" s="0" t="n">
        <v>101.76</v>
      </c>
      <c r="H217" s="0" t="n">
        <v>70.82</v>
      </c>
      <c r="I217" s="0" t="n">
        <v>42535.68</v>
      </c>
      <c r="J217" s="0" t="n">
        <v>29602.76</v>
      </c>
      <c r="K217" s="0" t="n">
        <v>12932.92</v>
      </c>
    </row>
    <row r="218" customFormat="false" ht="15" hidden="false" customHeight="false" outlineLevel="0" collapsed="false">
      <c r="A218" s="0" t="s">
        <v>804</v>
      </c>
      <c r="B218" s="0" t="s">
        <v>70</v>
      </c>
      <c r="C218" s="0" t="s">
        <v>221</v>
      </c>
      <c r="D218" s="0" t="s">
        <v>601</v>
      </c>
      <c r="E218" s="0" t="s">
        <v>552</v>
      </c>
      <c r="F218" s="0" t="n">
        <v>360</v>
      </c>
      <c r="G218" s="0" t="n">
        <v>188.23</v>
      </c>
      <c r="H218" s="0" t="n">
        <v>113.77</v>
      </c>
      <c r="I218" s="0" t="n">
        <v>67762.8</v>
      </c>
      <c r="J218" s="0" t="n">
        <v>40957.2</v>
      </c>
      <c r="K218" s="0" t="n">
        <v>26805.6</v>
      </c>
    </row>
    <row r="219" customFormat="false" ht="15" hidden="false" customHeight="false" outlineLevel="0" collapsed="false">
      <c r="A219" s="0" t="s">
        <v>805</v>
      </c>
      <c r="B219" s="0" t="s">
        <v>70</v>
      </c>
      <c r="C219" s="0" t="s">
        <v>221</v>
      </c>
      <c r="D219" s="0" t="s">
        <v>603</v>
      </c>
      <c r="E219" s="0" t="s">
        <v>555</v>
      </c>
      <c r="F219" s="0" t="n">
        <v>459</v>
      </c>
      <c r="G219" s="0" t="n">
        <v>169.23</v>
      </c>
      <c r="H219" s="0" t="n">
        <v>95.87</v>
      </c>
      <c r="I219" s="0" t="n">
        <v>77676.57</v>
      </c>
      <c r="J219" s="0" t="n">
        <v>44004.33</v>
      </c>
      <c r="K219" s="0" t="n">
        <v>33672.24</v>
      </c>
    </row>
    <row r="220" customFormat="false" ht="15" hidden="false" customHeight="false" outlineLevel="0" collapsed="false">
      <c r="A220" s="0" t="s">
        <v>806</v>
      </c>
      <c r="B220" s="0" t="s">
        <v>70</v>
      </c>
      <c r="C220" s="0" t="s">
        <v>221</v>
      </c>
      <c r="D220" s="0" t="s">
        <v>605</v>
      </c>
      <c r="E220" s="0" t="s">
        <v>534</v>
      </c>
      <c r="F220" s="0" t="n">
        <v>210</v>
      </c>
      <c r="G220" s="0" t="n">
        <v>209.58</v>
      </c>
      <c r="H220" s="0" t="n">
        <v>128.09</v>
      </c>
      <c r="I220" s="0" t="n">
        <v>44011.8</v>
      </c>
      <c r="J220" s="0" t="n">
        <v>26898.9</v>
      </c>
      <c r="K220" s="0" t="n">
        <v>17112.9</v>
      </c>
    </row>
    <row r="221" customFormat="false" ht="15" hidden="false" customHeight="false" outlineLevel="0" collapsed="false">
      <c r="A221" s="0" t="s">
        <v>807</v>
      </c>
      <c r="B221" s="0" t="s">
        <v>70</v>
      </c>
      <c r="C221" s="0" t="s">
        <v>221</v>
      </c>
      <c r="D221" s="0" t="s">
        <v>607</v>
      </c>
      <c r="E221" s="0" t="s">
        <v>537</v>
      </c>
      <c r="F221" s="0" t="n">
        <v>315</v>
      </c>
      <c r="G221" s="0" t="n">
        <v>235.03</v>
      </c>
      <c r="H221" s="0" t="n">
        <v>158.46</v>
      </c>
      <c r="I221" s="0" t="n">
        <v>74034.45</v>
      </c>
      <c r="J221" s="0" t="n">
        <v>49914.9</v>
      </c>
      <c r="K221" s="0" t="n">
        <v>24119.55</v>
      </c>
    </row>
    <row r="222" customFormat="false" ht="15" hidden="false" customHeight="false" outlineLevel="0" collapsed="false">
      <c r="A222" s="0" t="s">
        <v>808</v>
      </c>
      <c r="B222" s="0" t="s">
        <v>70</v>
      </c>
      <c r="C222" s="0" t="s">
        <v>221</v>
      </c>
      <c r="D222" s="0" t="s">
        <v>609</v>
      </c>
      <c r="E222" s="0" t="s">
        <v>540</v>
      </c>
      <c r="F222" s="0" t="n">
        <v>397</v>
      </c>
      <c r="G222" s="0" t="n">
        <v>273.52</v>
      </c>
      <c r="H222" s="0" t="n">
        <v>171.06</v>
      </c>
      <c r="I222" s="0" t="n">
        <v>108587.44</v>
      </c>
      <c r="J222" s="0" t="n">
        <v>67910.82</v>
      </c>
      <c r="K222" s="0" t="n">
        <v>40676.62</v>
      </c>
    </row>
    <row r="223" customFormat="false" ht="15" hidden="false" customHeight="false" outlineLevel="0" collapsed="false">
      <c r="A223" s="0" t="s">
        <v>809</v>
      </c>
      <c r="B223" s="0" t="s">
        <v>70</v>
      </c>
      <c r="C223" s="0" t="s">
        <v>221</v>
      </c>
      <c r="D223" s="0" t="s">
        <v>611</v>
      </c>
      <c r="E223" s="0" t="s">
        <v>543</v>
      </c>
      <c r="F223" s="0" t="n">
        <v>338</v>
      </c>
      <c r="G223" s="0" t="n">
        <v>325.2</v>
      </c>
      <c r="H223" s="0" t="n">
        <v>198.33</v>
      </c>
      <c r="I223" s="0" t="n">
        <v>109917.6</v>
      </c>
      <c r="J223" s="0" t="n">
        <v>67035.54</v>
      </c>
      <c r="K223" s="0" t="n">
        <v>42882.06</v>
      </c>
    </row>
    <row r="224" customFormat="false" ht="15" hidden="false" customHeight="false" outlineLevel="0" collapsed="false">
      <c r="A224" s="0" t="s">
        <v>810</v>
      </c>
      <c r="B224" s="0" t="s">
        <v>70</v>
      </c>
      <c r="C224" s="0" t="s">
        <v>221</v>
      </c>
      <c r="D224" s="0" t="s">
        <v>628</v>
      </c>
      <c r="E224" s="0" t="s">
        <v>546</v>
      </c>
      <c r="F224" s="0" t="n">
        <v>193</v>
      </c>
      <c r="G224" s="0" t="n">
        <v>102.97</v>
      </c>
      <c r="H224" s="0" t="n">
        <v>66.4</v>
      </c>
      <c r="I224" s="0" t="n">
        <v>19873.21</v>
      </c>
      <c r="J224" s="0" t="n">
        <v>12815.2</v>
      </c>
      <c r="K224" s="0" t="n">
        <v>7058.01</v>
      </c>
    </row>
    <row r="225" customFormat="false" ht="15" hidden="false" customHeight="false" outlineLevel="0" collapsed="false">
      <c r="A225" s="0" t="s">
        <v>811</v>
      </c>
      <c r="B225" s="0" t="s">
        <v>70</v>
      </c>
      <c r="C225" s="0" t="s">
        <v>221</v>
      </c>
      <c r="D225" s="0" t="s">
        <v>630</v>
      </c>
      <c r="E225" s="0" t="s">
        <v>549</v>
      </c>
      <c r="F225" s="0" t="n">
        <v>228</v>
      </c>
      <c r="G225" s="0" t="n">
        <v>145.64</v>
      </c>
      <c r="H225" s="0" t="n">
        <v>85.62</v>
      </c>
      <c r="I225" s="0" t="n">
        <v>33205.92</v>
      </c>
      <c r="J225" s="0" t="n">
        <v>19521.36</v>
      </c>
      <c r="K225" s="0" t="n">
        <v>13684.56</v>
      </c>
    </row>
    <row r="226" customFormat="false" ht="15" hidden="false" customHeight="false" outlineLevel="0" collapsed="false">
      <c r="A226" s="0" t="s">
        <v>812</v>
      </c>
      <c r="B226" s="0" t="s">
        <v>70</v>
      </c>
      <c r="C226" s="0" t="s">
        <v>221</v>
      </c>
      <c r="D226" s="0" t="s">
        <v>632</v>
      </c>
      <c r="E226" s="0" t="s">
        <v>552</v>
      </c>
      <c r="F226" s="0" t="n">
        <v>226</v>
      </c>
      <c r="G226" s="0" t="n">
        <v>182.83</v>
      </c>
      <c r="H226" s="0" t="n">
        <v>114.46</v>
      </c>
      <c r="I226" s="0" t="n">
        <v>41319.58</v>
      </c>
      <c r="J226" s="0" t="n">
        <v>25867.96</v>
      </c>
      <c r="K226" s="0" t="n">
        <v>15451.62</v>
      </c>
    </row>
    <row r="227" customFormat="false" ht="15" hidden="false" customHeight="false" outlineLevel="0" collapsed="false">
      <c r="A227" s="0" t="s">
        <v>813</v>
      </c>
      <c r="B227" s="0" t="s">
        <v>70</v>
      </c>
      <c r="C227" s="0" t="s">
        <v>221</v>
      </c>
      <c r="D227" s="0" t="s">
        <v>634</v>
      </c>
      <c r="E227" s="0" t="s">
        <v>555</v>
      </c>
      <c r="F227" s="0" t="n">
        <v>182</v>
      </c>
      <c r="G227" s="0" t="n">
        <v>157.7</v>
      </c>
      <c r="H227" s="0" t="n">
        <v>100.46</v>
      </c>
      <c r="I227" s="0" t="n">
        <v>28701.4</v>
      </c>
      <c r="J227" s="0" t="n">
        <v>18283.72</v>
      </c>
      <c r="K227" s="0" t="n">
        <v>10417.68</v>
      </c>
    </row>
    <row r="228" customFormat="false" ht="15" hidden="false" customHeight="false" outlineLevel="0" collapsed="false">
      <c r="A228" s="0" t="s">
        <v>814</v>
      </c>
      <c r="B228" s="0" t="s">
        <v>70</v>
      </c>
      <c r="C228" s="0" t="s">
        <v>221</v>
      </c>
      <c r="D228" s="0" t="s">
        <v>636</v>
      </c>
      <c r="E228" s="0" t="s">
        <v>534</v>
      </c>
      <c r="F228" s="0" t="n">
        <v>335</v>
      </c>
      <c r="G228" s="0" t="n">
        <v>202.06</v>
      </c>
      <c r="H228" s="0" t="n">
        <v>130.53</v>
      </c>
      <c r="I228" s="0" t="n">
        <v>67690.1</v>
      </c>
      <c r="J228" s="0" t="n">
        <v>43727.55</v>
      </c>
      <c r="K228" s="0" t="n">
        <v>23962.55</v>
      </c>
    </row>
    <row r="229" customFormat="false" ht="15" hidden="false" customHeight="false" outlineLevel="0" collapsed="false">
      <c r="A229" s="0" t="s">
        <v>815</v>
      </c>
      <c r="B229" s="0" t="s">
        <v>70</v>
      </c>
      <c r="C229" s="0" t="s">
        <v>221</v>
      </c>
      <c r="D229" s="0" t="s">
        <v>638</v>
      </c>
      <c r="E229" s="0" t="s">
        <v>537</v>
      </c>
      <c r="F229" s="0" t="n">
        <v>328</v>
      </c>
      <c r="G229" s="0" t="n">
        <v>248.36</v>
      </c>
      <c r="H229" s="0" t="n">
        <v>158.95</v>
      </c>
      <c r="I229" s="0" t="n">
        <v>81462.08</v>
      </c>
      <c r="J229" s="0" t="n">
        <v>52135.6</v>
      </c>
      <c r="K229" s="0" t="n">
        <v>29326.48</v>
      </c>
    </row>
    <row r="230" customFormat="false" ht="15" hidden="false" customHeight="false" outlineLevel="0" collapsed="false">
      <c r="A230" s="0" t="s">
        <v>816</v>
      </c>
      <c r="B230" s="0" t="s">
        <v>70</v>
      </c>
      <c r="C230" s="0" t="s">
        <v>221</v>
      </c>
      <c r="D230" s="0" t="s">
        <v>640</v>
      </c>
      <c r="E230" s="0" t="s">
        <v>540</v>
      </c>
      <c r="F230" s="0" t="n">
        <v>93</v>
      </c>
      <c r="G230" s="0" t="n">
        <v>252.59</v>
      </c>
      <c r="H230" s="0" t="n">
        <v>168.71</v>
      </c>
      <c r="I230" s="0" t="n">
        <v>23490.87</v>
      </c>
      <c r="J230" s="0" t="n">
        <v>15690.03</v>
      </c>
      <c r="K230" s="0" t="n">
        <v>7800.84</v>
      </c>
    </row>
    <row r="231" customFormat="false" ht="15" hidden="false" customHeight="false" outlineLevel="0" collapsed="false">
      <c r="A231" s="0" t="s">
        <v>817</v>
      </c>
      <c r="B231" s="0" t="s">
        <v>70</v>
      </c>
      <c r="C231" s="0" t="s">
        <v>221</v>
      </c>
      <c r="D231" s="0" t="s">
        <v>642</v>
      </c>
      <c r="E231" s="0" t="s">
        <v>543</v>
      </c>
      <c r="F231" s="0" t="n">
        <v>439</v>
      </c>
      <c r="G231" s="0" t="n">
        <v>299.53</v>
      </c>
      <c r="H231" s="0" t="n">
        <v>210.01</v>
      </c>
      <c r="I231" s="0" t="n">
        <v>131493.67</v>
      </c>
      <c r="J231" s="0" t="n">
        <v>92194.39</v>
      </c>
      <c r="K231" s="0" t="n">
        <v>39299.28</v>
      </c>
    </row>
    <row r="232" customFormat="false" ht="15" hidden="false" customHeight="false" outlineLevel="0" collapsed="false">
      <c r="A232" s="0" t="s">
        <v>818</v>
      </c>
      <c r="B232" s="0" t="s">
        <v>70</v>
      </c>
      <c r="C232" s="0" t="s">
        <v>221</v>
      </c>
      <c r="D232" s="0" t="s">
        <v>644</v>
      </c>
      <c r="E232" s="0" t="s">
        <v>546</v>
      </c>
      <c r="F232" s="0" t="n">
        <v>273</v>
      </c>
      <c r="G232" s="0" t="n">
        <v>104.67</v>
      </c>
      <c r="H232" s="0" t="n">
        <v>68.59</v>
      </c>
      <c r="I232" s="0" t="n">
        <v>28574.91</v>
      </c>
      <c r="J232" s="0" t="n">
        <v>18725.07</v>
      </c>
      <c r="K232" s="0" t="n">
        <v>9849.84</v>
      </c>
    </row>
    <row r="233" customFormat="false" ht="15" hidden="false" customHeight="false" outlineLevel="0" collapsed="false">
      <c r="A233" s="0" t="s">
        <v>819</v>
      </c>
      <c r="B233" s="0" t="s">
        <v>70</v>
      </c>
      <c r="C233" s="0" t="s">
        <v>221</v>
      </c>
      <c r="D233" s="0" t="s">
        <v>646</v>
      </c>
      <c r="E233" s="0" t="s">
        <v>549</v>
      </c>
      <c r="F233" s="0" t="n">
        <v>302</v>
      </c>
      <c r="G233" s="0" t="n">
        <v>147.84</v>
      </c>
      <c r="H233" s="0" t="n">
        <v>84.14</v>
      </c>
      <c r="I233" s="0" t="n">
        <v>44647.68</v>
      </c>
      <c r="J233" s="0" t="n">
        <v>25410.28</v>
      </c>
      <c r="K233" s="0" t="n">
        <v>19237.4</v>
      </c>
    </row>
    <row r="234" customFormat="false" ht="15" hidden="false" customHeight="false" outlineLevel="0" collapsed="false">
      <c r="A234" s="0" t="s">
        <v>820</v>
      </c>
      <c r="B234" s="0" t="s">
        <v>70</v>
      </c>
      <c r="C234" s="0" t="s">
        <v>221</v>
      </c>
      <c r="D234" s="0" t="s">
        <v>648</v>
      </c>
      <c r="E234" s="0" t="s">
        <v>552</v>
      </c>
      <c r="F234" s="0" t="n">
        <v>265</v>
      </c>
      <c r="G234" s="0" t="n">
        <v>186.46</v>
      </c>
      <c r="H234" s="0" t="n">
        <v>111.16</v>
      </c>
      <c r="I234" s="0" t="n">
        <v>49411.9</v>
      </c>
      <c r="J234" s="0" t="n">
        <v>29457.4</v>
      </c>
      <c r="K234" s="0" t="n">
        <v>19954.5</v>
      </c>
    </row>
    <row r="235" customFormat="false" ht="15" hidden="false" customHeight="false" outlineLevel="0" collapsed="false">
      <c r="A235" s="0" t="s">
        <v>821</v>
      </c>
      <c r="B235" s="0" t="s">
        <v>70</v>
      </c>
      <c r="C235" s="0" t="s">
        <v>221</v>
      </c>
      <c r="D235" s="0" t="s">
        <v>650</v>
      </c>
      <c r="E235" s="0" t="s">
        <v>555</v>
      </c>
      <c r="F235" s="0" t="n">
        <v>213</v>
      </c>
      <c r="G235" s="0" t="n">
        <v>160.99</v>
      </c>
      <c r="H235" s="0" t="n">
        <v>100.47</v>
      </c>
      <c r="I235" s="0" t="n">
        <v>34290.87</v>
      </c>
      <c r="J235" s="0" t="n">
        <v>21400.11</v>
      </c>
      <c r="K235" s="0" t="n">
        <v>12890.76</v>
      </c>
    </row>
    <row r="236" customFormat="false" ht="15" hidden="false" customHeight="false" outlineLevel="0" collapsed="false">
      <c r="A236" s="0" t="s">
        <v>822</v>
      </c>
      <c r="B236" s="0" t="s">
        <v>70</v>
      </c>
      <c r="C236" s="0" t="s">
        <v>221</v>
      </c>
      <c r="D236" s="0" t="s">
        <v>533</v>
      </c>
      <c r="E236" s="0" t="s">
        <v>534</v>
      </c>
      <c r="F236" s="0" t="n">
        <v>246</v>
      </c>
      <c r="G236" s="0" t="n">
        <v>190.16</v>
      </c>
      <c r="H236" s="0" t="n">
        <v>135.21</v>
      </c>
      <c r="I236" s="0" t="n">
        <v>46779.36</v>
      </c>
      <c r="J236" s="0" t="n">
        <v>33261.66</v>
      </c>
      <c r="K236" s="0" t="n">
        <v>13517.7</v>
      </c>
    </row>
    <row r="237" customFormat="false" ht="15" hidden="false" customHeight="false" outlineLevel="0" collapsed="false">
      <c r="A237" s="0" t="s">
        <v>823</v>
      </c>
      <c r="B237" s="0" t="s">
        <v>70</v>
      </c>
      <c r="C237" s="0" t="s">
        <v>221</v>
      </c>
      <c r="D237" s="0" t="s">
        <v>536</v>
      </c>
      <c r="E237" s="0" t="s">
        <v>537</v>
      </c>
      <c r="F237" s="0" t="n">
        <v>438</v>
      </c>
      <c r="G237" s="0" t="n">
        <v>233.09</v>
      </c>
      <c r="H237" s="0" t="n">
        <v>153.81</v>
      </c>
      <c r="I237" s="0" t="n">
        <v>102093.42</v>
      </c>
      <c r="J237" s="0" t="n">
        <v>67368.78</v>
      </c>
      <c r="K237" s="0" t="n">
        <v>34724.64</v>
      </c>
    </row>
    <row r="238" customFormat="false" ht="15" hidden="false" customHeight="false" outlineLevel="0" collapsed="false">
      <c r="A238" s="0" t="s">
        <v>824</v>
      </c>
      <c r="B238" s="0" t="s">
        <v>70</v>
      </c>
      <c r="C238" s="0" t="s">
        <v>221</v>
      </c>
      <c r="D238" s="0" t="s">
        <v>539</v>
      </c>
      <c r="E238" s="0" t="s">
        <v>540</v>
      </c>
      <c r="F238" s="0" t="n">
        <v>332</v>
      </c>
      <c r="G238" s="0" t="n">
        <v>259.26</v>
      </c>
      <c r="H238" s="0" t="n">
        <v>176.26</v>
      </c>
      <c r="I238" s="0" t="n">
        <v>86074.32</v>
      </c>
      <c r="J238" s="0" t="n">
        <v>58518.32</v>
      </c>
      <c r="K238" s="0" t="n">
        <v>27556</v>
      </c>
    </row>
    <row r="239" customFormat="false" ht="15" hidden="false" customHeight="false" outlineLevel="0" collapsed="false">
      <c r="A239" s="0" t="s">
        <v>825</v>
      </c>
      <c r="B239" s="0" t="s">
        <v>70</v>
      </c>
      <c r="C239" s="0" t="s">
        <v>221</v>
      </c>
      <c r="D239" s="0" t="s">
        <v>542</v>
      </c>
      <c r="E239" s="0" t="s">
        <v>543</v>
      </c>
      <c r="F239" s="0" t="n">
        <v>353</v>
      </c>
      <c r="G239" s="0" t="n">
        <v>314.46</v>
      </c>
      <c r="H239" s="0" t="n">
        <v>217.69</v>
      </c>
      <c r="I239" s="0" t="n">
        <v>111004.38</v>
      </c>
      <c r="J239" s="0" t="n">
        <v>76844.57</v>
      </c>
      <c r="K239" s="0" t="n">
        <v>34159.81</v>
      </c>
    </row>
    <row r="240" customFormat="false" ht="15" hidden="false" customHeight="false" outlineLevel="0" collapsed="false">
      <c r="A240" s="0" t="s">
        <v>826</v>
      </c>
      <c r="B240" s="0" t="s">
        <v>70</v>
      </c>
      <c r="C240" s="0" t="s">
        <v>221</v>
      </c>
      <c r="D240" s="0" t="s">
        <v>545</v>
      </c>
      <c r="E240" s="0" t="s">
        <v>546</v>
      </c>
      <c r="F240" s="0" t="n">
        <v>184</v>
      </c>
      <c r="G240" s="0" t="n">
        <v>102.14</v>
      </c>
      <c r="H240" s="0" t="n">
        <v>67.22</v>
      </c>
      <c r="I240" s="0" t="n">
        <v>18793.76</v>
      </c>
      <c r="J240" s="0" t="n">
        <v>12368.48</v>
      </c>
      <c r="K240" s="0" t="n">
        <v>6425.28</v>
      </c>
    </row>
    <row r="241" customFormat="false" ht="15" hidden="false" customHeight="false" outlineLevel="0" collapsed="false">
      <c r="A241" s="0" t="s">
        <v>827</v>
      </c>
      <c r="B241" s="0" t="s">
        <v>70</v>
      </c>
      <c r="C241" s="0" t="s">
        <v>221</v>
      </c>
      <c r="D241" s="0" t="s">
        <v>548</v>
      </c>
      <c r="E241" s="0" t="s">
        <v>549</v>
      </c>
      <c r="F241" s="0" t="n">
        <v>239</v>
      </c>
      <c r="G241" s="0" t="n">
        <v>129.32</v>
      </c>
      <c r="H241" s="0" t="n">
        <v>83.98</v>
      </c>
      <c r="I241" s="0" t="n">
        <v>30907.48</v>
      </c>
      <c r="J241" s="0" t="n">
        <v>20071.22</v>
      </c>
      <c r="K241" s="0" t="n">
        <v>10836.26</v>
      </c>
    </row>
    <row r="242" customFormat="false" ht="15" hidden="false" customHeight="false" outlineLevel="0" collapsed="false">
      <c r="A242" s="0" t="s">
        <v>828</v>
      </c>
      <c r="B242" s="0" t="s">
        <v>70</v>
      </c>
      <c r="C242" s="0" t="s">
        <v>221</v>
      </c>
      <c r="D242" s="0" t="s">
        <v>551</v>
      </c>
      <c r="E242" s="0" t="s">
        <v>552</v>
      </c>
      <c r="F242" s="0" t="n">
        <v>225</v>
      </c>
      <c r="G242" s="0" t="n">
        <v>170.22</v>
      </c>
      <c r="H242" s="0" t="n">
        <v>108.25</v>
      </c>
      <c r="I242" s="0" t="n">
        <v>38299.5</v>
      </c>
      <c r="J242" s="0" t="n">
        <v>24356.25</v>
      </c>
      <c r="K242" s="0" t="n">
        <v>13943.25</v>
      </c>
    </row>
    <row r="243" customFormat="false" ht="15" hidden="false" customHeight="false" outlineLevel="0" collapsed="false">
      <c r="A243" s="0" t="s">
        <v>829</v>
      </c>
      <c r="B243" s="0" t="s">
        <v>70</v>
      </c>
      <c r="C243" s="0" t="s">
        <v>221</v>
      </c>
      <c r="D243" s="0" t="s">
        <v>554</v>
      </c>
      <c r="E243" s="0" t="s">
        <v>555</v>
      </c>
      <c r="F243" s="0" t="n">
        <v>234</v>
      </c>
      <c r="G243" s="0" t="n">
        <v>171.62</v>
      </c>
      <c r="H243" s="0" t="n">
        <v>93.61</v>
      </c>
      <c r="I243" s="0" t="n">
        <v>40159.08</v>
      </c>
      <c r="J243" s="0" t="n">
        <v>21904.74</v>
      </c>
      <c r="K243" s="0" t="n">
        <v>18254.34</v>
      </c>
    </row>
    <row r="244" customFormat="false" ht="15" hidden="false" customHeight="false" outlineLevel="0" collapsed="false">
      <c r="A244" s="0" t="s">
        <v>830</v>
      </c>
      <c r="B244" s="0" t="s">
        <v>70</v>
      </c>
      <c r="C244" s="0" t="s">
        <v>221</v>
      </c>
      <c r="D244" s="0" t="s">
        <v>557</v>
      </c>
      <c r="E244" s="0" t="s">
        <v>534</v>
      </c>
      <c r="F244" s="0" t="n">
        <v>336</v>
      </c>
      <c r="G244" s="0" t="n">
        <v>189.7</v>
      </c>
      <c r="H244" s="0" t="n">
        <v>126.91</v>
      </c>
      <c r="I244" s="0" t="n">
        <v>63739.2</v>
      </c>
      <c r="J244" s="0" t="n">
        <v>42641.76</v>
      </c>
      <c r="K244" s="0" t="n">
        <v>21097.44</v>
      </c>
    </row>
    <row r="245" customFormat="false" ht="15" hidden="false" customHeight="false" outlineLevel="0" collapsed="false">
      <c r="A245" s="0" t="s">
        <v>831</v>
      </c>
      <c r="B245" s="0" t="s">
        <v>70</v>
      </c>
      <c r="C245" s="0" t="s">
        <v>221</v>
      </c>
      <c r="D245" s="0" t="s">
        <v>559</v>
      </c>
      <c r="E245" s="0" t="s">
        <v>537</v>
      </c>
      <c r="F245" s="0" t="n">
        <v>230</v>
      </c>
      <c r="G245" s="0" t="n">
        <v>242.51</v>
      </c>
      <c r="H245" s="0" t="n">
        <v>158.01</v>
      </c>
      <c r="I245" s="0" t="n">
        <v>55777.3</v>
      </c>
      <c r="J245" s="0" t="n">
        <v>36342.3</v>
      </c>
      <c r="K245" s="0" t="n">
        <v>19435</v>
      </c>
    </row>
    <row r="246" customFormat="false" ht="15" hidden="false" customHeight="false" outlineLevel="0" collapsed="false">
      <c r="A246" s="0" t="s">
        <v>832</v>
      </c>
      <c r="B246" s="0" t="s">
        <v>70</v>
      </c>
      <c r="C246" s="0" t="s">
        <v>221</v>
      </c>
      <c r="D246" s="0" t="s">
        <v>561</v>
      </c>
      <c r="E246" s="0" t="s">
        <v>540</v>
      </c>
      <c r="F246" s="0" t="n">
        <v>179</v>
      </c>
      <c r="G246" s="0" t="n">
        <v>284.34</v>
      </c>
      <c r="H246" s="0" t="n">
        <v>169.34</v>
      </c>
      <c r="I246" s="0" t="n">
        <v>50896.86</v>
      </c>
      <c r="J246" s="0" t="n">
        <v>30311.86</v>
      </c>
      <c r="K246" s="0" t="n">
        <v>20585</v>
      </c>
    </row>
    <row r="247" customFormat="false" ht="15" hidden="false" customHeight="false" outlineLevel="0" collapsed="false">
      <c r="A247" s="0" t="s">
        <v>833</v>
      </c>
      <c r="B247" s="0" t="s">
        <v>70</v>
      </c>
      <c r="C247" s="0" t="s">
        <v>221</v>
      </c>
      <c r="D247" s="0" t="s">
        <v>563</v>
      </c>
      <c r="E247" s="0" t="s">
        <v>543</v>
      </c>
      <c r="F247" s="0" t="n">
        <v>329</v>
      </c>
      <c r="G247" s="0" t="n">
        <v>294.07</v>
      </c>
      <c r="H247" s="0" t="n">
        <v>195.5</v>
      </c>
      <c r="I247" s="0" t="n">
        <v>96749.03</v>
      </c>
      <c r="J247" s="0" t="n">
        <v>64319.5</v>
      </c>
      <c r="K247" s="0" t="n">
        <v>32429.53</v>
      </c>
    </row>
    <row r="248" customFormat="false" ht="15" hidden="false" customHeight="false" outlineLevel="0" collapsed="false">
      <c r="A248" s="0" t="s">
        <v>834</v>
      </c>
      <c r="B248" s="0" t="s">
        <v>70</v>
      </c>
      <c r="C248" s="0" t="s">
        <v>221</v>
      </c>
      <c r="D248" s="0" t="s">
        <v>565</v>
      </c>
      <c r="E248" s="0" t="s">
        <v>546</v>
      </c>
      <c r="F248" s="0" t="n">
        <v>336</v>
      </c>
      <c r="G248" s="0" t="n">
        <v>98.96</v>
      </c>
      <c r="H248" s="0" t="n">
        <v>69.38</v>
      </c>
      <c r="I248" s="0" t="n">
        <v>33250.56</v>
      </c>
      <c r="J248" s="0" t="n">
        <v>23311.68</v>
      </c>
      <c r="K248" s="0" t="n">
        <v>9938.88</v>
      </c>
    </row>
    <row r="249" customFormat="false" ht="15" hidden="false" customHeight="false" outlineLevel="0" collapsed="false">
      <c r="A249" s="0" t="s">
        <v>835</v>
      </c>
      <c r="B249" s="0" t="s">
        <v>70</v>
      </c>
      <c r="C249" s="0" t="s">
        <v>221</v>
      </c>
      <c r="D249" s="0" t="s">
        <v>567</v>
      </c>
      <c r="E249" s="0" t="s">
        <v>549</v>
      </c>
      <c r="F249" s="0" t="n">
        <v>112</v>
      </c>
      <c r="G249" s="0" t="n">
        <v>131.91</v>
      </c>
      <c r="H249" s="0" t="n">
        <v>86.7</v>
      </c>
      <c r="I249" s="0" t="n">
        <v>14773.92</v>
      </c>
      <c r="J249" s="0" t="n">
        <v>9710.4</v>
      </c>
      <c r="K249" s="0" t="n">
        <v>5063.52</v>
      </c>
    </row>
    <row r="250" customFormat="false" ht="15" hidden="false" customHeight="false" outlineLevel="0" collapsed="false">
      <c r="A250" s="0" t="s">
        <v>836</v>
      </c>
      <c r="B250" s="0" t="s">
        <v>70</v>
      </c>
      <c r="C250" s="0" t="s">
        <v>221</v>
      </c>
      <c r="D250" s="0" t="s">
        <v>569</v>
      </c>
      <c r="E250" s="0" t="s">
        <v>552</v>
      </c>
      <c r="F250" s="0" t="n">
        <v>240</v>
      </c>
      <c r="G250" s="0" t="n">
        <v>171.2</v>
      </c>
      <c r="H250" s="0" t="n">
        <v>110.86</v>
      </c>
      <c r="I250" s="0" t="n">
        <v>41088</v>
      </c>
      <c r="J250" s="0" t="n">
        <v>26606.4</v>
      </c>
      <c r="K250" s="0" t="n">
        <v>14481.6</v>
      </c>
    </row>
    <row r="251" customFormat="false" ht="15" hidden="false" customHeight="false" outlineLevel="0" collapsed="false">
      <c r="A251" s="0" t="s">
        <v>837</v>
      </c>
      <c r="B251" s="0" t="s">
        <v>70</v>
      </c>
      <c r="C251" s="0" t="s">
        <v>221</v>
      </c>
      <c r="D251" s="0" t="s">
        <v>571</v>
      </c>
      <c r="E251" s="0" t="s">
        <v>555</v>
      </c>
      <c r="F251" s="0" t="n">
        <v>370</v>
      </c>
      <c r="G251" s="0" t="n">
        <v>173.14</v>
      </c>
      <c r="H251" s="0" t="n">
        <v>99.14</v>
      </c>
      <c r="I251" s="0" t="n">
        <v>64061.8</v>
      </c>
      <c r="J251" s="0" t="n">
        <v>36681.8</v>
      </c>
      <c r="K251" s="0" t="n">
        <v>27380</v>
      </c>
    </row>
    <row r="252" customFormat="false" ht="15" hidden="false" customHeight="false" outlineLevel="0" collapsed="false">
      <c r="A252" s="0" t="s">
        <v>838</v>
      </c>
      <c r="B252" s="0" t="s">
        <v>70</v>
      </c>
      <c r="C252" s="0" t="s">
        <v>221</v>
      </c>
      <c r="D252" s="0" t="s">
        <v>573</v>
      </c>
      <c r="E252" s="0" t="s">
        <v>534</v>
      </c>
      <c r="F252" s="0" t="n">
        <v>401</v>
      </c>
      <c r="G252" s="0" t="n">
        <v>193.06</v>
      </c>
      <c r="H252" s="0" t="n">
        <v>135</v>
      </c>
      <c r="I252" s="0" t="n">
        <v>77417.06</v>
      </c>
      <c r="J252" s="0" t="n">
        <v>54135</v>
      </c>
      <c r="K252" s="0" t="n">
        <v>23282.06</v>
      </c>
    </row>
    <row r="253" customFormat="false" ht="15" hidden="false" customHeight="false" outlineLevel="0" collapsed="false">
      <c r="A253" s="0" t="s">
        <v>839</v>
      </c>
      <c r="B253" s="0" t="s">
        <v>70</v>
      </c>
      <c r="C253" s="0" t="s">
        <v>221</v>
      </c>
      <c r="D253" s="0" t="s">
        <v>575</v>
      </c>
      <c r="E253" s="0" t="s">
        <v>537</v>
      </c>
      <c r="F253" s="0" t="n">
        <v>315</v>
      </c>
      <c r="G253" s="0" t="n">
        <v>257.07</v>
      </c>
      <c r="H253" s="0" t="n">
        <v>155.33</v>
      </c>
      <c r="I253" s="0" t="n">
        <v>80977.05</v>
      </c>
      <c r="J253" s="0" t="n">
        <v>48928.95</v>
      </c>
      <c r="K253" s="0" t="n">
        <v>32048.1</v>
      </c>
    </row>
    <row r="254" customFormat="false" ht="15" hidden="false" customHeight="false" outlineLevel="0" collapsed="false">
      <c r="A254" s="0" t="s">
        <v>840</v>
      </c>
      <c r="B254" s="0" t="s">
        <v>71</v>
      </c>
      <c r="C254" s="0" t="s">
        <v>221</v>
      </c>
      <c r="D254" s="0" t="s">
        <v>542</v>
      </c>
      <c r="E254" s="0" t="s">
        <v>543</v>
      </c>
      <c r="F254" s="0" t="n">
        <v>386</v>
      </c>
      <c r="G254" s="0" t="n">
        <v>331.08</v>
      </c>
      <c r="H254" s="0" t="n">
        <v>201.32</v>
      </c>
      <c r="I254" s="0" t="n">
        <v>127796.88</v>
      </c>
      <c r="J254" s="0" t="n">
        <v>77709.52</v>
      </c>
      <c r="K254" s="0" t="n">
        <v>50087.36</v>
      </c>
    </row>
    <row r="255" customFormat="false" ht="15" hidden="false" customHeight="false" outlineLevel="0" collapsed="false">
      <c r="A255" s="0" t="s">
        <v>841</v>
      </c>
      <c r="B255" s="0" t="s">
        <v>71</v>
      </c>
      <c r="C255" s="0" t="s">
        <v>221</v>
      </c>
      <c r="D255" s="0" t="s">
        <v>545</v>
      </c>
      <c r="E255" s="0" t="s">
        <v>546</v>
      </c>
      <c r="F255" s="0" t="n">
        <v>402</v>
      </c>
      <c r="G255" s="0" t="n">
        <v>98.76</v>
      </c>
      <c r="H255" s="0" t="n">
        <v>72.04</v>
      </c>
      <c r="I255" s="0" t="n">
        <v>39701.52</v>
      </c>
      <c r="J255" s="0" t="n">
        <v>28960.08</v>
      </c>
      <c r="K255" s="0" t="n">
        <v>10741.44</v>
      </c>
    </row>
    <row r="256" customFormat="false" ht="15" hidden="false" customHeight="false" outlineLevel="0" collapsed="false">
      <c r="A256" s="0" t="s">
        <v>842</v>
      </c>
      <c r="B256" s="0" t="s">
        <v>71</v>
      </c>
      <c r="C256" s="0" t="s">
        <v>221</v>
      </c>
      <c r="D256" s="0" t="s">
        <v>548</v>
      </c>
      <c r="E256" s="0" t="s">
        <v>549</v>
      </c>
      <c r="F256" s="0" t="n">
        <v>135</v>
      </c>
      <c r="G256" s="0" t="n">
        <v>146.91</v>
      </c>
      <c r="H256" s="0" t="n">
        <v>80.76</v>
      </c>
      <c r="I256" s="0" t="n">
        <v>19832.85</v>
      </c>
      <c r="J256" s="0" t="n">
        <v>10902.6</v>
      </c>
      <c r="K256" s="0" t="n">
        <v>8930.25</v>
      </c>
    </row>
    <row r="257" customFormat="false" ht="15" hidden="false" customHeight="false" outlineLevel="0" collapsed="false">
      <c r="A257" s="0" t="s">
        <v>843</v>
      </c>
      <c r="B257" s="0" t="s">
        <v>71</v>
      </c>
      <c r="C257" s="0" t="s">
        <v>221</v>
      </c>
      <c r="D257" s="0" t="s">
        <v>551</v>
      </c>
      <c r="E257" s="0" t="s">
        <v>552</v>
      </c>
      <c r="F257" s="0" t="n">
        <v>193</v>
      </c>
      <c r="G257" s="0" t="n">
        <v>175.64</v>
      </c>
      <c r="H257" s="0" t="n">
        <v>108.61</v>
      </c>
      <c r="I257" s="0" t="n">
        <v>33898.52</v>
      </c>
      <c r="J257" s="0" t="n">
        <v>20961.73</v>
      </c>
      <c r="K257" s="0" t="n">
        <v>12936.79</v>
      </c>
    </row>
    <row r="258" customFormat="false" ht="15" hidden="false" customHeight="false" outlineLevel="0" collapsed="false">
      <c r="A258" s="0" t="s">
        <v>844</v>
      </c>
      <c r="B258" s="0" t="s">
        <v>71</v>
      </c>
      <c r="C258" s="0" t="s">
        <v>221</v>
      </c>
      <c r="D258" s="0" t="s">
        <v>554</v>
      </c>
      <c r="E258" s="0" t="s">
        <v>555</v>
      </c>
      <c r="F258" s="0" t="n">
        <v>207</v>
      </c>
      <c r="G258" s="0" t="n">
        <v>159.7</v>
      </c>
      <c r="H258" s="0" t="n">
        <v>93.02</v>
      </c>
      <c r="I258" s="0" t="n">
        <v>33057.9</v>
      </c>
      <c r="J258" s="0" t="n">
        <v>19255.14</v>
      </c>
      <c r="K258" s="0" t="n">
        <v>13802.76</v>
      </c>
    </row>
    <row r="259" customFormat="false" ht="15" hidden="false" customHeight="false" outlineLevel="0" collapsed="false">
      <c r="A259" s="0" t="s">
        <v>845</v>
      </c>
      <c r="B259" s="0" t="s">
        <v>71</v>
      </c>
      <c r="C259" s="0" t="s">
        <v>221</v>
      </c>
      <c r="D259" s="0" t="s">
        <v>557</v>
      </c>
      <c r="E259" s="0" t="s">
        <v>534</v>
      </c>
      <c r="F259" s="0" t="n">
        <v>86</v>
      </c>
      <c r="G259" s="0" t="n">
        <v>198.05</v>
      </c>
      <c r="H259" s="0" t="n">
        <v>137.64</v>
      </c>
      <c r="I259" s="0" t="n">
        <v>17032.3</v>
      </c>
      <c r="J259" s="0" t="n">
        <v>11837.04</v>
      </c>
      <c r="K259" s="0" t="n">
        <v>5195.26</v>
      </c>
    </row>
    <row r="260" customFormat="false" ht="15" hidden="false" customHeight="false" outlineLevel="0" collapsed="false">
      <c r="A260" s="0" t="s">
        <v>846</v>
      </c>
      <c r="B260" s="0" t="s">
        <v>71</v>
      </c>
      <c r="C260" s="0" t="s">
        <v>221</v>
      </c>
      <c r="D260" s="0" t="s">
        <v>559</v>
      </c>
      <c r="E260" s="0" t="s">
        <v>537</v>
      </c>
      <c r="F260" s="0" t="n">
        <v>325</v>
      </c>
      <c r="G260" s="0" t="n">
        <v>236.61</v>
      </c>
      <c r="H260" s="0" t="n">
        <v>154.09</v>
      </c>
      <c r="I260" s="0" t="n">
        <v>76898.25</v>
      </c>
      <c r="J260" s="0" t="n">
        <v>50079.25</v>
      </c>
      <c r="K260" s="0" t="n">
        <v>26819</v>
      </c>
    </row>
    <row r="261" customFormat="false" ht="15" hidden="false" customHeight="false" outlineLevel="0" collapsed="false">
      <c r="A261" s="0" t="s">
        <v>847</v>
      </c>
      <c r="B261" s="0" t="s">
        <v>71</v>
      </c>
      <c r="C261" s="0" t="s">
        <v>221</v>
      </c>
      <c r="D261" s="0" t="s">
        <v>561</v>
      </c>
      <c r="E261" s="0" t="s">
        <v>540</v>
      </c>
      <c r="F261" s="0" t="n">
        <v>446</v>
      </c>
      <c r="G261" s="0" t="n">
        <v>259.49</v>
      </c>
      <c r="H261" s="0" t="n">
        <v>181.8</v>
      </c>
      <c r="I261" s="0" t="n">
        <v>115732.54</v>
      </c>
      <c r="J261" s="0" t="n">
        <v>81082.8</v>
      </c>
      <c r="K261" s="0" t="n">
        <v>34649.74</v>
      </c>
    </row>
    <row r="262" customFormat="false" ht="15" hidden="false" customHeight="false" outlineLevel="0" collapsed="false">
      <c r="A262" s="0" t="s">
        <v>848</v>
      </c>
      <c r="B262" s="0" t="s">
        <v>71</v>
      </c>
      <c r="C262" s="0" t="s">
        <v>221</v>
      </c>
      <c r="D262" s="0" t="s">
        <v>563</v>
      </c>
      <c r="E262" s="0" t="s">
        <v>543</v>
      </c>
      <c r="F262" s="0" t="n">
        <v>121</v>
      </c>
      <c r="G262" s="0" t="n">
        <v>318.29</v>
      </c>
      <c r="H262" s="0" t="n">
        <v>216.32</v>
      </c>
      <c r="I262" s="0" t="n">
        <v>38513.09</v>
      </c>
      <c r="J262" s="0" t="n">
        <v>26174.72</v>
      </c>
      <c r="K262" s="0" t="n">
        <v>12338.37</v>
      </c>
    </row>
    <row r="263" customFormat="false" ht="15" hidden="false" customHeight="false" outlineLevel="0" collapsed="false">
      <c r="A263" s="0" t="s">
        <v>849</v>
      </c>
      <c r="B263" s="0" t="s">
        <v>71</v>
      </c>
      <c r="C263" s="0" t="s">
        <v>221</v>
      </c>
      <c r="D263" s="0" t="s">
        <v>565</v>
      </c>
      <c r="E263" s="0" t="s">
        <v>546</v>
      </c>
      <c r="F263" s="0" t="n">
        <v>405</v>
      </c>
      <c r="G263" s="0" t="n">
        <v>106.33</v>
      </c>
      <c r="H263" s="0" t="n">
        <v>70.78</v>
      </c>
      <c r="I263" s="0" t="n">
        <v>43063.65</v>
      </c>
      <c r="J263" s="0" t="n">
        <v>28665.9</v>
      </c>
      <c r="K263" s="0" t="n">
        <v>14397.75</v>
      </c>
    </row>
    <row r="264" customFormat="false" ht="15" hidden="false" customHeight="false" outlineLevel="0" collapsed="false">
      <c r="A264" s="0" t="s">
        <v>850</v>
      </c>
      <c r="B264" s="0" t="s">
        <v>71</v>
      </c>
      <c r="C264" s="0" t="s">
        <v>221</v>
      </c>
      <c r="D264" s="0" t="s">
        <v>567</v>
      </c>
      <c r="E264" s="0" t="s">
        <v>549</v>
      </c>
      <c r="F264" s="0" t="n">
        <v>186</v>
      </c>
      <c r="G264" s="0" t="n">
        <v>137.06</v>
      </c>
      <c r="H264" s="0" t="n">
        <v>84.08</v>
      </c>
      <c r="I264" s="0" t="n">
        <v>25493.16</v>
      </c>
      <c r="J264" s="0" t="n">
        <v>15638.88</v>
      </c>
      <c r="K264" s="0" t="n">
        <v>9854.28</v>
      </c>
    </row>
    <row r="265" customFormat="false" ht="15" hidden="false" customHeight="false" outlineLevel="0" collapsed="false">
      <c r="A265" s="0" t="s">
        <v>851</v>
      </c>
      <c r="B265" s="0" t="s">
        <v>71</v>
      </c>
      <c r="C265" s="0" t="s">
        <v>221</v>
      </c>
      <c r="D265" s="0" t="s">
        <v>569</v>
      </c>
      <c r="E265" s="0" t="s">
        <v>552</v>
      </c>
      <c r="F265" s="0" t="n">
        <v>416</v>
      </c>
      <c r="G265" s="0" t="n">
        <v>172.78</v>
      </c>
      <c r="H265" s="0" t="n">
        <v>111.09</v>
      </c>
      <c r="I265" s="0" t="n">
        <v>71876.48</v>
      </c>
      <c r="J265" s="0" t="n">
        <v>46213.44</v>
      </c>
      <c r="K265" s="0" t="n">
        <v>25663.04</v>
      </c>
    </row>
    <row r="266" customFormat="false" ht="15" hidden="false" customHeight="false" outlineLevel="0" collapsed="false">
      <c r="A266" s="0" t="s">
        <v>852</v>
      </c>
      <c r="B266" s="0" t="s">
        <v>71</v>
      </c>
      <c r="C266" s="0" t="s">
        <v>221</v>
      </c>
      <c r="D266" s="0" t="s">
        <v>571</v>
      </c>
      <c r="E266" s="0" t="s">
        <v>555</v>
      </c>
      <c r="F266" s="0" t="n">
        <v>157</v>
      </c>
      <c r="G266" s="0" t="n">
        <v>157.37</v>
      </c>
      <c r="H266" s="0" t="n">
        <v>94.07</v>
      </c>
      <c r="I266" s="0" t="n">
        <v>24707.09</v>
      </c>
      <c r="J266" s="0" t="n">
        <v>14768.99</v>
      </c>
      <c r="K266" s="0" t="n">
        <v>9938.1</v>
      </c>
    </row>
    <row r="267" customFormat="false" ht="15" hidden="false" customHeight="false" outlineLevel="0" collapsed="false">
      <c r="A267" s="0" t="s">
        <v>853</v>
      </c>
      <c r="B267" s="0" t="s">
        <v>71</v>
      </c>
      <c r="C267" s="0" t="s">
        <v>221</v>
      </c>
      <c r="D267" s="0" t="s">
        <v>573</v>
      </c>
      <c r="E267" s="0" t="s">
        <v>534</v>
      </c>
      <c r="F267" s="0" t="n">
        <v>242</v>
      </c>
      <c r="G267" s="0" t="n">
        <v>203.14</v>
      </c>
      <c r="H267" s="0" t="n">
        <v>139.78</v>
      </c>
      <c r="I267" s="0" t="n">
        <v>49159.88</v>
      </c>
      <c r="J267" s="0" t="n">
        <v>33826.76</v>
      </c>
      <c r="K267" s="0" t="n">
        <v>15333.12</v>
      </c>
    </row>
    <row r="268" customFormat="false" ht="15" hidden="false" customHeight="false" outlineLevel="0" collapsed="false">
      <c r="A268" s="0" t="s">
        <v>854</v>
      </c>
      <c r="B268" s="0" t="s">
        <v>71</v>
      </c>
      <c r="C268" s="0" t="s">
        <v>221</v>
      </c>
      <c r="D268" s="0" t="s">
        <v>575</v>
      </c>
      <c r="E268" s="0" t="s">
        <v>537</v>
      </c>
      <c r="F268" s="0" t="n">
        <v>232</v>
      </c>
      <c r="G268" s="0" t="n">
        <v>241.51</v>
      </c>
      <c r="H268" s="0" t="n">
        <v>158.53</v>
      </c>
      <c r="I268" s="0" t="n">
        <v>56030.32</v>
      </c>
      <c r="J268" s="0" t="n">
        <v>36778.96</v>
      </c>
      <c r="K268" s="0" t="n">
        <v>19251.36</v>
      </c>
    </row>
    <row r="269" customFormat="false" ht="15" hidden="false" customHeight="false" outlineLevel="0" collapsed="false">
      <c r="A269" s="0" t="s">
        <v>855</v>
      </c>
      <c r="B269" s="0" t="s">
        <v>71</v>
      </c>
      <c r="C269" s="0" t="s">
        <v>221</v>
      </c>
      <c r="D269" s="0" t="s">
        <v>577</v>
      </c>
      <c r="E269" s="0" t="s">
        <v>540</v>
      </c>
      <c r="F269" s="0" t="n">
        <v>240</v>
      </c>
      <c r="G269" s="0" t="n">
        <v>274.67</v>
      </c>
      <c r="H269" s="0" t="n">
        <v>183.5</v>
      </c>
      <c r="I269" s="0" t="n">
        <v>65920.8</v>
      </c>
      <c r="J269" s="0" t="n">
        <v>44040</v>
      </c>
      <c r="K269" s="0" t="n">
        <v>21880.8</v>
      </c>
    </row>
    <row r="270" customFormat="false" ht="15" hidden="false" customHeight="false" outlineLevel="0" collapsed="false">
      <c r="A270" s="0" t="s">
        <v>856</v>
      </c>
      <c r="B270" s="0" t="s">
        <v>71</v>
      </c>
      <c r="C270" s="0" t="s">
        <v>221</v>
      </c>
      <c r="D270" s="0" t="s">
        <v>579</v>
      </c>
      <c r="E270" s="0" t="s">
        <v>543</v>
      </c>
      <c r="F270" s="0" t="n">
        <v>341</v>
      </c>
      <c r="G270" s="0" t="n">
        <v>312.06</v>
      </c>
      <c r="H270" s="0" t="n">
        <v>204.53</v>
      </c>
      <c r="I270" s="0" t="n">
        <v>106412.46</v>
      </c>
      <c r="J270" s="0" t="n">
        <v>69744.73</v>
      </c>
      <c r="K270" s="0" t="n">
        <v>36667.73</v>
      </c>
    </row>
    <row r="271" customFormat="false" ht="15" hidden="false" customHeight="false" outlineLevel="0" collapsed="false">
      <c r="A271" s="0" t="s">
        <v>857</v>
      </c>
      <c r="B271" s="0" t="s">
        <v>71</v>
      </c>
      <c r="C271" s="0" t="s">
        <v>221</v>
      </c>
      <c r="D271" s="0" t="s">
        <v>581</v>
      </c>
      <c r="E271" s="0" t="s">
        <v>546</v>
      </c>
      <c r="F271" s="0" t="n">
        <v>391</v>
      </c>
      <c r="G271" s="0" t="n">
        <v>98.47</v>
      </c>
      <c r="H271" s="0" t="n">
        <v>67.79</v>
      </c>
      <c r="I271" s="0" t="n">
        <v>38501.77</v>
      </c>
      <c r="J271" s="0" t="n">
        <v>26505.89</v>
      </c>
      <c r="K271" s="0" t="n">
        <v>11995.88</v>
      </c>
    </row>
    <row r="272" customFormat="false" ht="15" hidden="false" customHeight="false" outlineLevel="0" collapsed="false">
      <c r="A272" s="0" t="s">
        <v>858</v>
      </c>
      <c r="B272" s="0" t="s">
        <v>71</v>
      </c>
      <c r="C272" s="0" t="s">
        <v>221</v>
      </c>
      <c r="D272" s="0" t="s">
        <v>583</v>
      </c>
      <c r="E272" s="0" t="s">
        <v>549</v>
      </c>
      <c r="F272" s="0" t="n">
        <v>250</v>
      </c>
      <c r="G272" s="0" t="n">
        <v>140.43</v>
      </c>
      <c r="H272" s="0" t="n">
        <v>78.97</v>
      </c>
      <c r="I272" s="0" t="n">
        <v>35107.5</v>
      </c>
      <c r="J272" s="0" t="n">
        <v>19742.5</v>
      </c>
      <c r="K272" s="0" t="n">
        <v>15365</v>
      </c>
    </row>
    <row r="273" customFormat="false" ht="15" hidden="false" customHeight="false" outlineLevel="0" collapsed="false">
      <c r="A273" s="0" t="s">
        <v>859</v>
      </c>
      <c r="B273" s="0" t="s">
        <v>71</v>
      </c>
      <c r="C273" s="0" t="s">
        <v>221</v>
      </c>
      <c r="D273" s="0" t="s">
        <v>585</v>
      </c>
      <c r="E273" s="0" t="s">
        <v>552</v>
      </c>
      <c r="F273" s="0" t="n">
        <v>202</v>
      </c>
      <c r="G273" s="0" t="n">
        <v>192.86</v>
      </c>
      <c r="H273" s="0" t="n">
        <v>118.76</v>
      </c>
      <c r="I273" s="0" t="n">
        <v>38957.72</v>
      </c>
      <c r="J273" s="0" t="n">
        <v>23989.52</v>
      </c>
      <c r="K273" s="0" t="n">
        <v>14968.2</v>
      </c>
    </row>
    <row r="274" customFormat="false" ht="15" hidden="false" customHeight="false" outlineLevel="0" collapsed="false">
      <c r="A274" s="0" t="s">
        <v>860</v>
      </c>
      <c r="B274" s="0" t="s">
        <v>71</v>
      </c>
      <c r="C274" s="0" t="s">
        <v>221</v>
      </c>
      <c r="D274" s="0" t="s">
        <v>587</v>
      </c>
      <c r="E274" s="0" t="s">
        <v>555</v>
      </c>
      <c r="F274" s="0" t="n">
        <v>379</v>
      </c>
      <c r="G274" s="0" t="n">
        <v>169.11</v>
      </c>
      <c r="H274" s="0" t="n">
        <v>92.4</v>
      </c>
      <c r="I274" s="0" t="n">
        <v>64092.69</v>
      </c>
      <c r="J274" s="0" t="n">
        <v>35019.6</v>
      </c>
      <c r="K274" s="0" t="n">
        <v>29073.09</v>
      </c>
    </row>
    <row r="275" customFormat="false" ht="15" hidden="false" customHeight="false" outlineLevel="0" collapsed="false">
      <c r="A275" s="0" t="s">
        <v>861</v>
      </c>
      <c r="B275" s="0" t="s">
        <v>71</v>
      </c>
      <c r="C275" s="0" t="s">
        <v>221</v>
      </c>
      <c r="D275" s="0" t="s">
        <v>589</v>
      </c>
      <c r="E275" s="0" t="s">
        <v>534</v>
      </c>
      <c r="F275" s="0" t="n">
        <v>429</v>
      </c>
      <c r="G275" s="0" t="n">
        <v>209.32</v>
      </c>
      <c r="H275" s="0" t="n">
        <v>135.85</v>
      </c>
      <c r="I275" s="0" t="n">
        <v>89798.28</v>
      </c>
      <c r="J275" s="0" t="n">
        <v>58279.65</v>
      </c>
      <c r="K275" s="0" t="n">
        <v>31518.63</v>
      </c>
    </row>
    <row r="276" customFormat="false" ht="15" hidden="false" customHeight="false" outlineLevel="0" collapsed="false">
      <c r="A276" s="0" t="s">
        <v>862</v>
      </c>
      <c r="B276" s="0" t="s">
        <v>71</v>
      </c>
      <c r="C276" s="0" t="s">
        <v>221</v>
      </c>
      <c r="D276" s="0" t="s">
        <v>591</v>
      </c>
      <c r="E276" s="0" t="s">
        <v>537</v>
      </c>
      <c r="F276" s="0" t="n">
        <v>174</v>
      </c>
      <c r="G276" s="0" t="n">
        <v>242.55</v>
      </c>
      <c r="H276" s="0" t="n">
        <v>161.96</v>
      </c>
      <c r="I276" s="0" t="n">
        <v>42203.7</v>
      </c>
      <c r="J276" s="0" t="n">
        <v>28181.04</v>
      </c>
      <c r="K276" s="0" t="n">
        <v>14022.66</v>
      </c>
    </row>
    <row r="277" customFormat="false" ht="15" hidden="false" customHeight="false" outlineLevel="0" collapsed="false">
      <c r="A277" s="0" t="s">
        <v>863</v>
      </c>
      <c r="B277" s="0" t="s">
        <v>71</v>
      </c>
      <c r="C277" s="0" t="s">
        <v>221</v>
      </c>
      <c r="D277" s="0" t="s">
        <v>593</v>
      </c>
      <c r="E277" s="0" t="s">
        <v>540</v>
      </c>
      <c r="F277" s="0" t="n">
        <v>227</v>
      </c>
      <c r="G277" s="0" t="n">
        <v>255.81</v>
      </c>
      <c r="H277" s="0" t="n">
        <v>176.17</v>
      </c>
      <c r="I277" s="0" t="n">
        <v>58068.87</v>
      </c>
      <c r="J277" s="0" t="n">
        <v>39990.59</v>
      </c>
      <c r="K277" s="0" t="n">
        <v>18078.28</v>
      </c>
    </row>
    <row r="278" customFormat="false" ht="15" hidden="false" customHeight="false" outlineLevel="0" collapsed="false">
      <c r="A278" s="0" t="s">
        <v>864</v>
      </c>
      <c r="B278" s="0" t="s">
        <v>71</v>
      </c>
      <c r="C278" s="0" t="s">
        <v>221</v>
      </c>
      <c r="D278" s="0" t="s">
        <v>595</v>
      </c>
      <c r="E278" s="0" t="s">
        <v>543</v>
      </c>
      <c r="F278" s="0" t="n">
        <v>410</v>
      </c>
      <c r="G278" s="0" t="n">
        <v>323.65</v>
      </c>
      <c r="H278" s="0" t="n">
        <v>217.41</v>
      </c>
      <c r="I278" s="0" t="n">
        <v>132696.5</v>
      </c>
      <c r="J278" s="0" t="n">
        <v>89138.1</v>
      </c>
      <c r="K278" s="0" t="n">
        <v>43558.4</v>
      </c>
    </row>
    <row r="279" customFormat="false" ht="15" hidden="false" customHeight="false" outlineLevel="0" collapsed="false">
      <c r="A279" s="0" t="s">
        <v>865</v>
      </c>
      <c r="B279" s="0" t="s">
        <v>71</v>
      </c>
      <c r="C279" s="0" t="s">
        <v>221</v>
      </c>
      <c r="D279" s="0" t="s">
        <v>597</v>
      </c>
      <c r="E279" s="0" t="s">
        <v>546</v>
      </c>
      <c r="F279" s="0" t="n">
        <v>325</v>
      </c>
      <c r="G279" s="0" t="n">
        <v>102.88</v>
      </c>
      <c r="H279" s="0" t="n">
        <v>67</v>
      </c>
      <c r="I279" s="0" t="n">
        <v>33436</v>
      </c>
      <c r="J279" s="0" t="n">
        <v>21775</v>
      </c>
      <c r="K279" s="0" t="n">
        <v>11661</v>
      </c>
    </row>
    <row r="280" customFormat="false" ht="15" hidden="false" customHeight="false" outlineLevel="0" collapsed="false">
      <c r="A280" s="0" t="s">
        <v>866</v>
      </c>
      <c r="B280" s="0" t="s">
        <v>71</v>
      </c>
      <c r="C280" s="0" t="s">
        <v>221</v>
      </c>
      <c r="D280" s="0" t="s">
        <v>599</v>
      </c>
      <c r="E280" s="0" t="s">
        <v>549</v>
      </c>
      <c r="F280" s="0" t="n">
        <v>428</v>
      </c>
      <c r="G280" s="0" t="n">
        <v>131.02</v>
      </c>
      <c r="H280" s="0" t="n">
        <v>80.3</v>
      </c>
      <c r="I280" s="0" t="n">
        <v>56076.56</v>
      </c>
      <c r="J280" s="0" t="n">
        <v>34368.4</v>
      </c>
      <c r="K280" s="0" t="n">
        <v>21708.16</v>
      </c>
    </row>
    <row r="281" customFormat="false" ht="15" hidden="false" customHeight="false" outlineLevel="0" collapsed="false">
      <c r="A281" s="0" t="s">
        <v>867</v>
      </c>
      <c r="B281" s="0" t="s">
        <v>71</v>
      </c>
      <c r="C281" s="0" t="s">
        <v>221</v>
      </c>
      <c r="D281" s="0" t="s">
        <v>601</v>
      </c>
      <c r="E281" s="0" t="s">
        <v>552</v>
      </c>
      <c r="F281" s="0" t="n">
        <v>295</v>
      </c>
      <c r="G281" s="0" t="n">
        <v>186.23</v>
      </c>
      <c r="H281" s="0" t="n">
        <v>111.39</v>
      </c>
      <c r="I281" s="0" t="n">
        <v>54937.85</v>
      </c>
      <c r="J281" s="0" t="n">
        <v>32860.05</v>
      </c>
      <c r="K281" s="0" t="n">
        <v>22077.8</v>
      </c>
    </row>
    <row r="282" customFormat="false" ht="15" hidden="false" customHeight="false" outlineLevel="0" collapsed="false">
      <c r="A282" s="0" t="s">
        <v>868</v>
      </c>
      <c r="B282" s="0" t="s">
        <v>71</v>
      </c>
      <c r="C282" s="0" t="s">
        <v>221</v>
      </c>
      <c r="D282" s="0" t="s">
        <v>603</v>
      </c>
      <c r="E282" s="0" t="s">
        <v>555</v>
      </c>
      <c r="F282" s="0" t="n">
        <v>290</v>
      </c>
      <c r="G282" s="0" t="n">
        <v>174.26</v>
      </c>
      <c r="H282" s="0" t="n">
        <v>98.5</v>
      </c>
      <c r="I282" s="0" t="n">
        <v>50535.4</v>
      </c>
      <c r="J282" s="0" t="n">
        <v>28565</v>
      </c>
      <c r="K282" s="0" t="n">
        <v>21970.4</v>
      </c>
    </row>
    <row r="283" customFormat="false" ht="15" hidden="false" customHeight="false" outlineLevel="0" collapsed="false">
      <c r="A283" s="0" t="s">
        <v>869</v>
      </c>
      <c r="B283" s="0" t="s">
        <v>71</v>
      </c>
      <c r="C283" s="0" t="s">
        <v>221</v>
      </c>
      <c r="D283" s="0" t="s">
        <v>605</v>
      </c>
      <c r="E283" s="0" t="s">
        <v>534</v>
      </c>
      <c r="F283" s="0" t="n">
        <v>317</v>
      </c>
      <c r="G283" s="0" t="n">
        <v>189.3</v>
      </c>
      <c r="H283" s="0" t="n">
        <v>130.72</v>
      </c>
      <c r="I283" s="0" t="n">
        <v>60008.1</v>
      </c>
      <c r="J283" s="0" t="n">
        <v>41438.24</v>
      </c>
      <c r="K283" s="0" t="n">
        <v>18569.86</v>
      </c>
    </row>
    <row r="284" customFormat="false" ht="15" hidden="false" customHeight="false" outlineLevel="0" collapsed="false">
      <c r="A284" s="0" t="s">
        <v>870</v>
      </c>
      <c r="B284" s="0" t="s">
        <v>71</v>
      </c>
      <c r="C284" s="0" t="s">
        <v>221</v>
      </c>
      <c r="D284" s="0" t="s">
        <v>607</v>
      </c>
      <c r="E284" s="0" t="s">
        <v>537</v>
      </c>
      <c r="F284" s="0" t="n">
        <v>144</v>
      </c>
      <c r="G284" s="0" t="n">
        <v>259.11</v>
      </c>
      <c r="H284" s="0" t="n">
        <v>157.33</v>
      </c>
      <c r="I284" s="0" t="n">
        <v>37311.84</v>
      </c>
      <c r="J284" s="0" t="n">
        <v>22655.52</v>
      </c>
      <c r="K284" s="0" t="n">
        <v>14656.32</v>
      </c>
    </row>
    <row r="285" customFormat="false" ht="15" hidden="false" customHeight="false" outlineLevel="0" collapsed="false">
      <c r="A285" s="0" t="s">
        <v>871</v>
      </c>
      <c r="B285" s="0" t="s">
        <v>71</v>
      </c>
      <c r="C285" s="0" t="s">
        <v>221</v>
      </c>
      <c r="D285" s="0" t="s">
        <v>609</v>
      </c>
      <c r="E285" s="0" t="s">
        <v>540</v>
      </c>
      <c r="F285" s="0" t="n">
        <v>348</v>
      </c>
      <c r="G285" s="0" t="n">
        <v>279.23</v>
      </c>
      <c r="H285" s="0" t="n">
        <v>164.18</v>
      </c>
      <c r="I285" s="0" t="n">
        <v>97172.04</v>
      </c>
      <c r="J285" s="0" t="n">
        <v>57134.64</v>
      </c>
      <c r="K285" s="0" t="n">
        <v>40037.4</v>
      </c>
    </row>
    <row r="286" customFormat="false" ht="15" hidden="false" customHeight="false" outlineLevel="0" collapsed="false">
      <c r="A286" s="0" t="s">
        <v>872</v>
      </c>
      <c r="B286" s="0" t="s">
        <v>71</v>
      </c>
      <c r="C286" s="0" t="s">
        <v>221</v>
      </c>
      <c r="D286" s="0" t="s">
        <v>611</v>
      </c>
      <c r="E286" s="0" t="s">
        <v>543</v>
      </c>
      <c r="F286" s="0" t="n">
        <v>362</v>
      </c>
      <c r="G286" s="0" t="n">
        <v>308.77</v>
      </c>
      <c r="H286" s="0" t="n">
        <v>195.23</v>
      </c>
      <c r="I286" s="0" t="n">
        <v>111774.74</v>
      </c>
      <c r="J286" s="0" t="n">
        <v>70673.26</v>
      </c>
      <c r="K286" s="0" t="n">
        <v>41101.48</v>
      </c>
    </row>
    <row r="287" customFormat="false" ht="15" hidden="false" customHeight="false" outlineLevel="0" collapsed="false">
      <c r="A287" s="0" t="s">
        <v>873</v>
      </c>
      <c r="B287" s="0" t="s">
        <v>71</v>
      </c>
      <c r="C287" s="0" t="s">
        <v>221</v>
      </c>
      <c r="D287" s="0" t="s">
        <v>628</v>
      </c>
      <c r="E287" s="0" t="s">
        <v>546</v>
      </c>
      <c r="F287" s="0" t="n">
        <v>350</v>
      </c>
      <c r="G287" s="0" t="n">
        <v>103.07</v>
      </c>
      <c r="H287" s="0" t="n">
        <v>70.4</v>
      </c>
      <c r="I287" s="0" t="n">
        <v>36074.5</v>
      </c>
      <c r="J287" s="0" t="n">
        <v>24640</v>
      </c>
      <c r="K287" s="0" t="n">
        <v>11434.5</v>
      </c>
    </row>
    <row r="288" customFormat="false" ht="15" hidden="false" customHeight="false" outlineLevel="0" collapsed="false">
      <c r="A288" s="0" t="s">
        <v>874</v>
      </c>
      <c r="B288" s="0" t="s">
        <v>71</v>
      </c>
      <c r="C288" s="0" t="s">
        <v>221</v>
      </c>
      <c r="D288" s="0" t="s">
        <v>630</v>
      </c>
      <c r="E288" s="0" t="s">
        <v>549</v>
      </c>
      <c r="F288" s="0" t="n">
        <v>405</v>
      </c>
      <c r="G288" s="0" t="n">
        <v>137.38</v>
      </c>
      <c r="H288" s="0" t="n">
        <v>79.23</v>
      </c>
      <c r="I288" s="0" t="n">
        <v>55638.9</v>
      </c>
      <c r="J288" s="0" t="n">
        <v>32088.15</v>
      </c>
      <c r="K288" s="0" t="n">
        <v>23550.75</v>
      </c>
    </row>
    <row r="289" customFormat="false" ht="15" hidden="false" customHeight="false" outlineLevel="0" collapsed="false">
      <c r="A289" s="0" t="s">
        <v>875</v>
      </c>
      <c r="B289" s="0" t="s">
        <v>71</v>
      </c>
      <c r="C289" s="0" t="s">
        <v>221</v>
      </c>
      <c r="D289" s="0" t="s">
        <v>632</v>
      </c>
      <c r="E289" s="0" t="s">
        <v>552</v>
      </c>
      <c r="F289" s="0" t="n">
        <v>221</v>
      </c>
      <c r="G289" s="0" t="n">
        <v>182.67</v>
      </c>
      <c r="H289" s="0" t="n">
        <v>119.99</v>
      </c>
      <c r="I289" s="0" t="n">
        <v>40370.07</v>
      </c>
      <c r="J289" s="0" t="n">
        <v>26517.79</v>
      </c>
      <c r="K289" s="0" t="n">
        <v>13852.28</v>
      </c>
    </row>
    <row r="290" customFormat="false" ht="15" hidden="false" customHeight="false" outlineLevel="0" collapsed="false">
      <c r="A290" s="0" t="s">
        <v>876</v>
      </c>
      <c r="B290" s="0" t="s">
        <v>72</v>
      </c>
      <c r="C290" s="0" t="s">
        <v>221</v>
      </c>
      <c r="D290" s="0" t="s">
        <v>589</v>
      </c>
      <c r="E290" s="0" t="s">
        <v>534</v>
      </c>
      <c r="F290" s="0" t="n">
        <v>309</v>
      </c>
      <c r="G290" s="0" t="n">
        <v>210.95</v>
      </c>
      <c r="H290" s="0" t="n">
        <v>134.4</v>
      </c>
      <c r="I290" s="0" t="n">
        <v>65183.55</v>
      </c>
      <c r="J290" s="0" t="n">
        <v>41529.6</v>
      </c>
      <c r="K290" s="0" t="n">
        <v>23653.95</v>
      </c>
    </row>
    <row r="291" customFormat="false" ht="15" hidden="false" customHeight="false" outlineLevel="0" collapsed="false">
      <c r="A291" s="0" t="s">
        <v>877</v>
      </c>
      <c r="B291" s="0" t="s">
        <v>72</v>
      </c>
      <c r="C291" s="0" t="s">
        <v>221</v>
      </c>
      <c r="D291" s="0" t="s">
        <v>591</v>
      </c>
      <c r="E291" s="0" t="s">
        <v>537</v>
      </c>
      <c r="F291" s="0" t="n">
        <v>99</v>
      </c>
      <c r="G291" s="0" t="n">
        <v>259.21</v>
      </c>
      <c r="H291" s="0" t="n">
        <v>161.16</v>
      </c>
      <c r="I291" s="0" t="n">
        <v>25661.79</v>
      </c>
      <c r="J291" s="0" t="n">
        <v>15954.84</v>
      </c>
      <c r="K291" s="0" t="n">
        <v>9706.95</v>
      </c>
    </row>
    <row r="292" customFormat="false" ht="15" hidden="false" customHeight="false" outlineLevel="0" collapsed="false">
      <c r="A292" s="0" t="s">
        <v>878</v>
      </c>
      <c r="B292" s="0" t="s">
        <v>72</v>
      </c>
      <c r="C292" s="0" t="s">
        <v>221</v>
      </c>
      <c r="D292" s="0" t="s">
        <v>593</v>
      </c>
      <c r="E292" s="0" t="s">
        <v>540</v>
      </c>
      <c r="F292" s="0" t="n">
        <v>207</v>
      </c>
      <c r="G292" s="0" t="n">
        <v>275.04</v>
      </c>
      <c r="H292" s="0" t="n">
        <v>170.54</v>
      </c>
      <c r="I292" s="0" t="n">
        <v>56933.28</v>
      </c>
      <c r="J292" s="0" t="n">
        <v>35301.78</v>
      </c>
      <c r="K292" s="0" t="n">
        <v>21631.5</v>
      </c>
    </row>
    <row r="293" customFormat="false" ht="15" hidden="false" customHeight="false" outlineLevel="0" collapsed="false">
      <c r="A293" s="0" t="s">
        <v>879</v>
      </c>
      <c r="B293" s="0" t="s">
        <v>72</v>
      </c>
      <c r="C293" s="0" t="s">
        <v>221</v>
      </c>
      <c r="D293" s="0" t="s">
        <v>595</v>
      </c>
      <c r="E293" s="0" t="s">
        <v>543</v>
      </c>
      <c r="F293" s="0" t="n">
        <v>92</v>
      </c>
      <c r="G293" s="0" t="n">
        <v>312.58</v>
      </c>
      <c r="H293" s="0" t="n">
        <v>196.18</v>
      </c>
      <c r="I293" s="0" t="n">
        <v>28757.36</v>
      </c>
      <c r="J293" s="0" t="n">
        <v>18048.56</v>
      </c>
      <c r="K293" s="0" t="n">
        <v>10708.8</v>
      </c>
    </row>
    <row r="294" customFormat="false" ht="15" hidden="false" customHeight="false" outlineLevel="0" collapsed="false">
      <c r="A294" s="0" t="s">
        <v>880</v>
      </c>
      <c r="B294" s="0" t="s">
        <v>72</v>
      </c>
      <c r="C294" s="0" t="s">
        <v>221</v>
      </c>
      <c r="D294" s="0" t="s">
        <v>597</v>
      </c>
      <c r="E294" s="0" t="s">
        <v>546</v>
      </c>
      <c r="F294" s="0" t="n">
        <v>143</v>
      </c>
      <c r="G294" s="0" t="n">
        <v>104.5</v>
      </c>
      <c r="H294" s="0" t="n">
        <v>65.26</v>
      </c>
      <c r="I294" s="0" t="n">
        <v>14943.5</v>
      </c>
      <c r="J294" s="0" t="n">
        <v>9332.18</v>
      </c>
      <c r="K294" s="0" t="n">
        <v>5611.32</v>
      </c>
    </row>
    <row r="295" customFormat="false" ht="15" hidden="false" customHeight="false" outlineLevel="0" collapsed="false">
      <c r="A295" s="0" t="s">
        <v>881</v>
      </c>
      <c r="B295" s="0" t="s">
        <v>72</v>
      </c>
      <c r="C295" s="0" t="s">
        <v>221</v>
      </c>
      <c r="D295" s="0" t="s">
        <v>599</v>
      </c>
      <c r="E295" s="0" t="s">
        <v>549</v>
      </c>
      <c r="F295" s="0" t="n">
        <v>163</v>
      </c>
      <c r="G295" s="0" t="n">
        <v>138.44</v>
      </c>
      <c r="H295" s="0" t="n">
        <v>85.77</v>
      </c>
      <c r="I295" s="0" t="n">
        <v>22565.72</v>
      </c>
      <c r="J295" s="0" t="n">
        <v>13980.51</v>
      </c>
      <c r="K295" s="0" t="n">
        <v>8585.21</v>
      </c>
    </row>
    <row r="296" customFormat="false" ht="15" hidden="false" customHeight="false" outlineLevel="0" collapsed="false">
      <c r="A296" s="0" t="s">
        <v>882</v>
      </c>
      <c r="B296" s="0" t="s">
        <v>72</v>
      </c>
      <c r="C296" s="0" t="s">
        <v>221</v>
      </c>
      <c r="D296" s="0" t="s">
        <v>601</v>
      </c>
      <c r="E296" s="0" t="s">
        <v>552</v>
      </c>
      <c r="F296" s="0" t="n">
        <v>345</v>
      </c>
      <c r="G296" s="0" t="n">
        <v>186.52</v>
      </c>
      <c r="H296" s="0" t="n">
        <v>113.1</v>
      </c>
      <c r="I296" s="0" t="n">
        <v>64349.4</v>
      </c>
      <c r="J296" s="0" t="n">
        <v>39019.5</v>
      </c>
      <c r="K296" s="0" t="n">
        <v>25329.9</v>
      </c>
    </row>
    <row r="297" customFormat="false" ht="15" hidden="false" customHeight="false" outlineLevel="0" collapsed="false">
      <c r="A297" s="0" t="s">
        <v>883</v>
      </c>
      <c r="B297" s="0" t="s">
        <v>72</v>
      </c>
      <c r="C297" s="0" t="s">
        <v>221</v>
      </c>
      <c r="D297" s="0" t="s">
        <v>603</v>
      </c>
      <c r="E297" s="0" t="s">
        <v>555</v>
      </c>
      <c r="F297" s="0" t="n">
        <v>332</v>
      </c>
      <c r="G297" s="0" t="n">
        <v>178.05</v>
      </c>
      <c r="H297" s="0" t="n">
        <v>94.97</v>
      </c>
      <c r="I297" s="0" t="n">
        <v>59112.6</v>
      </c>
      <c r="J297" s="0" t="n">
        <v>31530.04</v>
      </c>
      <c r="K297" s="0" t="n">
        <v>27582.56</v>
      </c>
    </row>
    <row r="298" customFormat="false" ht="15" hidden="false" customHeight="false" outlineLevel="0" collapsed="false">
      <c r="A298" s="0" t="s">
        <v>884</v>
      </c>
      <c r="B298" s="0" t="s">
        <v>72</v>
      </c>
      <c r="C298" s="0" t="s">
        <v>221</v>
      </c>
      <c r="D298" s="0" t="s">
        <v>605</v>
      </c>
      <c r="E298" s="0" t="s">
        <v>534</v>
      </c>
      <c r="F298" s="0" t="n">
        <v>367</v>
      </c>
      <c r="G298" s="0" t="n">
        <v>190.85</v>
      </c>
      <c r="H298" s="0" t="n">
        <v>129.74</v>
      </c>
      <c r="I298" s="0" t="n">
        <v>70041.95</v>
      </c>
      <c r="J298" s="0" t="n">
        <v>47614.58</v>
      </c>
      <c r="K298" s="0" t="n">
        <v>22427.37</v>
      </c>
    </row>
    <row r="299" customFormat="false" ht="15" hidden="false" customHeight="false" outlineLevel="0" collapsed="false">
      <c r="A299" s="0" t="s">
        <v>885</v>
      </c>
      <c r="B299" s="0" t="s">
        <v>72</v>
      </c>
      <c r="C299" s="0" t="s">
        <v>221</v>
      </c>
      <c r="D299" s="0" t="s">
        <v>607</v>
      </c>
      <c r="E299" s="0" t="s">
        <v>537</v>
      </c>
      <c r="F299" s="0" t="n">
        <v>391</v>
      </c>
      <c r="G299" s="0" t="n">
        <v>243.8</v>
      </c>
      <c r="H299" s="0" t="n">
        <v>166.22</v>
      </c>
      <c r="I299" s="0" t="n">
        <v>95325.8</v>
      </c>
      <c r="J299" s="0" t="n">
        <v>64992.02</v>
      </c>
      <c r="K299" s="0" t="n">
        <v>30333.78</v>
      </c>
    </row>
    <row r="300" customFormat="false" ht="15" hidden="false" customHeight="false" outlineLevel="0" collapsed="false">
      <c r="A300" s="0" t="s">
        <v>886</v>
      </c>
      <c r="B300" s="0" t="s">
        <v>72</v>
      </c>
      <c r="C300" s="0" t="s">
        <v>221</v>
      </c>
      <c r="D300" s="0" t="s">
        <v>609</v>
      </c>
      <c r="E300" s="0" t="s">
        <v>540</v>
      </c>
      <c r="F300" s="0" t="n">
        <v>120</v>
      </c>
      <c r="G300" s="0" t="n">
        <v>259.26</v>
      </c>
      <c r="H300" s="0" t="n">
        <v>180.37</v>
      </c>
      <c r="I300" s="0" t="n">
        <v>31111.2</v>
      </c>
      <c r="J300" s="0" t="n">
        <v>21644.4</v>
      </c>
      <c r="K300" s="0" t="n">
        <v>9466.8</v>
      </c>
    </row>
    <row r="301" customFormat="false" ht="15" hidden="false" customHeight="false" outlineLevel="0" collapsed="false">
      <c r="A301" s="0" t="s">
        <v>887</v>
      </c>
      <c r="B301" s="0" t="s">
        <v>72</v>
      </c>
      <c r="C301" s="0" t="s">
        <v>221</v>
      </c>
      <c r="D301" s="0" t="s">
        <v>611</v>
      </c>
      <c r="E301" s="0" t="s">
        <v>543</v>
      </c>
      <c r="F301" s="0" t="n">
        <v>297</v>
      </c>
      <c r="G301" s="0" t="n">
        <v>303.61</v>
      </c>
      <c r="H301" s="0" t="n">
        <v>213.01</v>
      </c>
      <c r="I301" s="0" t="n">
        <v>90172.17</v>
      </c>
      <c r="J301" s="0" t="n">
        <v>63263.97</v>
      </c>
      <c r="K301" s="0" t="n">
        <v>26908.2</v>
      </c>
    </row>
    <row r="302" customFormat="false" ht="15" hidden="false" customHeight="false" outlineLevel="0" collapsed="false">
      <c r="A302" s="0" t="s">
        <v>888</v>
      </c>
      <c r="B302" s="0" t="s">
        <v>72</v>
      </c>
      <c r="C302" s="0" t="s">
        <v>221</v>
      </c>
      <c r="D302" s="0" t="s">
        <v>628</v>
      </c>
      <c r="E302" s="0" t="s">
        <v>546</v>
      </c>
      <c r="F302" s="0" t="n">
        <v>221</v>
      </c>
      <c r="G302" s="0" t="n">
        <v>109.63</v>
      </c>
      <c r="H302" s="0" t="n">
        <v>66.59</v>
      </c>
      <c r="I302" s="0" t="n">
        <v>24228.23</v>
      </c>
      <c r="J302" s="0" t="n">
        <v>14716.39</v>
      </c>
      <c r="K302" s="0" t="n">
        <v>9511.84</v>
      </c>
    </row>
    <row r="303" customFormat="false" ht="15" hidden="false" customHeight="false" outlineLevel="0" collapsed="false">
      <c r="A303" s="0" t="s">
        <v>889</v>
      </c>
      <c r="B303" s="0" t="s">
        <v>72</v>
      </c>
      <c r="C303" s="0" t="s">
        <v>221</v>
      </c>
      <c r="D303" s="0" t="s">
        <v>630</v>
      </c>
      <c r="E303" s="0" t="s">
        <v>549</v>
      </c>
      <c r="F303" s="0" t="n">
        <v>237</v>
      </c>
      <c r="G303" s="0" t="n">
        <v>144.84</v>
      </c>
      <c r="H303" s="0" t="n">
        <v>84.43</v>
      </c>
      <c r="I303" s="0" t="n">
        <v>34327.08</v>
      </c>
      <c r="J303" s="0" t="n">
        <v>20009.91</v>
      </c>
      <c r="K303" s="0" t="n">
        <v>14317.17</v>
      </c>
    </row>
    <row r="304" customFormat="false" ht="15" hidden="false" customHeight="false" outlineLevel="0" collapsed="false">
      <c r="A304" s="0" t="s">
        <v>890</v>
      </c>
      <c r="B304" s="0" t="s">
        <v>72</v>
      </c>
      <c r="C304" s="0" t="s">
        <v>221</v>
      </c>
      <c r="D304" s="0" t="s">
        <v>632</v>
      </c>
      <c r="E304" s="0" t="s">
        <v>552</v>
      </c>
      <c r="F304" s="0" t="n">
        <v>422</v>
      </c>
      <c r="G304" s="0" t="n">
        <v>181.19</v>
      </c>
      <c r="H304" s="0" t="n">
        <v>109.52</v>
      </c>
      <c r="I304" s="0" t="n">
        <v>76462.18</v>
      </c>
      <c r="J304" s="0" t="n">
        <v>46217.44</v>
      </c>
      <c r="K304" s="0" t="n">
        <v>30244.74</v>
      </c>
    </row>
    <row r="305" customFormat="false" ht="15" hidden="false" customHeight="false" outlineLevel="0" collapsed="false">
      <c r="A305" s="0" t="s">
        <v>891</v>
      </c>
      <c r="B305" s="0" t="s">
        <v>72</v>
      </c>
      <c r="C305" s="0" t="s">
        <v>221</v>
      </c>
      <c r="D305" s="0" t="s">
        <v>634</v>
      </c>
      <c r="E305" s="0" t="s">
        <v>555</v>
      </c>
      <c r="F305" s="0" t="n">
        <v>360</v>
      </c>
      <c r="G305" s="0" t="n">
        <v>166.77</v>
      </c>
      <c r="H305" s="0" t="n">
        <v>95.99</v>
      </c>
      <c r="I305" s="0" t="n">
        <v>60037.2</v>
      </c>
      <c r="J305" s="0" t="n">
        <v>34556.4</v>
      </c>
      <c r="K305" s="0" t="n">
        <v>25480.8</v>
      </c>
    </row>
    <row r="306" customFormat="false" ht="15" hidden="false" customHeight="false" outlineLevel="0" collapsed="false">
      <c r="A306" s="0" t="s">
        <v>892</v>
      </c>
      <c r="B306" s="0" t="s">
        <v>72</v>
      </c>
      <c r="C306" s="0" t="s">
        <v>221</v>
      </c>
      <c r="D306" s="0" t="s">
        <v>636</v>
      </c>
      <c r="E306" s="0" t="s">
        <v>534</v>
      </c>
      <c r="F306" s="0" t="n">
        <v>363</v>
      </c>
      <c r="G306" s="0" t="n">
        <v>197.2</v>
      </c>
      <c r="H306" s="0" t="n">
        <v>141.5</v>
      </c>
      <c r="I306" s="0" t="n">
        <v>71583.6</v>
      </c>
      <c r="J306" s="0" t="n">
        <v>51364.5</v>
      </c>
      <c r="K306" s="0" t="n">
        <v>20219.1</v>
      </c>
    </row>
    <row r="307" customFormat="false" ht="15" hidden="false" customHeight="false" outlineLevel="0" collapsed="false">
      <c r="A307" s="0" t="s">
        <v>893</v>
      </c>
      <c r="B307" s="0" t="s">
        <v>72</v>
      </c>
      <c r="C307" s="0" t="s">
        <v>221</v>
      </c>
      <c r="D307" s="0" t="s">
        <v>638</v>
      </c>
      <c r="E307" s="0" t="s">
        <v>537</v>
      </c>
      <c r="F307" s="0" t="n">
        <v>181</v>
      </c>
      <c r="G307" s="0" t="n">
        <v>259.46</v>
      </c>
      <c r="H307" s="0" t="n">
        <v>154.23</v>
      </c>
      <c r="I307" s="0" t="n">
        <v>46962.26</v>
      </c>
      <c r="J307" s="0" t="n">
        <v>27915.63</v>
      </c>
      <c r="K307" s="0" t="n">
        <v>19046.63</v>
      </c>
    </row>
    <row r="308" customFormat="false" ht="15" hidden="false" customHeight="false" outlineLevel="0" collapsed="false">
      <c r="A308" s="0" t="s">
        <v>894</v>
      </c>
      <c r="B308" s="0" t="s">
        <v>72</v>
      </c>
      <c r="C308" s="0" t="s">
        <v>221</v>
      </c>
      <c r="D308" s="0" t="s">
        <v>640</v>
      </c>
      <c r="E308" s="0" t="s">
        <v>540</v>
      </c>
      <c r="F308" s="0" t="n">
        <v>281</v>
      </c>
      <c r="G308" s="0" t="n">
        <v>257.7</v>
      </c>
      <c r="H308" s="0" t="n">
        <v>180.07</v>
      </c>
      <c r="I308" s="0" t="n">
        <v>72413.7</v>
      </c>
      <c r="J308" s="0" t="n">
        <v>50599.67</v>
      </c>
      <c r="K308" s="0" t="n">
        <v>21814.03</v>
      </c>
    </row>
    <row r="309" customFormat="false" ht="15" hidden="false" customHeight="false" outlineLevel="0" collapsed="false">
      <c r="A309" s="0" t="s">
        <v>895</v>
      </c>
      <c r="B309" s="0" t="s">
        <v>72</v>
      </c>
      <c r="C309" s="0" t="s">
        <v>221</v>
      </c>
      <c r="D309" s="0" t="s">
        <v>642</v>
      </c>
      <c r="E309" s="0" t="s">
        <v>543</v>
      </c>
      <c r="F309" s="0" t="n">
        <v>107</v>
      </c>
      <c r="G309" s="0" t="n">
        <v>302.69</v>
      </c>
      <c r="H309" s="0" t="n">
        <v>205.38</v>
      </c>
      <c r="I309" s="0" t="n">
        <v>32387.83</v>
      </c>
      <c r="J309" s="0" t="n">
        <v>21975.66</v>
      </c>
      <c r="K309" s="0" t="n">
        <v>10412.17</v>
      </c>
    </row>
    <row r="310" customFormat="false" ht="15" hidden="false" customHeight="false" outlineLevel="0" collapsed="false">
      <c r="A310" s="0" t="s">
        <v>896</v>
      </c>
      <c r="B310" s="0" t="s">
        <v>72</v>
      </c>
      <c r="C310" s="0" t="s">
        <v>221</v>
      </c>
      <c r="D310" s="0" t="s">
        <v>644</v>
      </c>
      <c r="E310" s="0" t="s">
        <v>546</v>
      </c>
      <c r="F310" s="0" t="n">
        <v>280</v>
      </c>
      <c r="G310" s="0" t="n">
        <v>103.42</v>
      </c>
      <c r="H310" s="0" t="n">
        <v>69.66</v>
      </c>
      <c r="I310" s="0" t="n">
        <v>28957.6</v>
      </c>
      <c r="J310" s="0" t="n">
        <v>19504.8</v>
      </c>
      <c r="K310" s="0" t="n">
        <v>9452.8</v>
      </c>
    </row>
    <row r="311" customFormat="false" ht="15" hidden="false" customHeight="false" outlineLevel="0" collapsed="false">
      <c r="A311" s="0" t="s">
        <v>897</v>
      </c>
      <c r="B311" s="0" t="s">
        <v>72</v>
      </c>
      <c r="C311" s="0" t="s">
        <v>221</v>
      </c>
      <c r="D311" s="0" t="s">
        <v>646</v>
      </c>
      <c r="E311" s="0" t="s">
        <v>549</v>
      </c>
      <c r="F311" s="0" t="n">
        <v>418</v>
      </c>
      <c r="G311" s="0" t="n">
        <v>147.54</v>
      </c>
      <c r="H311" s="0" t="n">
        <v>83.59</v>
      </c>
      <c r="I311" s="0" t="n">
        <v>61671.72</v>
      </c>
      <c r="J311" s="0" t="n">
        <v>34940.62</v>
      </c>
      <c r="K311" s="0" t="n">
        <v>26731.1</v>
      </c>
    </row>
    <row r="312" customFormat="false" ht="15" hidden="false" customHeight="false" outlineLevel="0" collapsed="false">
      <c r="A312" s="0" t="s">
        <v>898</v>
      </c>
      <c r="B312" s="0" t="s">
        <v>72</v>
      </c>
      <c r="C312" s="0" t="s">
        <v>221</v>
      </c>
      <c r="D312" s="0" t="s">
        <v>648</v>
      </c>
      <c r="E312" s="0" t="s">
        <v>552</v>
      </c>
      <c r="F312" s="0" t="n">
        <v>103</v>
      </c>
      <c r="G312" s="0" t="n">
        <v>172.22</v>
      </c>
      <c r="H312" s="0" t="n">
        <v>120.49</v>
      </c>
      <c r="I312" s="0" t="n">
        <v>17738.66</v>
      </c>
      <c r="J312" s="0" t="n">
        <v>12410.47</v>
      </c>
      <c r="K312" s="0" t="n">
        <v>5328.19</v>
      </c>
    </row>
    <row r="313" customFormat="false" ht="15" hidden="false" customHeight="false" outlineLevel="0" collapsed="false">
      <c r="A313" s="0" t="s">
        <v>899</v>
      </c>
      <c r="B313" s="0" t="s">
        <v>72</v>
      </c>
      <c r="C313" s="0" t="s">
        <v>221</v>
      </c>
      <c r="D313" s="0" t="s">
        <v>650</v>
      </c>
      <c r="E313" s="0" t="s">
        <v>555</v>
      </c>
      <c r="F313" s="0" t="n">
        <v>254</v>
      </c>
      <c r="G313" s="0" t="n">
        <v>175.54</v>
      </c>
      <c r="H313" s="0" t="n">
        <v>102.23</v>
      </c>
      <c r="I313" s="0" t="n">
        <v>44587.16</v>
      </c>
      <c r="J313" s="0" t="n">
        <v>25966.42</v>
      </c>
      <c r="K313" s="0" t="n">
        <v>18620.74</v>
      </c>
    </row>
    <row r="314" customFormat="false" ht="15" hidden="false" customHeight="false" outlineLevel="0" collapsed="false">
      <c r="A314" s="0" t="s">
        <v>900</v>
      </c>
      <c r="B314" s="0" t="s">
        <v>72</v>
      </c>
      <c r="C314" s="0" t="s">
        <v>221</v>
      </c>
      <c r="D314" s="0" t="s">
        <v>533</v>
      </c>
      <c r="E314" s="0" t="s">
        <v>534</v>
      </c>
      <c r="F314" s="0" t="n">
        <v>310</v>
      </c>
      <c r="G314" s="0" t="n">
        <v>189.62</v>
      </c>
      <c r="H314" s="0" t="n">
        <v>141.14</v>
      </c>
      <c r="I314" s="0" t="n">
        <v>58782.2</v>
      </c>
      <c r="J314" s="0" t="n">
        <v>43753.4</v>
      </c>
      <c r="K314" s="0" t="n">
        <v>15028.8</v>
      </c>
    </row>
    <row r="315" customFormat="false" ht="15" hidden="false" customHeight="false" outlineLevel="0" collapsed="false">
      <c r="A315" s="0" t="s">
        <v>901</v>
      </c>
      <c r="B315" s="0" t="s">
        <v>72</v>
      </c>
      <c r="C315" s="0" t="s">
        <v>221</v>
      </c>
      <c r="D315" s="0" t="s">
        <v>536</v>
      </c>
      <c r="E315" s="0" t="s">
        <v>537</v>
      </c>
      <c r="F315" s="0" t="n">
        <v>92</v>
      </c>
      <c r="G315" s="0" t="n">
        <v>250.9</v>
      </c>
      <c r="H315" s="0" t="n">
        <v>157.43</v>
      </c>
      <c r="I315" s="0" t="n">
        <v>23082.8</v>
      </c>
      <c r="J315" s="0" t="n">
        <v>14483.56</v>
      </c>
      <c r="K315" s="0" t="n">
        <v>8599.24</v>
      </c>
    </row>
    <row r="316" customFormat="false" ht="15" hidden="false" customHeight="false" outlineLevel="0" collapsed="false">
      <c r="A316" s="0" t="s">
        <v>902</v>
      </c>
      <c r="B316" s="0" t="s">
        <v>72</v>
      </c>
      <c r="C316" s="0" t="s">
        <v>221</v>
      </c>
      <c r="D316" s="0" t="s">
        <v>539</v>
      </c>
      <c r="E316" s="0" t="s">
        <v>540</v>
      </c>
      <c r="F316" s="0" t="n">
        <v>420</v>
      </c>
      <c r="G316" s="0" t="n">
        <v>284.51</v>
      </c>
      <c r="H316" s="0" t="n">
        <v>165.7</v>
      </c>
      <c r="I316" s="0" t="n">
        <v>119494.2</v>
      </c>
      <c r="J316" s="0" t="n">
        <v>69594</v>
      </c>
      <c r="K316" s="0" t="n">
        <v>49900.2</v>
      </c>
    </row>
    <row r="317" customFormat="false" ht="15" hidden="false" customHeight="false" outlineLevel="0" collapsed="false">
      <c r="A317" s="0" t="s">
        <v>903</v>
      </c>
      <c r="B317" s="0" t="s">
        <v>72</v>
      </c>
      <c r="C317" s="0" t="s">
        <v>221</v>
      </c>
      <c r="D317" s="0" t="s">
        <v>542</v>
      </c>
      <c r="E317" s="0" t="s">
        <v>543</v>
      </c>
      <c r="F317" s="0" t="n">
        <v>220</v>
      </c>
      <c r="G317" s="0" t="n">
        <v>303.55</v>
      </c>
      <c r="H317" s="0" t="n">
        <v>210.71</v>
      </c>
      <c r="I317" s="0" t="n">
        <v>66781</v>
      </c>
      <c r="J317" s="0" t="n">
        <v>46356.2</v>
      </c>
      <c r="K317" s="0" t="n">
        <v>20424.8</v>
      </c>
    </row>
    <row r="318" customFormat="false" ht="15" hidden="false" customHeight="false" outlineLevel="0" collapsed="false">
      <c r="A318" s="0" t="s">
        <v>904</v>
      </c>
      <c r="B318" s="0" t="s">
        <v>72</v>
      </c>
      <c r="C318" s="0" t="s">
        <v>221</v>
      </c>
      <c r="D318" s="0" t="s">
        <v>545</v>
      </c>
      <c r="E318" s="0" t="s">
        <v>546</v>
      </c>
      <c r="F318" s="0" t="n">
        <v>417</v>
      </c>
      <c r="G318" s="0" t="n">
        <v>99.05</v>
      </c>
      <c r="H318" s="0" t="n">
        <v>66.96</v>
      </c>
      <c r="I318" s="0" t="n">
        <v>41303.85</v>
      </c>
      <c r="J318" s="0" t="n">
        <v>27922.32</v>
      </c>
      <c r="K318" s="0" t="n">
        <v>13381.53</v>
      </c>
    </row>
    <row r="319" customFormat="false" ht="15" hidden="false" customHeight="false" outlineLevel="0" collapsed="false">
      <c r="A319" s="0" t="s">
        <v>905</v>
      </c>
      <c r="B319" s="0" t="s">
        <v>72</v>
      </c>
      <c r="C319" s="0" t="s">
        <v>221</v>
      </c>
      <c r="D319" s="0" t="s">
        <v>548</v>
      </c>
      <c r="E319" s="0" t="s">
        <v>549</v>
      </c>
      <c r="F319" s="0" t="n">
        <v>430</v>
      </c>
      <c r="G319" s="0" t="n">
        <v>145.25</v>
      </c>
      <c r="H319" s="0" t="n">
        <v>82.46</v>
      </c>
      <c r="I319" s="0" t="n">
        <v>62457.5</v>
      </c>
      <c r="J319" s="0" t="n">
        <v>35457.8</v>
      </c>
      <c r="K319" s="0" t="n">
        <v>26999.7</v>
      </c>
    </row>
    <row r="320" customFormat="false" ht="15" hidden="false" customHeight="false" outlineLevel="0" collapsed="false">
      <c r="A320" s="0" t="s">
        <v>906</v>
      </c>
      <c r="B320" s="0" t="s">
        <v>72</v>
      </c>
      <c r="C320" s="0" t="s">
        <v>221</v>
      </c>
      <c r="D320" s="0" t="s">
        <v>551</v>
      </c>
      <c r="E320" s="0" t="s">
        <v>552</v>
      </c>
      <c r="F320" s="0" t="n">
        <v>247</v>
      </c>
      <c r="G320" s="0" t="n">
        <v>184.58</v>
      </c>
      <c r="H320" s="0" t="n">
        <v>119.45</v>
      </c>
      <c r="I320" s="0" t="n">
        <v>45591.26</v>
      </c>
      <c r="J320" s="0" t="n">
        <v>29504.15</v>
      </c>
      <c r="K320" s="0" t="n">
        <v>16087.11</v>
      </c>
    </row>
    <row r="321" customFormat="false" ht="15" hidden="false" customHeight="false" outlineLevel="0" collapsed="false">
      <c r="A321" s="0" t="s">
        <v>907</v>
      </c>
      <c r="B321" s="0" t="s">
        <v>72</v>
      </c>
      <c r="C321" s="0" t="s">
        <v>221</v>
      </c>
      <c r="D321" s="0" t="s">
        <v>554</v>
      </c>
      <c r="E321" s="0" t="s">
        <v>555</v>
      </c>
      <c r="F321" s="0" t="n">
        <v>334</v>
      </c>
      <c r="G321" s="0" t="n">
        <v>175.6</v>
      </c>
      <c r="H321" s="0" t="n">
        <v>92.57</v>
      </c>
      <c r="I321" s="0" t="n">
        <v>58650.4</v>
      </c>
      <c r="J321" s="0" t="n">
        <v>30918.38</v>
      </c>
      <c r="K321" s="0" t="n">
        <v>27732.02</v>
      </c>
    </row>
    <row r="322" customFormat="false" ht="15" hidden="false" customHeight="false" outlineLevel="0" collapsed="false">
      <c r="A322" s="0" t="s">
        <v>908</v>
      </c>
      <c r="B322" s="0" t="s">
        <v>72</v>
      </c>
      <c r="C322" s="0" t="s">
        <v>221</v>
      </c>
      <c r="D322" s="0" t="s">
        <v>557</v>
      </c>
      <c r="E322" s="0" t="s">
        <v>534</v>
      </c>
      <c r="F322" s="0" t="n">
        <v>120</v>
      </c>
      <c r="G322" s="0" t="n">
        <v>193.31</v>
      </c>
      <c r="H322" s="0" t="n">
        <v>137.56</v>
      </c>
      <c r="I322" s="0" t="n">
        <v>23197.2</v>
      </c>
      <c r="J322" s="0" t="n">
        <v>16507.2</v>
      </c>
      <c r="K322" s="0" t="n">
        <v>6690</v>
      </c>
    </row>
    <row r="323" customFormat="false" ht="15" hidden="false" customHeight="false" outlineLevel="0" collapsed="false">
      <c r="A323" s="0" t="s">
        <v>909</v>
      </c>
      <c r="B323" s="0" t="s">
        <v>72</v>
      </c>
      <c r="C323" s="0" t="s">
        <v>221</v>
      </c>
      <c r="D323" s="0" t="s">
        <v>559</v>
      </c>
      <c r="E323" s="0" t="s">
        <v>537</v>
      </c>
      <c r="F323" s="0" t="n">
        <v>232</v>
      </c>
      <c r="G323" s="0" t="n">
        <v>260.01</v>
      </c>
      <c r="H323" s="0" t="n">
        <v>163.74</v>
      </c>
      <c r="I323" s="0" t="n">
        <v>60322.32</v>
      </c>
      <c r="J323" s="0" t="n">
        <v>37987.68</v>
      </c>
      <c r="K323" s="0" t="n">
        <v>22334.64</v>
      </c>
    </row>
    <row r="324" customFormat="false" ht="15" hidden="false" customHeight="false" outlineLevel="0" collapsed="false">
      <c r="A324" s="0" t="s">
        <v>910</v>
      </c>
      <c r="B324" s="0" t="s">
        <v>72</v>
      </c>
      <c r="C324" s="0" t="s">
        <v>221</v>
      </c>
      <c r="D324" s="0" t="s">
        <v>561</v>
      </c>
      <c r="E324" s="0" t="s">
        <v>540</v>
      </c>
      <c r="F324" s="0" t="n">
        <v>307</v>
      </c>
      <c r="G324" s="0" t="n">
        <v>284.81</v>
      </c>
      <c r="H324" s="0" t="n">
        <v>179.76</v>
      </c>
      <c r="I324" s="0" t="n">
        <v>87436.67</v>
      </c>
      <c r="J324" s="0" t="n">
        <v>55186.32</v>
      </c>
      <c r="K324" s="0" t="n">
        <v>32250.35</v>
      </c>
    </row>
    <row r="325" customFormat="false" ht="15" hidden="false" customHeight="false" outlineLevel="0" collapsed="false">
      <c r="A325" s="0" t="s">
        <v>911</v>
      </c>
      <c r="B325" s="0" t="s">
        <v>72</v>
      </c>
      <c r="C325" s="0" t="s">
        <v>221</v>
      </c>
      <c r="D325" s="0" t="s">
        <v>563</v>
      </c>
      <c r="E325" s="0" t="s">
        <v>543</v>
      </c>
      <c r="F325" s="0" t="n">
        <v>445</v>
      </c>
      <c r="G325" s="0" t="n">
        <v>326.12</v>
      </c>
      <c r="H325" s="0" t="n">
        <v>204.67</v>
      </c>
      <c r="I325" s="0" t="n">
        <v>145123.4</v>
      </c>
      <c r="J325" s="0" t="n">
        <v>91078.15</v>
      </c>
      <c r="K325" s="0" t="n">
        <v>54045.25</v>
      </c>
    </row>
    <row r="326" customFormat="false" ht="15" hidden="false" customHeight="false" outlineLevel="0" collapsed="false">
      <c r="A326" s="0" t="s">
        <v>912</v>
      </c>
      <c r="B326" s="0" t="s">
        <v>73</v>
      </c>
      <c r="C326" s="0" t="s">
        <v>221</v>
      </c>
      <c r="D326" s="0" t="s">
        <v>646</v>
      </c>
      <c r="E326" s="0" t="s">
        <v>549</v>
      </c>
      <c r="F326" s="0" t="n">
        <v>440</v>
      </c>
      <c r="G326" s="0" t="n">
        <v>134.69</v>
      </c>
      <c r="H326" s="0" t="n">
        <v>79</v>
      </c>
      <c r="I326" s="0" t="n">
        <v>59263.6</v>
      </c>
      <c r="J326" s="0" t="n">
        <v>34760</v>
      </c>
      <c r="K326" s="0" t="n">
        <v>24503.6</v>
      </c>
    </row>
    <row r="327" customFormat="false" ht="15" hidden="false" customHeight="false" outlineLevel="0" collapsed="false">
      <c r="A327" s="0" t="s">
        <v>913</v>
      </c>
      <c r="B327" s="0" t="s">
        <v>73</v>
      </c>
      <c r="C327" s="0" t="s">
        <v>221</v>
      </c>
      <c r="D327" s="0" t="s">
        <v>648</v>
      </c>
      <c r="E327" s="0" t="s">
        <v>552</v>
      </c>
      <c r="F327" s="0" t="n">
        <v>251</v>
      </c>
      <c r="G327" s="0" t="n">
        <v>188.76</v>
      </c>
      <c r="H327" s="0" t="n">
        <v>111.46</v>
      </c>
      <c r="I327" s="0" t="n">
        <v>47378.76</v>
      </c>
      <c r="J327" s="0" t="n">
        <v>27976.46</v>
      </c>
      <c r="K327" s="0" t="n">
        <v>19402.3</v>
      </c>
    </row>
    <row r="328" customFormat="false" ht="15" hidden="false" customHeight="false" outlineLevel="0" collapsed="false">
      <c r="A328" s="0" t="s">
        <v>914</v>
      </c>
      <c r="B328" s="0" t="s">
        <v>73</v>
      </c>
      <c r="C328" s="0" t="s">
        <v>221</v>
      </c>
      <c r="D328" s="0" t="s">
        <v>650</v>
      </c>
      <c r="E328" s="0" t="s">
        <v>555</v>
      </c>
      <c r="F328" s="0" t="n">
        <v>276</v>
      </c>
      <c r="G328" s="0" t="n">
        <v>165.55</v>
      </c>
      <c r="H328" s="0" t="n">
        <v>94.97</v>
      </c>
      <c r="I328" s="0" t="n">
        <v>45691.8</v>
      </c>
      <c r="J328" s="0" t="n">
        <v>26211.72</v>
      </c>
      <c r="K328" s="0" t="n">
        <v>19480.08</v>
      </c>
    </row>
    <row r="329" customFormat="false" ht="15" hidden="false" customHeight="false" outlineLevel="0" collapsed="false">
      <c r="A329" s="0" t="s">
        <v>915</v>
      </c>
      <c r="B329" s="0" t="s">
        <v>73</v>
      </c>
      <c r="C329" s="0" t="s">
        <v>221</v>
      </c>
      <c r="D329" s="0" t="s">
        <v>533</v>
      </c>
      <c r="E329" s="0" t="s">
        <v>534</v>
      </c>
      <c r="F329" s="0" t="n">
        <v>295</v>
      </c>
      <c r="G329" s="0" t="n">
        <v>202.35</v>
      </c>
      <c r="H329" s="0" t="n">
        <v>139.27</v>
      </c>
      <c r="I329" s="0" t="n">
        <v>59693.25</v>
      </c>
      <c r="J329" s="0" t="n">
        <v>41084.65</v>
      </c>
      <c r="K329" s="0" t="n">
        <v>18608.6</v>
      </c>
    </row>
    <row r="330" customFormat="false" ht="15" hidden="false" customHeight="false" outlineLevel="0" collapsed="false">
      <c r="A330" s="0" t="s">
        <v>916</v>
      </c>
      <c r="B330" s="0" t="s">
        <v>73</v>
      </c>
      <c r="C330" s="0" t="s">
        <v>221</v>
      </c>
      <c r="D330" s="0" t="s">
        <v>536</v>
      </c>
      <c r="E330" s="0" t="s">
        <v>537</v>
      </c>
      <c r="F330" s="0" t="n">
        <v>172</v>
      </c>
      <c r="G330" s="0" t="n">
        <v>232.75</v>
      </c>
      <c r="H330" s="0" t="n">
        <v>161.17</v>
      </c>
      <c r="I330" s="0" t="n">
        <v>40033</v>
      </c>
      <c r="J330" s="0" t="n">
        <v>27721.24</v>
      </c>
      <c r="K330" s="0" t="n">
        <v>12311.76</v>
      </c>
    </row>
    <row r="331" customFormat="false" ht="15" hidden="false" customHeight="false" outlineLevel="0" collapsed="false">
      <c r="A331" s="0" t="s">
        <v>917</v>
      </c>
      <c r="B331" s="0" t="s">
        <v>73</v>
      </c>
      <c r="C331" s="0" t="s">
        <v>221</v>
      </c>
      <c r="D331" s="0" t="s">
        <v>539</v>
      </c>
      <c r="E331" s="0" t="s">
        <v>540</v>
      </c>
      <c r="F331" s="0" t="n">
        <v>280</v>
      </c>
      <c r="G331" s="0" t="n">
        <v>271.76</v>
      </c>
      <c r="H331" s="0" t="n">
        <v>169.1</v>
      </c>
      <c r="I331" s="0" t="n">
        <v>76092.8</v>
      </c>
      <c r="J331" s="0" t="n">
        <v>47348</v>
      </c>
      <c r="K331" s="0" t="n">
        <v>28744.8</v>
      </c>
    </row>
    <row r="332" customFormat="false" ht="15" hidden="false" customHeight="false" outlineLevel="0" collapsed="false">
      <c r="A332" s="0" t="s">
        <v>918</v>
      </c>
      <c r="B332" s="0" t="s">
        <v>73</v>
      </c>
      <c r="C332" s="0" t="s">
        <v>221</v>
      </c>
      <c r="D332" s="0" t="s">
        <v>542</v>
      </c>
      <c r="E332" s="0" t="s">
        <v>543</v>
      </c>
      <c r="F332" s="0" t="n">
        <v>383</v>
      </c>
      <c r="G332" s="0" t="n">
        <v>295.3</v>
      </c>
      <c r="H332" s="0" t="n">
        <v>205.1</v>
      </c>
      <c r="I332" s="0" t="n">
        <v>113099.9</v>
      </c>
      <c r="J332" s="0" t="n">
        <v>78553.3</v>
      </c>
      <c r="K332" s="0" t="n">
        <v>34546.6</v>
      </c>
    </row>
    <row r="333" customFormat="false" ht="15" hidden="false" customHeight="false" outlineLevel="0" collapsed="false">
      <c r="A333" s="0" t="s">
        <v>919</v>
      </c>
      <c r="B333" s="0" t="s">
        <v>73</v>
      </c>
      <c r="C333" s="0" t="s">
        <v>221</v>
      </c>
      <c r="D333" s="0" t="s">
        <v>545</v>
      </c>
      <c r="E333" s="0" t="s">
        <v>546</v>
      </c>
      <c r="F333" s="0" t="n">
        <v>215</v>
      </c>
      <c r="G333" s="0" t="n">
        <v>104.47</v>
      </c>
      <c r="H333" s="0" t="n">
        <v>69.68</v>
      </c>
      <c r="I333" s="0" t="n">
        <v>22461.05</v>
      </c>
      <c r="J333" s="0" t="n">
        <v>14981.2</v>
      </c>
      <c r="K333" s="0" t="n">
        <v>7479.85</v>
      </c>
    </row>
    <row r="334" customFormat="false" ht="15" hidden="false" customHeight="false" outlineLevel="0" collapsed="false">
      <c r="A334" s="0" t="s">
        <v>920</v>
      </c>
      <c r="B334" s="0" t="s">
        <v>73</v>
      </c>
      <c r="C334" s="0" t="s">
        <v>221</v>
      </c>
      <c r="D334" s="0" t="s">
        <v>548</v>
      </c>
      <c r="E334" s="0" t="s">
        <v>549</v>
      </c>
      <c r="F334" s="0" t="n">
        <v>323</v>
      </c>
      <c r="G334" s="0" t="n">
        <v>146.04</v>
      </c>
      <c r="H334" s="0" t="n">
        <v>85.39</v>
      </c>
      <c r="I334" s="0" t="n">
        <v>47170.92</v>
      </c>
      <c r="J334" s="0" t="n">
        <v>27580.97</v>
      </c>
      <c r="K334" s="0" t="n">
        <v>19589.95</v>
      </c>
    </row>
    <row r="335" customFormat="false" ht="15" hidden="false" customHeight="false" outlineLevel="0" collapsed="false">
      <c r="A335" s="0" t="s">
        <v>921</v>
      </c>
      <c r="B335" s="0" t="s">
        <v>73</v>
      </c>
      <c r="C335" s="0" t="s">
        <v>221</v>
      </c>
      <c r="D335" s="0" t="s">
        <v>551</v>
      </c>
      <c r="E335" s="0" t="s">
        <v>552</v>
      </c>
      <c r="F335" s="0" t="n">
        <v>165</v>
      </c>
      <c r="G335" s="0" t="n">
        <v>170.92</v>
      </c>
      <c r="H335" s="0" t="n">
        <v>120.22</v>
      </c>
      <c r="I335" s="0" t="n">
        <v>28201.8</v>
      </c>
      <c r="J335" s="0" t="n">
        <v>19836.3</v>
      </c>
      <c r="K335" s="0" t="n">
        <v>8365.5</v>
      </c>
    </row>
    <row r="336" customFormat="false" ht="15" hidden="false" customHeight="false" outlineLevel="0" collapsed="false">
      <c r="A336" s="0" t="s">
        <v>922</v>
      </c>
      <c r="B336" s="0" t="s">
        <v>73</v>
      </c>
      <c r="C336" s="0" t="s">
        <v>221</v>
      </c>
      <c r="D336" s="0" t="s">
        <v>554</v>
      </c>
      <c r="E336" s="0" t="s">
        <v>555</v>
      </c>
      <c r="F336" s="0" t="n">
        <v>385</v>
      </c>
      <c r="G336" s="0" t="n">
        <v>162.56</v>
      </c>
      <c r="H336" s="0" t="n">
        <v>103.24</v>
      </c>
      <c r="I336" s="0" t="n">
        <v>62585.6</v>
      </c>
      <c r="J336" s="0" t="n">
        <v>39747.4</v>
      </c>
      <c r="K336" s="0" t="n">
        <v>22838.2</v>
      </c>
    </row>
    <row r="337" customFormat="false" ht="15" hidden="false" customHeight="false" outlineLevel="0" collapsed="false">
      <c r="A337" s="0" t="s">
        <v>923</v>
      </c>
      <c r="B337" s="0" t="s">
        <v>73</v>
      </c>
      <c r="C337" s="0" t="s">
        <v>221</v>
      </c>
      <c r="D337" s="0" t="s">
        <v>557</v>
      </c>
      <c r="E337" s="0" t="s">
        <v>534</v>
      </c>
      <c r="F337" s="0" t="n">
        <v>438</v>
      </c>
      <c r="G337" s="0" t="n">
        <v>193.73</v>
      </c>
      <c r="H337" s="0" t="n">
        <v>140.11</v>
      </c>
      <c r="I337" s="0" t="n">
        <v>84853.74</v>
      </c>
      <c r="J337" s="0" t="n">
        <v>61368.18</v>
      </c>
      <c r="K337" s="0" t="n">
        <v>23485.56</v>
      </c>
    </row>
    <row r="338" customFormat="false" ht="15" hidden="false" customHeight="false" outlineLevel="0" collapsed="false">
      <c r="A338" s="0" t="s">
        <v>924</v>
      </c>
      <c r="B338" s="0" t="s">
        <v>73</v>
      </c>
      <c r="C338" s="0" t="s">
        <v>221</v>
      </c>
      <c r="D338" s="0" t="s">
        <v>559</v>
      </c>
      <c r="E338" s="0" t="s">
        <v>537</v>
      </c>
      <c r="F338" s="0" t="n">
        <v>186</v>
      </c>
      <c r="G338" s="0" t="n">
        <v>260.08</v>
      </c>
      <c r="H338" s="0" t="n">
        <v>165.73</v>
      </c>
      <c r="I338" s="0" t="n">
        <v>48374.88</v>
      </c>
      <c r="J338" s="0" t="n">
        <v>30825.78</v>
      </c>
      <c r="K338" s="0" t="n">
        <v>17549.1</v>
      </c>
    </row>
    <row r="339" customFormat="false" ht="15" hidden="false" customHeight="false" outlineLevel="0" collapsed="false">
      <c r="A339" s="0" t="s">
        <v>925</v>
      </c>
      <c r="B339" s="0" t="s">
        <v>73</v>
      </c>
      <c r="C339" s="0" t="s">
        <v>221</v>
      </c>
      <c r="D339" s="0" t="s">
        <v>561</v>
      </c>
      <c r="E339" s="0" t="s">
        <v>540</v>
      </c>
      <c r="F339" s="0" t="n">
        <v>139</v>
      </c>
      <c r="G339" s="0" t="n">
        <v>257.83</v>
      </c>
      <c r="H339" s="0" t="n">
        <v>175.9</v>
      </c>
      <c r="I339" s="0" t="n">
        <v>35838.37</v>
      </c>
      <c r="J339" s="0" t="n">
        <v>24450.1</v>
      </c>
      <c r="K339" s="0" t="n">
        <v>11388.27</v>
      </c>
    </row>
    <row r="340" customFormat="false" ht="15" hidden="false" customHeight="false" outlineLevel="0" collapsed="false">
      <c r="A340" s="0" t="s">
        <v>926</v>
      </c>
      <c r="B340" s="0" t="s">
        <v>73</v>
      </c>
      <c r="C340" s="0" t="s">
        <v>221</v>
      </c>
      <c r="D340" s="0" t="s">
        <v>563</v>
      </c>
      <c r="E340" s="0" t="s">
        <v>543</v>
      </c>
      <c r="F340" s="0" t="n">
        <v>379</v>
      </c>
      <c r="G340" s="0" t="n">
        <v>301.75</v>
      </c>
      <c r="H340" s="0" t="n">
        <v>210.87</v>
      </c>
      <c r="I340" s="0" t="n">
        <v>114363.25</v>
      </c>
      <c r="J340" s="0" t="n">
        <v>79919.73</v>
      </c>
      <c r="K340" s="0" t="n">
        <v>34443.52</v>
      </c>
    </row>
    <row r="341" customFormat="false" ht="15" hidden="false" customHeight="false" outlineLevel="0" collapsed="false">
      <c r="A341" s="0" t="s">
        <v>927</v>
      </c>
      <c r="B341" s="0" t="s">
        <v>73</v>
      </c>
      <c r="C341" s="0" t="s">
        <v>221</v>
      </c>
      <c r="D341" s="0" t="s">
        <v>565</v>
      </c>
      <c r="E341" s="0" t="s">
        <v>546</v>
      </c>
      <c r="F341" s="0" t="n">
        <v>96</v>
      </c>
      <c r="G341" s="0" t="n">
        <v>111.88</v>
      </c>
      <c r="H341" s="0" t="n">
        <v>69.61</v>
      </c>
      <c r="I341" s="0" t="n">
        <v>10740.48</v>
      </c>
      <c r="J341" s="0" t="n">
        <v>6682.56</v>
      </c>
      <c r="K341" s="0" t="n">
        <v>4057.92</v>
      </c>
    </row>
    <row r="342" customFormat="false" ht="15" hidden="false" customHeight="false" outlineLevel="0" collapsed="false">
      <c r="A342" s="0" t="s">
        <v>928</v>
      </c>
      <c r="B342" s="0" t="s">
        <v>73</v>
      </c>
      <c r="C342" s="0" t="s">
        <v>221</v>
      </c>
      <c r="D342" s="0" t="s">
        <v>567</v>
      </c>
      <c r="E342" s="0" t="s">
        <v>549</v>
      </c>
      <c r="F342" s="0" t="n">
        <v>225</v>
      </c>
      <c r="G342" s="0" t="n">
        <v>129.2</v>
      </c>
      <c r="H342" s="0" t="n">
        <v>87.23</v>
      </c>
      <c r="I342" s="0" t="n">
        <v>29070</v>
      </c>
      <c r="J342" s="0" t="n">
        <v>19626.75</v>
      </c>
      <c r="K342" s="0" t="n">
        <v>9443.25</v>
      </c>
    </row>
    <row r="343" customFormat="false" ht="15" hidden="false" customHeight="false" outlineLevel="0" collapsed="false">
      <c r="A343" s="0" t="s">
        <v>929</v>
      </c>
      <c r="B343" s="0" t="s">
        <v>73</v>
      </c>
      <c r="C343" s="0" t="s">
        <v>221</v>
      </c>
      <c r="D343" s="0" t="s">
        <v>569</v>
      </c>
      <c r="E343" s="0" t="s">
        <v>552</v>
      </c>
      <c r="F343" s="0" t="n">
        <v>110</v>
      </c>
      <c r="G343" s="0" t="n">
        <v>191.59</v>
      </c>
      <c r="H343" s="0" t="n">
        <v>117.54</v>
      </c>
      <c r="I343" s="0" t="n">
        <v>21074.9</v>
      </c>
      <c r="J343" s="0" t="n">
        <v>12929.4</v>
      </c>
      <c r="K343" s="0" t="n">
        <v>8145.5</v>
      </c>
    </row>
    <row r="344" customFormat="false" ht="15" hidden="false" customHeight="false" outlineLevel="0" collapsed="false">
      <c r="A344" s="0" t="s">
        <v>930</v>
      </c>
      <c r="B344" s="0" t="s">
        <v>73</v>
      </c>
      <c r="C344" s="0" t="s">
        <v>221</v>
      </c>
      <c r="D344" s="0" t="s">
        <v>571</v>
      </c>
      <c r="E344" s="0" t="s">
        <v>555</v>
      </c>
      <c r="F344" s="0" t="n">
        <v>231</v>
      </c>
      <c r="G344" s="0" t="n">
        <v>173.4</v>
      </c>
      <c r="H344" s="0" t="n">
        <v>94.81</v>
      </c>
      <c r="I344" s="0" t="n">
        <v>40055.4</v>
      </c>
      <c r="J344" s="0" t="n">
        <v>21901.11</v>
      </c>
      <c r="K344" s="0" t="n">
        <v>18154.29</v>
      </c>
    </row>
    <row r="345" customFormat="false" ht="15" hidden="false" customHeight="false" outlineLevel="0" collapsed="false">
      <c r="A345" s="0" t="s">
        <v>931</v>
      </c>
      <c r="B345" s="0" t="s">
        <v>73</v>
      </c>
      <c r="C345" s="0" t="s">
        <v>221</v>
      </c>
      <c r="D345" s="0" t="s">
        <v>573</v>
      </c>
      <c r="E345" s="0" t="s">
        <v>534</v>
      </c>
      <c r="F345" s="0" t="n">
        <v>265</v>
      </c>
      <c r="G345" s="0" t="n">
        <v>192.88</v>
      </c>
      <c r="H345" s="0" t="n">
        <v>129.73</v>
      </c>
      <c r="I345" s="0" t="n">
        <v>51113.2</v>
      </c>
      <c r="J345" s="0" t="n">
        <v>34378.45</v>
      </c>
      <c r="K345" s="0" t="n">
        <v>16734.75</v>
      </c>
    </row>
    <row r="346" customFormat="false" ht="15" hidden="false" customHeight="false" outlineLevel="0" collapsed="false">
      <c r="A346" s="0" t="s">
        <v>932</v>
      </c>
      <c r="B346" s="0" t="s">
        <v>73</v>
      </c>
      <c r="C346" s="0" t="s">
        <v>221</v>
      </c>
      <c r="D346" s="0" t="s">
        <v>575</v>
      </c>
      <c r="E346" s="0" t="s">
        <v>537</v>
      </c>
      <c r="F346" s="0" t="n">
        <v>213</v>
      </c>
      <c r="G346" s="0" t="n">
        <v>249.42</v>
      </c>
      <c r="H346" s="0" t="n">
        <v>163.26</v>
      </c>
      <c r="I346" s="0" t="n">
        <v>53126.46</v>
      </c>
      <c r="J346" s="0" t="n">
        <v>34774.38</v>
      </c>
      <c r="K346" s="0" t="n">
        <v>18352.08</v>
      </c>
    </row>
    <row r="347" customFormat="false" ht="15" hidden="false" customHeight="false" outlineLevel="0" collapsed="false">
      <c r="A347" s="0" t="s">
        <v>933</v>
      </c>
      <c r="B347" s="0" t="s">
        <v>73</v>
      </c>
      <c r="C347" s="0" t="s">
        <v>221</v>
      </c>
      <c r="D347" s="0" t="s">
        <v>577</v>
      </c>
      <c r="E347" s="0" t="s">
        <v>540</v>
      </c>
      <c r="F347" s="0" t="n">
        <v>422</v>
      </c>
      <c r="G347" s="0" t="n">
        <v>273.98</v>
      </c>
      <c r="H347" s="0" t="n">
        <v>166.97</v>
      </c>
      <c r="I347" s="0" t="n">
        <v>115619.56</v>
      </c>
      <c r="J347" s="0" t="n">
        <v>70461.34</v>
      </c>
      <c r="K347" s="0" t="n">
        <v>45158.22</v>
      </c>
    </row>
    <row r="348" customFormat="false" ht="15" hidden="false" customHeight="false" outlineLevel="0" collapsed="false">
      <c r="A348" s="0" t="s">
        <v>934</v>
      </c>
      <c r="B348" s="0" t="s">
        <v>73</v>
      </c>
      <c r="C348" s="0" t="s">
        <v>221</v>
      </c>
      <c r="D348" s="0" t="s">
        <v>579</v>
      </c>
      <c r="E348" s="0" t="s">
        <v>543</v>
      </c>
      <c r="F348" s="0" t="n">
        <v>134</v>
      </c>
      <c r="G348" s="0" t="n">
        <v>327.42</v>
      </c>
      <c r="H348" s="0" t="n">
        <v>209.59</v>
      </c>
      <c r="I348" s="0" t="n">
        <v>43874.28</v>
      </c>
      <c r="J348" s="0" t="n">
        <v>28085.06</v>
      </c>
      <c r="K348" s="0" t="n">
        <v>15789.22</v>
      </c>
    </row>
    <row r="349" customFormat="false" ht="15" hidden="false" customHeight="false" outlineLevel="0" collapsed="false">
      <c r="A349" s="0" t="s">
        <v>935</v>
      </c>
      <c r="B349" s="0" t="s">
        <v>73</v>
      </c>
      <c r="C349" s="0" t="s">
        <v>221</v>
      </c>
      <c r="D349" s="0" t="s">
        <v>581</v>
      </c>
      <c r="E349" s="0" t="s">
        <v>546</v>
      </c>
      <c r="F349" s="0" t="n">
        <v>243</v>
      </c>
      <c r="G349" s="0" t="n">
        <v>109.18</v>
      </c>
      <c r="H349" s="0" t="n">
        <v>64.59</v>
      </c>
      <c r="I349" s="0" t="n">
        <v>26530.74</v>
      </c>
      <c r="J349" s="0" t="n">
        <v>15695.37</v>
      </c>
      <c r="K349" s="0" t="n">
        <v>10835.37</v>
      </c>
    </row>
    <row r="350" customFormat="false" ht="15" hidden="false" customHeight="false" outlineLevel="0" collapsed="false">
      <c r="A350" s="0" t="s">
        <v>936</v>
      </c>
      <c r="B350" s="0" t="s">
        <v>73</v>
      </c>
      <c r="C350" s="0" t="s">
        <v>221</v>
      </c>
      <c r="D350" s="0" t="s">
        <v>583</v>
      </c>
      <c r="E350" s="0" t="s">
        <v>549</v>
      </c>
      <c r="F350" s="0" t="n">
        <v>271</v>
      </c>
      <c r="G350" s="0" t="n">
        <v>142.85</v>
      </c>
      <c r="H350" s="0" t="n">
        <v>79.61</v>
      </c>
      <c r="I350" s="0" t="n">
        <v>38712.35</v>
      </c>
      <c r="J350" s="0" t="n">
        <v>21574.31</v>
      </c>
      <c r="K350" s="0" t="n">
        <v>17138.04</v>
      </c>
    </row>
    <row r="351" customFormat="false" ht="15" hidden="false" customHeight="false" outlineLevel="0" collapsed="false">
      <c r="A351" s="0" t="s">
        <v>937</v>
      </c>
      <c r="B351" s="0" t="s">
        <v>73</v>
      </c>
      <c r="C351" s="0" t="s">
        <v>221</v>
      </c>
      <c r="D351" s="0" t="s">
        <v>585</v>
      </c>
      <c r="E351" s="0" t="s">
        <v>552</v>
      </c>
      <c r="F351" s="0" t="n">
        <v>236</v>
      </c>
      <c r="G351" s="0" t="n">
        <v>177.17</v>
      </c>
      <c r="H351" s="0" t="n">
        <v>113.1</v>
      </c>
      <c r="I351" s="0" t="n">
        <v>41812.12</v>
      </c>
      <c r="J351" s="0" t="n">
        <v>26691.6</v>
      </c>
      <c r="K351" s="0" t="n">
        <v>15120.52</v>
      </c>
    </row>
    <row r="352" customFormat="false" ht="15" hidden="false" customHeight="false" outlineLevel="0" collapsed="false">
      <c r="A352" s="0" t="s">
        <v>938</v>
      </c>
      <c r="B352" s="0" t="s">
        <v>73</v>
      </c>
      <c r="C352" s="0" t="s">
        <v>221</v>
      </c>
      <c r="D352" s="0" t="s">
        <v>587</v>
      </c>
      <c r="E352" s="0" t="s">
        <v>555</v>
      </c>
      <c r="F352" s="0" t="n">
        <v>187</v>
      </c>
      <c r="G352" s="0" t="n">
        <v>158.76</v>
      </c>
      <c r="H352" s="0" t="n">
        <v>98.37</v>
      </c>
      <c r="I352" s="0" t="n">
        <v>29688.12</v>
      </c>
      <c r="J352" s="0" t="n">
        <v>18395.19</v>
      </c>
      <c r="K352" s="0" t="n">
        <v>11292.93</v>
      </c>
    </row>
    <row r="353" customFormat="false" ht="15" hidden="false" customHeight="false" outlineLevel="0" collapsed="false">
      <c r="A353" s="0" t="s">
        <v>939</v>
      </c>
      <c r="B353" s="0" t="s">
        <v>73</v>
      </c>
      <c r="C353" s="0" t="s">
        <v>221</v>
      </c>
      <c r="D353" s="0" t="s">
        <v>589</v>
      </c>
      <c r="E353" s="0" t="s">
        <v>534</v>
      </c>
      <c r="F353" s="0" t="n">
        <v>272</v>
      </c>
      <c r="G353" s="0" t="n">
        <v>201.39</v>
      </c>
      <c r="H353" s="0" t="n">
        <v>141.19</v>
      </c>
      <c r="I353" s="0" t="n">
        <v>54778.08</v>
      </c>
      <c r="J353" s="0" t="n">
        <v>38403.68</v>
      </c>
      <c r="K353" s="0" t="n">
        <v>16374.4</v>
      </c>
    </row>
    <row r="354" customFormat="false" ht="15" hidden="false" customHeight="false" outlineLevel="0" collapsed="false">
      <c r="A354" s="0" t="s">
        <v>940</v>
      </c>
      <c r="B354" s="0" t="s">
        <v>73</v>
      </c>
      <c r="C354" s="0" t="s">
        <v>221</v>
      </c>
      <c r="D354" s="0" t="s">
        <v>591</v>
      </c>
      <c r="E354" s="0" t="s">
        <v>537</v>
      </c>
      <c r="F354" s="0" t="n">
        <v>169</v>
      </c>
      <c r="G354" s="0" t="n">
        <v>235.47</v>
      </c>
      <c r="H354" s="0" t="n">
        <v>165.2</v>
      </c>
      <c r="I354" s="0" t="n">
        <v>39794.43</v>
      </c>
      <c r="J354" s="0" t="n">
        <v>27918.8</v>
      </c>
      <c r="K354" s="0" t="n">
        <v>11875.63</v>
      </c>
    </row>
    <row r="355" customFormat="false" ht="15" hidden="false" customHeight="false" outlineLevel="0" collapsed="false">
      <c r="A355" s="0" t="s">
        <v>941</v>
      </c>
      <c r="B355" s="0" t="s">
        <v>73</v>
      </c>
      <c r="C355" s="0" t="s">
        <v>221</v>
      </c>
      <c r="D355" s="0" t="s">
        <v>593</v>
      </c>
      <c r="E355" s="0" t="s">
        <v>540</v>
      </c>
      <c r="F355" s="0" t="n">
        <v>331</v>
      </c>
      <c r="G355" s="0" t="n">
        <v>284.41</v>
      </c>
      <c r="H355" s="0" t="n">
        <v>170.22</v>
      </c>
      <c r="I355" s="0" t="n">
        <v>94139.71</v>
      </c>
      <c r="J355" s="0" t="n">
        <v>56342.82</v>
      </c>
      <c r="K355" s="0" t="n">
        <v>37796.89</v>
      </c>
    </row>
    <row r="356" customFormat="false" ht="15" hidden="false" customHeight="false" outlineLevel="0" collapsed="false">
      <c r="A356" s="0" t="s">
        <v>942</v>
      </c>
      <c r="B356" s="0" t="s">
        <v>73</v>
      </c>
      <c r="C356" s="0" t="s">
        <v>221</v>
      </c>
      <c r="D356" s="0" t="s">
        <v>595</v>
      </c>
      <c r="E356" s="0" t="s">
        <v>543</v>
      </c>
      <c r="F356" s="0" t="n">
        <v>258</v>
      </c>
      <c r="G356" s="0" t="n">
        <v>323.23</v>
      </c>
      <c r="H356" s="0" t="n">
        <v>205.27</v>
      </c>
      <c r="I356" s="0" t="n">
        <v>83393.34</v>
      </c>
      <c r="J356" s="0" t="n">
        <v>52959.66</v>
      </c>
      <c r="K356" s="0" t="n">
        <v>30433.68</v>
      </c>
    </row>
    <row r="357" customFormat="false" ht="15" hidden="false" customHeight="false" outlineLevel="0" collapsed="false">
      <c r="A357" s="0" t="s">
        <v>943</v>
      </c>
      <c r="B357" s="0" t="s">
        <v>73</v>
      </c>
      <c r="C357" s="0" t="s">
        <v>221</v>
      </c>
      <c r="D357" s="0" t="s">
        <v>597</v>
      </c>
      <c r="E357" s="0" t="s">
        <v>546</v>
      </c>
      <c r="F357" s="0" t="n">
        <v>123</v>
      </c>
      <c r="G357" s="0" t="n">
        <v>99.91</v>
      </c>
      <c r="H357" s="0" t="n">
        <v>72.09</v>
      </c>
      <c r="I357" s="0" t="n">
        <v>12288.93</v>
      </c>
      <c r="J357" s="0" t="n">
        <v>8867.07</v>
      </c>
      <c r="K357" s="0" t="n">
        <v>3421.86</v>
      </c>
    </row>
    <row r="358" customFormat="false" ht="15" hidden="false" customHeight="false" outlineLevel="0" collapsed="false">
      <c r="A358" s="0" t="s">
        <v>944</v>
      </c>
      <c r="B358" s="0" t="s">
        <v>73</v>
      </c>
      <c r="C358" s="0" t="s">
        <v>221</v>
      </c>
      <c r="D358" s="0" t="s">
        <v>599</v>
      </c>
      <c r="E358" s="0" t="s">
        <v>549</v>
      </c>
      <c r="F358" s="0" t="n">
        <v>431</v>
      </c>
      <c r="G358" s="0" t="n">
        <v>142.7</v>
      </c>
      <c r="H358" s="0" t="n">
        <v>88.36</v>
      </c>
      <c r="I358" s="0" t="n">
        <v>61503.7</v>
      </c>
      <c r="J358" s="0" t="n">
        <v>38083.16</v>
      </c>
      <c r="K358" s="0" t="n">
        <v>23420.54</v>
      </c>
    </row>
    <row r="359" customFormat="false" ht="15" hidden="false" customHeight="false" outlineLevel="0" collapsed="false">
      <c r="A359" s="0" t="s">
        <v>945</v>
      </c>
      <c r="B359" s="0" t="s">
        <v>73</v>
      </c>
      <c r="C359" s="0" t="s">
        <v>221</v>
      </c>
      <c r="D359" s="0" t="s">
        <v>601</v>
      </c>
      <c r="E359" s="0" t="s">
        <v>552</v>
      </c>
      <c r="F359" s="0" t="n">
        <v>370</v>
      </c>
      <c r="G359" s="0" t="n">
        <v>178.13</v>
      </c>
      <c r="H359" s="0" t="n">
        <v>118.15</v>
      </c>
      <c r="I359" s="0" t="n">
        <v>65908.1</v>
      </c>
      <c r="J359" s="0" t="n">
        <v>43715.5</v>
      </c>
      <c r="K359" s="0" t="n">
        <v>22192.6</v>
      </c>
    </row>
    <row r="360" customFormat="false" ht="15" hidden="false" customHeight="false" outlineLevel="0" collapsed="false">
      <c r="A360" s="0" t="s">
        <v>946</v>
      </c>
      <c r="B360" s="0" t="s">
        <v>73</v>
      </c>
      <c r="C360" s="0" t="s">
        <v>221</v>
      </c>
      <c r="D360" s="0" t="s">
        <v>603</v>
      </c>
      <c r="E360" s="0" t="s">
        <v>555</v>
      </c>
      <c r="F360" s="0" t="n">
        <v>92</v>
      </c>
      <c r="G360" s="0" t="n">
        <v>161.77</v>
      </c>
      <c r="H360" s="0" t="n">
        <v>93.58</v>
      </c>
      <c r="I360" s="0" t="n">
        <v>14882.84</v>
      </c>
      <c r="J360" s="0" t="n">
        <v>8609.36</v>
      </c>
      <c r="K360" s="0" t="n">
        <v>6273.48</v>
      </c>
    </row>
    <row r="361" customFormat="false" ht="15" hidden="false" customHeight="false" outlineLevel="0" collapsed="false">
      <c r="A361" s="0" t="s">
        <v>947</v>
      </c>
      <c r="B361" s="0" t="s">
        <v>73</v>
      </c>
      <c r="C361" s="0" t="s">
        <v>221</v>
      </c>
      <c r="D361" s="0" t="s">
        <v>605</v>
      </c>
      <c r="E361" s="0" t="s">
        <v>534</v>
      </c>
      <c r="F361" s="0" t="n">
        <v>273</v>
      </c>
      <c r="G361" s="0" t="n">
        <v>205.27</v>
      </c>
      <c r="H361" s="0" t="n">
        <v>137.37</v>
      </c>
      <c r="I361" s="0" t="n">
        <v>56038.71</v>
      </c>
      <c r="J361" s="0" t="n">
        <v>37502.01</v>
      </c>
      <c r="K361" s="0" t="n">
        <v>18536.7</v>
      </c>
    </row>
    <row r="362" customFormat="false" ht="15" hidden="false" customHeight="false" outlineLevel="0" collapsed="false">
      <c r="A362" s="0" t="s">
        <v>948</v>
      </c>
      <c r="B362" s="0" t="s">
        <v>74</v>
      </c>
      <c r="C362" s="0" t="s">
        <v>221</v>
      </c>
      <c r="D362" s="0" t="s">
        <v>577</v>
      </c>
      <c r="E362" s="0" t="s">
        <v>540</v>
      </c>
      <c r="F362" s="0" t="n">
        <v>384</v>
      </c>
      <c r="G362" s="0" t="n">
        <v>263.07</v>
      </c>
      <c r="H362" s="0" t="n">
        <v>177.26</v>
      </c>
      <c r="I362" s="0" t="n">
        <v>101018.88</v>
      </c>
      <c r="J362" s="0" t="n">
        <v>68067.84</v>
      </c>
      <c r="K362" s="0" t="n">
        <v>32951.04</v>
      </c>
    </row>
    <row r="363" customFormat="false" ht="15" hidden="false" customHeight="false" outlineLevel="0" collapsed="false">
      <c r="A363" s="0" t="s">
        <v>949</v>
      </c>
      <c r="B363" s="0" t="s">
        <v>74</v>
      </c>
      <c r="C363" s="0" t="s">
        <v>221</v>
      </c>
      <c r="D363" s="0" t="s">
        <v>579</v>
      </c>
      <c r="E363" s="0" t="s">
        <v>543</v>
      </c>
      <c r="F363" s="0" t="n">
        <v>275</v>
      </c>
      <c r="G363" s="0" t="n">
        <v>293.83</v>
      </c>
      <c r="H363" s="0" t="n">
        <v>199.59</v>
      </c>
      <c r="I363" s="0" t="n">
        <v>80803.25</v>
      </c>
      <c r="J363" s="0" t="n">
        <v>54887.25</v>
      </c>
      <c r="K363" s="0" t="n">
        <v>25916</v>
      </c>
    </row>
    <row r="364" customFormat="false" ht="15" hidden="false" customHeight="false" outlineLevel="0" collapsed="false">
      <c r="A364" s="0" t="s">
        <v>950</v>
      </c>
      <c r="B364" s="0" t="s">
        <v>74</v>
      </c>
      <c r="C364" s="0" t="s">
        <v>221</v>
      </c>
      <c r="D364" s="0" t="s">
        <v>581</v>
      </c>
      <c r="E364" s="0" t="s">
        <v>546</v>
      </c>
      <c r="F364" s="0" t="n">
        <v>97</v>
      </c>
      <c r="G364" s="0" t="n">
        <v>106.76</v>
      </c>
      <c r="H364" s="0" t="n">
        <v>71.9</v>
      </c>
      <c r="I364" s="0" t="n">
        <v>10355.72</v>
      </c>
      <c r="J364" s="0" t="n">
        <v>6974.3</v>
      </c>
      <c r="K364" s="0" t="n">
        <v>3381.42</v>
      </c>
    </row>
    <row r="365" customFormat="false" ht="15" hidden="false" customHeight="false" outlineLevel="0" collapsed="false">
      <c r="A365" s="0" t="s">
        <v>951</v>
      </c>
      <c r="B365" s="0" t="s">
        <v>74</v>
      </c>
      <c r="C365" s="0" t="s">
        <v>221</v>
      </c>
      <c r="D365" s="0" t="s">
        <v>583</v>
      </c>
      <c r="E365" s="0" t="s">
        <v>549</v>
      </c>
      <c r="F365" s="0" t="n">
        <v>252</v>
      </c>
      <c r="G365" s="0" t="n">
        <v>146.3</v>
      </c>
      <c r="H365" s="0" t="n">
        <v>80.9</v>
      </c>
      <c r="I365" s="0" t="n">
        <v>36867.6</v>
      </c>
      <c r="J365" s="0" t="n">
        <v>20386.8</v>
      </c>
      <c r="K365" s="0" t="n">
        <v>16480.8</v>
      </c>
    </row>
    <row r="366" customFormat="false" ht="15" hidden="false" customHeight="false" outlineLevel="0" collapsed="false">
      <c r="A366" s="0" t="s">
        <v>952</v>
      </c>
      <c r="B366" s="0" t="s">
        <v>74</v>
      </c>
      <c r="C366" s="0" t="s">
        <v>221</v>
      </c>
      <c r="D366" s="0" t="s">
        <v>585</v>
      </c>
      <c r="E366" s="0" t="s">
        <v>552</v>
      </c>
      <c r="F366" s="0" t="n">
        <v>117</v>
      </c>
      <c r="G366" s="0" t="n">
        <v>184.79</v>
      </c>
      <c r="H366" s="0" t="n">
        <v>113.76</v>
      </c>
      <c r="I366" s="0" t="n">
        <v>21620.43</v>
      </c>
      <c r="J366" s="0" t="n">
        <v>13309.92</v>
      </c>
      <c r="K366" s="0" t="n">
        <v>8310.51</v>
      </c>
    </row>
    <row r="367" customFormat="false" ht="15" hidden="false" customHeight="false" outlineLevel="0" collapsed="false">
      <c r="A367" s="0" t="s">
        <v>953</v>
      </c>
      <c r="B367" s="0" t="s">
        <v>74</v>
      </c>
      <c r="C367" s="0" t="s">
        <v>221</v>
      </c>
      <c r="D367" s="0" t="s">
        <v>587</v>
      </c>
      <c r="E367" s="0" t="s">
        <v>555</v>
      </c>
      <c r="F367" s="0" t="n">
        <v>443</v>
      </c>
      <c r="G367" s="0" t="n">
        <v>162.62</v>
      </c>
      <c r="H367" s="0" t="n">
        <v>96.86</v>
      </c>
      <c r="I367" s="0" t="n">
        <v>72040.66</v>
      </c>
      <c r="J367" s="0" t="n">
        <v>42908.98</v>
      </c>
      <c r="K367" s="0" t="n">
        <v>29131.68</v>
      </c>
    </row>
    <row r="368" customFormat="false" ht="15" hidden="false" customHeight="false" outlineLevel="0" collapsed="false">
      <c r="A368" s="0" t="s">
        <v>954</v>
      </c>
      <c r="B368" s="0" t="s">
        <v>74</v>
      </c>
      <c r="C368" s="0" t="s">
        <v>221</v>
      </c>
      <c r="D368" s="0" t="s">
        <v>589</v>
      </c>
      <c r="E368" s="0" t="s">
        <v>534</v>
      </c>
      <c r="F368" s="0" t="n">
        <v>156</v>
      </c>
      <c r="G368" s="0" t="n">
        <v>188.14</v>
      </c>
      <c r="H368" s="0" t="n">
        <v>127.31</v>
      </c>
      <c r="I368" s="0" t="n">
        <v>29349.84</v>
      </c>
      <c r="J368" s="0" t="n">
        <v>19860.36</v>
      </c>
      <c r="K368" s="0" t="n">
        <v>9489.48</v>
      </c>
    </row>
    <row r="369" customFormat="false" ht="15" hidden="false" customHeight="false" outlineLevel="0" collapsed="false">
      <c r="A369" s="0" t="s">
        <v>955</v>
      </c>
      <c r="B369" s="0" t="s">
        <v>74</v>
      </c>
      <c r="C369" s="0" t="s">
        <v>221</v>
      </c>
      <c r="D369" s="0" t="s">
        <v>591</v>
      </c>
      <c r="E369" s="0" t="s">
        <v>537</v>
      </c>
      <c r="F369" s="0" t="n">
        <v>337</v>
      </c>
      <c r="G369" s="0" t="n">
        <v>230.8</v>
      </c>
      <c r="H369" s="0" t="n">
        <v>154.16</v>
      </c>
      <c r="I369" s="0" t="n">
        <v>77779.6</v>
      </c>
      <c r="J369" s="0" t="n">
        <v>51951.92</v>
      </c>
      <c r="K369" s="0" t="n">
        <v>25827.68</v>
      </c>
    </row>
    <row r="370" customFormat="false" ht="15" hidden="false" customHeight="false" outlineLevel="0" collapsed="false">
      <c r="A370" s="0" t="s">
        <v>956</v>
      </c>
      <c r="B370" s="0" t="s">
        <v>74</v>
      </c>
      <c r="C370" s="0" t="s">
        <v>221</v>
      </c>
      <c r="D370" s="0" t="s">
        <v>593</v>
      </c>
      <c r="E370" s="0" t="s">
        <v>540</v>
      </c>
      <c r="F370" s="0" t="n">
        <v>360</v>
      </c>
      <c r="G370" s="0" t="n">
        <v>254.14</v>
      </c>
      <c r="H370" s="0" t="n">
        <v>173.47</v>
      </c>
      <c r="I370" s="0" t="n">
        <v>91490.4</v>
      </c>
      <c r="J370" s="0" t="n">
        <v>62449.2</v>
      </c>
      <c r="K370" s="0" t="n">
        <v>29041.2</v>
      </c>
    </row>
    <row r="371" customFormat="false" ht="15" hidden="false" customHeight="false" outlineLevel="0" collapsed="false">
      <c r="A371" s="0" t="s">
        <v>957</v>
      </c>
      <c r="B371" s="0" t="s">
        <v>74</v>
      </c>
      <c r="C371" s="0" t="s">
        <v>221</v>
      </c>
      <c r="D371" s="0" t="s">
        <v>595</v>
      </c>
      <c r="E371" s="0" t="s">
        <v>543</v>
      </c>
      <c r="F371" s="0" t="n">
        <v>428</v>
      </c>
      <c r="G371" s="0" t="n">
        <v>329.36</v>
      </c>
      <c r="H371" s="0" t="n">
        <v>210.8</v>
      </c>
      <c r="I371" s="0" t="n">
        <v>140966.08</v>
      </c>
      <c r="J371" s="0" t="n">
        <v>90222.4</v>
      </c>
      <c r="K371" s="0" t="n">
        <v>50743.68</v>
      </c>
    </row>
    <row r="372" customFormat="false" ht="15" hidden="false" customHeight="false" outlineLevel="0" collapsed="false">
      <c r="A372" s="0" t="s">
        <v>958</v>
      </c>
      <c r="B372" s="0" t="s">
        <v>74</v>
      </c>
      <c r="C372" s="0" t="s">
        <v>221</v>
      </c>
      <c r="D372" s="0" t="s">
        <v>597</v>
      </c>
      <c r="E372" s="0" t="s">
        <v>546</v>
      </c>
      <c r="F372" s="0" t="n">
        <v>361</v>
      </c>
      <c r="G372" s="0" t="n">
        <v>103.89</v>
      </c>
      <c r="H372" s="0" t="n">
        <v>70.29</v>
      </c>
      <c r="I372" s="0" t="n">
        <v>37504.29</v>
      </c>
      <c r="J372" s="0" t="n">
        <v>25374.69</v>
      </c>
      <c r="K372" s="0" t="n">
        <v>12129.6</v>
      </c>
    </row>
    <row r="373" customFormat="false" ht="15" hidden="false" customHeight="false" outlineLevel="0" collapsed="false">
      <c r="A373" s="0" t="s">
        <v>959</v>
      </c>
      <c r="B373" s="0" t="s">
        <v>74</v>
      </c>
      <c r="C373" s="0" t="s">
        <v>221</v>
      </c>
      <c r="D373" s="0" t="s">
        <v>599</v>
      </c>
      <c r="E373" s="0" t="s">
        <v>549</v>
      </c>
      <c r="F373" s="0" t="n">
        <v>164</v>
      </c>
      <c r="G373" s="0" t="n">
        <v>145.74</v>
      </c>
      <c r="H373" s="0" t="n">
        <v>85.16</v>
      </c>
      <c r="I373" s="0" t="n">
        <v>23901.36</v>
      </c>
      <c r="J373" s="0" t="n">
        <v>13966.24</v>
      </c>
      <c r="K373" s="0" t="n">
        <v>9935.12</v>
      </c>
    </row>
    <row r="374" customFormat="false" ht="15" hidden="false" customHeight="false" outlineLevel="0" collapsed="false">
      <c r="A374" s="0" t="s">
        <v>960</v>
      </c>
      <c r="B374" s="0" t="s">
        <v>74</v>
      </c>
      <c r="C374" s="0" t="s">
        <v>221</v>
      </c>
      <c r="D374" s="0" t="s">
        <v>601</v>
      </c>
      <c r="E374" s="0" t="s">
        <v>552</v>
      </c>
      <c r="F374" s="0" t="n">
        <v>335</v>
      </c>
      <c r="G374" s="0" t="n">
        <v>184.31</v>
      </c>
      <c r="H374" s="0" t="n">
        <v>120.14</v>
      </c>
      <c r="I374" s="0" t="n">
        <v>61743.85</v>
      </c>
      <c r="J374" s="0" t="n">
        <v>40246.9</v>
      </c>
      <c r="K374" s="0" t="n">
        <v>21496.95</v>
      </c>
    </row>
    <row r="375" customFormat="false" ht="15" hidden="false" customHeight="false" outlineLevel="0" collapsed="false">
      <c r="A375" s="0" t="s">
        <v>961</v>
      </c>
      <c r="B375" s="0" t="s">
        <v>74</v>
      </c>
      <c r="C375" s="0" t="s">
        <v>221</v>
      </c>
      <c r="D375" s="0" t="s">
        <v>603</v>
      </c>
      <c r="E375" s="0" t="s">
        <v>555</v>
      </c>
      <c r="F375" s="0" t="n">
        <v>228</v>
      </c>
      <c r="G375" s="0" t="n">
        <v>156.49</v>
      </c>
      <c r="H375" s="0" t="n">
        <v>96.43</v>
      </c>
      <c r="I375" s="0" t="n">
        <v>35679.72</v>
      </c>
      <c r="J375" s="0" t="n">
        <v>21986.04</v>
      </c>
      <c r="K375" s="0" t="n">
        <v>13693.68</v>
      </c>
    </row>
    <row r="376" customFormat="false" ht="15" hidden="false" customHeight="false" outlineLevel="0" collapsed="false">
      <c r="A376" s="0" t="s">
        <v>962</v>
      </c>
      <c r="B376" s="0" t="s">
        <v>74</v>
      </c>
      <c r="C376" s="0" t="s">
        <v>221</v>
      </c>
      <c r="D376" s="0" t="s">
        <v>605</v>
      </c>
      <c r="E376" s="0" t="s">
        <v>534</v>
      </c>
      <c r="F376" s="0" t="n">
        <v>312</v>
      </c>
      <c r="G376" s="0" t="n">
        <v>199.04</v>
      </c>
      <c r="H376" s="0" t="n">
        <v>130.46</v>
      </c>
      <c r="I376" s="0" t="n">
        <v>62100.48</v>
      </c>
      <c r="J376" s="0" t="n">
        <v>40703.52</v>
      </c>
      <c r="K376" s="0" t="n">
        <v>21396.96</v>
      </c>
    </row>
    <row r="377" customFormat="false" ht="15" hidden="false" customHeight="false" outlineLevel="0" collapsed="false">
      <c r="A377" s="0" t="s">
        <v>963</v>
      </c>
      <c r="B377" s="0" t="s">
        <v>74</v>
      </c>
      <c r="C377" s="0" t="s">
        <v>221</v>
      </c>
      <c r="D377" s="0" t="s">
        <v>607</v>
      </c>
      <c r="E377" s="0" t="s">
        <v>537</v>
      </c>
      <c r="F377" s="0" t="n">
        <v>270</v>
      </c>
      <c r="G377" s="0" t="n">
        <v>230.24</v>
      </c>
      <c r="H377" s="0" t="n">
        <v>162.6</v>
      </c>
      <c r="I377" s="0" t="n">
        <v>62164.8</v>
      </c>
      <c r="J377" s="0" t="n">
        <v>43902</v>
      </c>
      <c r="K377" s="0" t="n">
        <v>18262.8</v>
      </c>
    </row>
    <row r="378" customFormat="false" ht="15" hidden="false" customHeight="false" outlineLevel="0" collapsed="false">
      <c r="A378" s="0" t="s">
        <v>964</v>
      </c>
      <c r="B378" s="0" t="s">
        <v>74</v>
      </c>
      <c r="C378" s="0" t="s">
        <v>221</v>
      </c>
      <c r="D378" s="0" t="s">
        <v>609</v>
      </c>
      <c r="E378" s="0" t="s">
        <v>540</v>
      </c>
      <c r="F378" s="0" t="n">
        <v>363</v>
      </c>
      <c r="G378" s="0" t="n">
        <v>282.02</v>
      </c>
      <c r="H378" s="0" t="n">
        <v>177.39</v>
      </c>
      <c r="I378" s="0" t="n">
        <v>102373.26</v>
      </c>
      <c r="J378" s="0" t="n">
        <v>64392.57</v>
      </c>
      <c r="K378" s="0" t="n">
        <v>37980.69</v>
      </c>
    </row>
    <row r="379" customFormat="false" ht="15" hidden="false" customHeight="false" outlineLevel="0" collapsed="false">
      <c r="A379" s="0" t="s">
        <v>965</v>
      </c>
      <c r="B379" s="0" t="s">
        <v>74</v>
      </c>
      <c r="C379" s="0" t="s">
        <v>221</v>
      </c>
      <c r="D379" s="0" t="s">
        <v>611</v>
      </c>
      <c r="E379" s="0" t="s">
        <v>543</v>
      </c>
      <c r="F379" s="0" t="n">
        <v>116</v>
      </c>
      <c r="G379" s="0" t="n">
        <v>306.07</v>
      </c>
      <c r="H379" s="0" t="n">
        <v>198.52</v>
      </c>
      <c r="I379" s="0" t="n">
        <v>35504.12</v>
      </c>
      <c r="J379" s="0" t="n">
        <v>23028.32</v>
      </c>
      <c r="K379" s="0" t="n">
        <v>12475.8</v>
      </c>
    </row>
    <row r="380" customFormat="false" ht="15" hidden="false" customHeight="false" outlineLevel="0" collapsed="false">
      <c r="A380" s="0" t="s">
        <v>966</v>
      </c>
      <c r="B380" s="0" t="s">
        <v>74</v>
      </c>
      <c r="C380" s="0" t="s">
        <v>221</v>
      </c>
      <c r="D380" s="0" t="s">
        <v>628</v>
      </c>
      <c r="E380" s="0" t="s">
        <v>546</v>
      </c>
      <c r="F380" s="0" t="n">
        <v>147</v>
      </c>
      <c r="G380" s="0" t="n">
        <v>111.47</v>
      </c>
      <c r="H380" s="0" t="n">
        <v>70.95</v>
      </c>
      <c r="I380" s="0" t="n">
        <v>16386.09</v>
      </c>
      <c r="J380" s="0" t="n">
        <v>10429.65</v>
      </c>
      <c r="K380" s="0" t="n">
        <v>5956.44</v>
      </c>
    </row>
    <row r="381" customFormat="false" ht="15" hidden="false" customHeight="false" outlineLevel="0" collapsed="false">
      <c r="A381" s="0" t="s">
        <v>967</v>
      </c>
      <c r="B381" s="0" t="s">
        <v>74</v>
      </c>
      <c r="C381" s="0" t="s">
        <v>221</v>
      </c>
      <c r="D381" s="0" t="s">
        <v>630</v>
      </c>
      <c r="E381" s="0" t="s">
        <v>549</v>
      </c>
      <c r="F381" s="0" t="n">
        <v>131</v>
      </c>
      <c r="G381" s="0" t="n">
        <v>141.54</v>
      </c>
      <c r="H381" s="0" t="n">
        <v>85.03</v>
      </c>
      <c r="I381" s="0" t="n">
        <v>18541.74</v>
      </c>
      <c r="J381" s="0" t="n">
        <v>11138.93</v>
      </c>
      <c r="K381" s="0" t="n">
        <v>7402.81</v>
      </c>
    </row>
    <row r="382" customFormat="false" ht="15" hidden="false" customHeight="false" outlineLevel="0" collapsed="false">
      <c r="A382" s="0" t="s">
        <v>968</v>
      </c>
      <c r="B382" s="0" t="s">
        <v>74</v>
      </c>
      <c r="C382" s="0" t="s">
        <v>221</v>
      </c>
      <c r="D382" s="0" t="s">
        <v>632</v>
      </c>
      <c r="E382" s="0" t="s">
        <v>552</v>
      </c>
      <c r="F382" s="0" t="n">
        <v>390</v>
      </c>
      <c r="G382" s="0" t="n">
        <v>193.09</v>
      </c>
      <c r="H382" s="0" t="n">
        <v>108.2</v>
      </c>
      <c r="I382" s="0" t="n">
        <v>75305.1</v>
      </c>
      <c r="J382" s="0" t="n">
        <v>42198</v>
      </c>
      <c r="K382" s="0" t="n">
        <v>33107.1</v>
      </c>
    </row>
    <row r="383" customFormat="false" ht="15" hidden="false" customHeight="false" outlineLevel="0" collapsed="false">
      <c r="A383" s="0" t="s">
        <v>969</v>
      </c>
      <c r="B383" s="0" t="s">
        <v>74</v>
      </c>
      <c r="C383" s="0" t="s">
        <v>221</v>
      </c>
      <c r="D383" s="0" t="s">
        <v>634</v>
      </c>
      <c r="E383" s="0" t="s">
        <v>555</v>
      </c>
      <c r="F383" s="0" t="n">
        <v>255</v>
      </c>
      <c r="G383" s="0" t="n">
        <v>161.29</v>
      </c>
      <c r="H383" s="0" t="n">
        <v>93.61</v>
      </c>
      <c r="I383" s="0" t="n">
        <v>41128.95</v>
      </c>
      <c r="J383" s="0" t="n">
        <v>23870.55</v>
      </c>
      <c r="K383" s="0" t="n">
        <v>17258.4</v>
      </c>
    </row>
    <row r="384" customFormat="false" ht="15" hidden="false" customHeight="false" outlineLevel="0" collapsed="false">
      <c r="A384" s="0" t="s">
        <v>970</v>
      </c>
      <c r="B384" s="0" t="s">
        <v>74</v>
      </c>
      <c r="C384" s="0" t="s">
        <v>221</v>
      </c>
      <c r="D384" s="0" t="s">
        <v>636</v>
      </c>
      <c r="E384" s="0" t="s">
        <v>534</v>
      </c>
      <c r="F384" s="0" t="n">
        <v>374</v>
      </c>
      <c r="G384" s="0" t="n">
        <v>192.5</v>
      </c>
      <c r="H384" s="0" t="n">
        <v>139.86</v>
      </c>
      <c r="I384" s="0" t="n">
        <v>71995</v>
      </c>
      <c r="J384" s="0" t="n">
        <v>52307.64</v>
      </c>
      <c r="K384" s="0" t="n">
        <v>19687.36</v>
      </c>
    </row>
    <row r="385" customFormat="false" ht="15" hidden="false" customHeight="false" outlineLevel="0" collapsed="false">
      <c r="A385" s="0" t="s">
        <v>971</v>
      </c>
      <c r="B385" s="0" t="s">
        <v>74</v>
      </c>
      <c r="C385" s="0" t="s">
        <v>221</v>
      </c>
      <c r="D385" s="0" t="s">
        <v>638</v>
      </c>
      <c r="E385" s="0" t="s">
        <v>537</v>
      </c>
      <c r="F385" s="0" t="n">
        <v>368</v>
      </c>
      <c r="G385" s="0" t="n">
        <v>233.82</v>
      </c>
      <c r="H385" s="0" t="n">
        <v>153.8</v>
      </c>
      <c r="I385" s="0" t="n">
        <v>86045.76</v>
      </c>
      <c r="J385" s="0" t="n">
        <v>56598.4</v>
      </c>
      <c r="K385" s="0" t="n">
        <v>29447.36</v>
      </c>
    </row>
    <row r="386" customFormat="false" ht="15" hidden="false" customHeight="false" outlineLevel="0" collapsed="false">
      <c r="A386" s="0" t="s">
        <v>972</v>
      </c>
      <c r="B386" s="0" t="s">
        <v>74</v>
      </c>
      <c r="C386" s="0" t="s">
        <v>221</v>
      </c>
      <c r="D386" s="0" t="s">
        <v>640</v>
      </c>
      <c r="E386" s="0" t="s">
        <v>540</v>
      </c>
      <c r="F386" s="0" t="n">
        <v>204</v>
      </c>
      <c r="G386" s="0" t="n">
        <v>261.16</v>
      </c>
      <c r="H386" s="0" t="n">
        <v>167.19</v>
      </c>
      <c r="I386" s="0" t="n">
        <v>53276.64</v>
      </c>
      <c r="J386" s="0" t="n">
        <v>34106.76</v>
      </c>
      <c r="K386" s="0" t="n">
        <v>19169.88</v>
      </c>
    </row>
    <row r="387" customFormat="false" ht="15" hidden="false" customHeight="false" outlineLevel="0" collapsed="false">
      <c r="A387" s="0" t="s">
        <v>973</v>
      </c>
      <c r="B387" s="0" t="s">
        <v>74</v>
      </c>
      <c r="C387" s="0" t="s">
        <v>221</v>
      </c>
      <c r="D387" s="0" t="s">
        <v>642</v>
      </c>
      <c r="E387" s="0" t="s">
        <v>543</v>
      </c>
      <c r="F387" s="0" t="n">
        <v>390</v>
      </c>
      <c r="G387" s="0" t="n">
        <v>289.37</v>
      </c>
      <c r="H387" s="0" t="n">
        <v>214.73</v>
      </c>
      <c r="I387" s="0" t="n">
        <v>112854.3</v>
      </c>
      <c r="J387" s="0" t="n">
        <v>83744.7</v>
      </c>
      <c r="K387" s="0" t="n">
        <v>29109.6</v>
      </c>
    </row>
    <row r="388" customFormat="false" ht="15" hidden="false" customHeight="false" outlineLevel="0" collapsed="false">
      <c r="A388" s="0" t="s">
        <v>974</v>
      </c>
      <c r="B388" s="0" t="s">
        <v>74</v>
      </c>
      <c r="C388" s="0" t="s">
        <v>221</v>
      </c>
      <c r="D388" s="0" t="s">
        <v>644</v>
      </c>
      <c r="E388" s="0" t="s">
        <v>546</v>
      </c>
      <c r="F388" s="0" t="n">
        <v>159</v>
      </c>
      <c r="G388" s="0" t="n">
        <v>112.02</v>
      </c>
      <c r="H388" s="0" t="n">
        <v>68.66</v>
      </c>
      <c r="I388" s="0" t="n">
        <v>17811.18</v>
      </c>
      <c r="J388" s="0" t="n">
        <v>10916.94</v>
      </c>
      <c r="K388" s="0" t="n">
        <v>6894.24</v>
      </c>
    </row>
    <row r="389" customFormat="false" ht="15" hidden="false" customHeight="false" outlineLevel="0" collapsed="false">
      <c r="A389" s="0" t="s">
        <v>975</v>
      </c>
      <c r="B389" s="0" t="s">
        <v>74</v>
      </c>
      <c r="C389" s="0" t="s">
        <v>221</v>
      </c>
      <c r="D389" s="0" t="s">
        <v>646</v>
      </c>
      <c r="E389" s="0" t="s">
        <v>549</v>
      </c>
      <c r="F389" s="0" t="n">
        <v>174</v>
      </c>
      <c r="G389" s="0" t="n">
        <v>131.12</v>
      </c>
      <c r="H389" s="0" t="n">
        <v>87.25</v>
      </c>
      <c r="I389" s="0" t="n">
        <v>22814.88</v>
      </c>
      <c r="J389" s="0" t="n">
        <v>15181.5</v>
      </c>
      <c r="K389" s="0" t="n">
        <v>7633.38</v>
      </c>
    </row>
    <row r="390" customFormat="false" ht="15" hidden="false" customHeight="false" outlineLevel="0" collapsed="false">
      <c r="A390" s="0" t="s">
        <v>976</v>
      </c>
      <c r="B390" s="0" t="s">
        <v>74</v>
      </c>
      <c r="C390" s="0" t="s">
        <v>221</v>
      </c>
      <c r="D390" s="0" t="s">
        <v>648</v>
      </c>
      <c r="E390" s="0" t="s">
        <v>552</v>
      </c>
      <c r="F390" s="0" t="n">
        <v>152</v>
      </c>
      <c r="G390" s="0" t="n">
        <v>169.47</v>
      </c>
      <c r="H390" s="0" t="n">
        <v>118.14</v>
      </c>
      <c r="I390" s="0" t="n">
        <v>25759.44</v>
      </c>
      <c r="J390" s="0" t="n">
        <v>17957.28</v>
      </c>
      <c r="K390" s="0" t="n">
        <v>7802.16</v>
      </c>
    </row>
    <row r="391" customFormat="false" ht="15" hidden="false" customHeight="false" outlineLevel="0" collapsed="false">
      <c r="A391" s="0" t="s">
        <v>977</v>
      </c>
      <c r="B391" s="0" t="s">
        <v>74</v>
      </c>
      <c r="C391" s="0" t="s">
        <v>221</v>
      </c>
      <c r="D391" s="0" t="s">
        <v>650</v>
      </c>
      <c r="E391" s="0" t="s">
        <v>555</v>
      </c>
      <c r="F391" s="0" t="n">
        <v>206</v>
      </c>
      <c r="G391" s="0" t="n">
        <v>169.15</v>
      </c>
      <c r="H391" s="0" t="n">
        <v>92.34</v>
      </c>
      <c r="I391" s="0" t="n">
        <v>34844.9</v>
      </c>
      <c r="J391" s="0" t="n">
        <v>19022.04</v>
      </c>
      <c r="K391" s="0" t="n">
        <v>15822.86</v>
      </c>
    </row>
    <row r="392" customFormat="false" ht="15" hidden="false" customHeight="false" outlineLevel="0" collapsed="false">
      <c r="A392" s="0" t="s">
        <v>978</v>
      </c>
      <c r="B392" s="0" t="s">
        <v>74</v>
      </c>
      <c r="C392" s="0" t="s">
        <v>221</v>
      </c>
      <c r="D392" s="0" t="s">
        <v>533</v>
      </c>
      <c r="E392" s="0" t="s">
        <v>534</v>
      </c>
      <c r="F392" s="0" t="n">
        <v>220</v>
      </c>
      <c r="G392" s="0" t="n">
        <v>188.33</v>
      </c>
      <c r="H392" s="0" t="n">
        <v>138.47</v>
      </c>
      <c r="I392" s="0" t="n">
        <v>41432.6</v>
      </c>
      <c r="J392" s="0" t="n">
        <v>30463.4</v>
      </c>
      <c r="K392" s="0" t="n">
        <v>10969.2</v>
      </c>
    </row>
    <row r="393" customFormat="false" ht="15" hidden="false" customHeight="false" outlineLevel="0" collapsed="false">
      <c r="A393" s="0" t="s">
        <v>979</v>
      </c>
      <c r="B393" s="0" t="s">
        <v>74</v>
      </c>
      <c r="C393" s="0" t="s">
        <v>221</v>
      </c>
      <c r="D393" s="0" t="s">
        <v>536</v>
      </c>
      <c r="E393" s="0" t="s">
        <v>537</v>
      </c>
      <c r="F393" s="0" t="n">
        <v>354</v>
      </c>
      <c r="G393" s="0" t="n">
        <v>230.72</v>
      </c>
      <c r="H393" s="0" t="n">
        <v>150.95</v>
      </c>
      <c r="I393" s="0" t="n">
        <v>81674.88</v>
      </c>
      <c r="J393" s="0" t="n">
        <v>53436.3</v>
      </c>
      <c r="K393" s="0" t="n">
        <v>28238.58</v>
      </c>
    </row>
    <row r="394" customFormat="false" ht="15" hidden="false" customHeight="false" outlineLevel="0" collapsed="false">
      <c r="A394" s="0" t="s">
        <v>980</v>
      </c>
      <c r="B394" s="0" t="s">
        <v>74</v>
      </c>
      <c r="C394" s="0" t="s">
        <v>221</v>
      </c>
      <c r="D394" s="0" t="s">
        <v>539</v>
      </c>
      <c r="E394" s="0" t="s">
        <v>540</v>
      </c>
      <c r="F394" s="0" t="n">
        <v>314</v>
      </c>
      <c r="G394" s="0" t="n">
        <v>277.52</v>
      </c>
      <c r="H394" s="0" t="n">
        <v>174.69</v>
      </c>
      <c r="I394" s="0" t="n">
        <v>87141.28</v>
      </c>
      <c r="J394" s="0" t="n">
        <v>54852.66</v>
      </c>
      <c r="K394" s="0" t="n">
        <v>32288.62</v>
      </c>
    </row>
    <row r="395" customFormat="false" ht="15" hidden="false" customHeight="false" outlineLevel="0" collapsed="false">
      <c r="A395" s="0" t="s">
        <v>981</v>
      </c>
      <c r="B395" s="0" t="s">
        <v>74</v>
      </c>
      <c r="C395" s="0" t="s">
        <v>221</v>
      </c>
      <c r="D395" s="0" t="s">
        <v>542</v>
      </c>
      <c r="E395" s="0" t="s">
        <v>543</v>
      </c>
      <c r="F395" s="0" t="n">
        <v>140</v>
      </c>
      <c r="G395" s="0" t="n">
        <v>308.35</v>
      </c>
      <c r="H395" s="0" t="n">
        <v>199.29</v>
      </c>
      <c r="I395" s="0" t="n">
        <v>43169</v>
      </c>
      <c r="J395" s="0" t="n">
        <v>27900.6</v>
      </c>
      <c r="K395" s="0" t="n">
        <v>15268.4</v>
      </c>
    </row>
    <row r="396" customFormat="false" ht="15" hidden="false" customHeight="false" outlineLevel="0" collapsed="false">
      <c r="A396" s="0" t="s">
        <v>982</v>
      </c>
      <c r="B396" s="0" t="s">
        <v>74</v>
      </c>
      <c r="C396" s="0" t="s">
        <v>221</v>
      </c>
      <c r="D396" s="0" t="s">
        <v>545</v>
      </c>
      <c r="E396" s="0" t="s">
        <v>546</v>
      </c>
      <c r="F396" s="0" t="n">
        <v>399</v>
      </c>
      <c r="G396" s="0" t="n">
        <v>98.52</v>
      </c>
      <c r="H396" s="0" t="n">
        <v>70.62</v>
      </c>
      <c r="I396" s="0" t="n">
        <v>39309.48</v>
      </c>
      <c r="J396" s="0" t="n">
        <v>28177.38</v>
      </c>
      <c r="K396" s="0" t="n">
        <v>11132.1</v>
      </c>
    </row>
    <row r="397" customFormat="false" ht="15" hidden="false" customHeight="false" outlineLevel="0" collapsed="false">
      <c r="A397" s="0" t="s">
        <v>983</v>
      </c>
      <c r="B397" s="0" t="s">
        <v>74</v>
      </c>
      <c r="C397" s="0" t="s">
        <v>221</v>
      </c>
      <c r="D397" s="0" t="s">
        <v>548</v>
      </c>
      <c r="E397" s="0" t="s">
        <v>549</v>
      </c>
      <c r="F397" s="0" t="n">
        <v>422</v>
      </c>
      <c r="G397" s="0" t="n">
        <v>138.88</v>
      </c>
      <c r="H397" s="0" t="n">
        <v>83.23</v>
      </c>
      <c r="I397" s="0" t="n">
        <v>58607.36</v>
      </c>
      <c r="J397" s="0" t="n">
        <v>35123.06</v>
      </c>
      <c r="K397" s="0" t="n">
        <v>23484.3</v>
      </c>
    </row>
    <row r="398" customFormat="false" ht="15" hidden="false" customHeight="false" outlineLevel="0" collapsed="false">
      <c r="A398" s="0" t="s">
        <v>984</v>
      </c>
      <c r="B398" s="0" t="s">
        <v>75</v>
      </c>
      <c r="C398" s="0" t="s">
        <v>221</v>
      </c>
      <c r="D398" s="0" t="s">
        <v>634</v>
      </c>
      <c r="E398" s="0" t="s">
        <v>555</v>
      </c>
      <c r="F398" s="0" t="n">
        <v>100</v>
      </c>
      <c r="G398" s="0" t="n">
        <v>157.13</v>
      </c>
      <c r="H398" s="0" t="n">
        <v>97.68</v>
      </c>
      <c r="I398" s="0" t="n">
        <v>15713</v>
      </c>
      <c r="J398" s="0" t="n">
        <v>9768</v>
      </c>
      <c r="K398" s="0" t="n">
        <v>5945</v>
      </c>
    </row>
    <row r="399" customFormat="false" ht="15" hidden="false" customHeight="false" outlineLevel="0" collapsed="false">
      <c r="A399" s="0" t="s">
        <v>985</v>
      </c>
      <c r="B399" s="0" t="s">
        <v>75</v>
      </c>
      <c r="C399" s="0" t="s">
        <v>221</v>
      </c>
      <c r="D399" s="0" t="s">
        <v>636</v>
      </c>
      <c r="E399" s="0" t="s">
        <v>534</v>
      </c>
      <c r="F399" s="0" t="n">
        <v>290</v>
      </c>
      <c r="G399" s="0" t="n">
        <v>198.54</v>
      </c>
      <c r="H399" s="0" t="n">
        <v>128.43</v>
      </c>
      <c r="I399" s="0" t="n">
        <v>57576.6</v>
      </c>
      <c r="J399" s="0" t="n">
        <v>37244.7</v>
      </c>
      <c r="K399" s="0" t="n">
        <v>20331.9</v>
      </c>
    </row>
    <row r="400" customFormat="false" ht="15" hidden="false" customHeight="false" outlineLevel="0" collapsed="false">
      <c r="A400" s="0" t="s">
        <v>986</v>
      </c>
      <c r="B400" s="0" t="s">
        <v>75</v>
      </c>
      <c r="C400" s="0" t="s">
        <v>221</v>
      </c>
      <c r="D400" s="0" t="s">
        <v>638</v>
      </c>
      <c r="E400" s="0" t="s">
        <v>537</v>
      </c>
      <c r="F400" s="0" t="n">
        <v>449</v>
      </c>
      <c r="G400" s="0" t="n">
        <v>257.11</v>
      </c>
      <c r="H400" s="0" t="n">
        <v>151.14</v>
      </c>
      <c r="I400" s="0" t="n">
        <v>115442.39</v>
      </c>
      <c r="J400" s="0" t="n">
        <v>67861.86</v>
      </c>
      <c r="K400" s="0" t="n">
        <v>47580.53</v>
      </c>
    </row>
    <row r="401" customFormat="false" ht="15" hidden="false" customHeight="false" outlineLevel="0" collapsed="false">
      <c r="A401" s="0" t="s">
        <v>987</v>
      </c>
      <c r="B401" s="0" t="s">
        <v>75</v>
      </c>
      <c r="C401" s="0" t="s">
        <v>221</v>
      </c>
      <c r="D401" s="0" t="s">
        <v>640</v>
      </c>
      <c r="E401" s="0" t="s">
        <v>540</v>
      </c>
      <c r="F401" s="0" t="n">
        <v>126</v>
      </c>
      <c r="G401" s="0" t="n">
        <v>260.92</v>
      </c>
      <c r="H401" s="0" t="n">
        <v>167.2</v>
      </c>
      <c r="I401" s="0" t="n">
        <v>32875.92</v>
      </c>
      <c r="J401" s="0" t="n">
        <v>21067.2</v>
      </c>
      <c r="K401" s="0" t="n">
        <v>11808.72</v>
      </c>
    </row>
    <row r="402" customFormat="false" ht="15" hidden="false" customHeight="false" outlineLevel="0" collapsed="false">
      <c r="A402" s="0" t="s">
        <v>988</v>
      </c>
      <c r="B402" s="0" t="s">
        <v>75</v>
      </c>
      <c r="C402" s="0" t="s">
        <v>221</v>
      </c>
      <c r="D402" s="0" t="s">
        <v>642</v>
      </c>
      <c r="E402" s="0" t="s">
        <v>543</v>
      </c>
      <c r="F402" s="0" t="n">
        <v>149</v>
      </c>
      <c r="G402" s="0" t="n">
        <v>300.87</v>
      </c>
      <c r="H402" s="0" t="n">
        <v>209.27</v>
      </c>
      <c r="I402" s="0" t="n">
        <v>44829.63</v>
      </c>
      <c r="J402" s="0" t="n">
        <v>31181.23</v>
      </c>
      <c r="K402" s="0" t="n">
        <v>13648.4</v>
      </c>
    </row>
    <row r="403" customFormat="false" ht="15" hidden="false" customHeight="false" outlineLevel="0" collapsed="false">
      <c r="A403" s="0" t="s">
        <v>989</v>
      </c>
      <c r="B403" s="0" t="s">
        <v>75</v>
      </c>
      <c r="C403" s="0" t="s">
        <v>221</v>
      </c>
      <c r="D403" s="0" t="s">
        <v>644</v>
      </c>
      <c r="E403" s="0" t="s">
        <v>546</v>
      </c>
      <c r="F403" s="0" t="n">
        <v>365</v>
      </c>
      <c r="G403" s="0" t="n">
        <v>108.08</v>
      </c>
      <c r="H403" s="0" t="n">
        <v>67.38</v>
      </c>
      <c r="I403" s="0" t="n">
        <v>39449.2</v>
      </c>
      <c r="J403" s="0" t="n">
        <v>24593.7</v>
      </c>
      <c r="K403" s="0" t="n">
        <v>14855.5</v>
      </c>
    </row>
    <row r="404" customFormat="false" ht="15" hidden="false" customHeight="false" outlineLevel="0" collapsed="false">
      <c r="A404" s="0" t="s">
        <v>990</v>
      </c>
      <c r="B404" s="0" t="s">
        <v>75</v>
      </c>
      <c r="C404" s="0" t="s">
        <v>221</v>
      </c>
      <c r="D404" s="0" t="s">
        <v>646</v>
      </c>
      <c r="E404" s="0" t="s">
        <v>549</v>
      </c>
      <c r="F404" s="0" t="n">
        <v>390</v>
      </c>
      <c r="G404" s="0" t="n">
        <v>139.05</v>
      </c>
      <c r="H404" s="0" t="n">
        <v>83.18</v>
      </c>
      <c r="I404" s="0" t="n">
        <v>54229.5</v>
      </c>
      <c r="J404" s="0" t="n">
        <v>32440.2</v>
      </c>
      <c r="K404" s="0" t="n">
        <v>21789.3</v>
      </c>
    </row>
    <row r="405" customFormat="false" ht="15" hidden="false" customHeight="false" outlineLevel="0" collapsed="false">
      <c r="A405" s="0" t="s">
        <v>991</v>
      </c>
      <c r="B405" s="0" t="s">
        <v>75</v>
      </c>
      <c r="C405" s="0" t="s">
        <v>221</v>
      </c>
      <c r="D405" s="0" t="s">
        <v>648</v>
      </c>
      <c r="E405" s="0" t="s">
        <v>552</v>
      </c>
      <c r="F405" s="0" t="n">
        <v>394</v>
      </c>
      <c r="G405" s="0" t="n">
        <v>179.73</v>
      </c>
      <c r="H405" s="0" t="n">
        <v>118.18</v>
      </c>
      <c r="I405" s="0" t="n">
        <v>70813.62</v>
      </c>
      <c r="J405" s="0" t="n">
        <v>46562.92</v>
      </c>
      <c r="K405" s="0" t="n">
        <v>24250.7</v>
      </c>
    </row>
    <row r="406" customFormat="false" ht="15" hidden="false" customHeight="false" outlineLevel="0" collapsed="false">
      <c r="A406" s="0" t="s">
        <v>992</v>
      </c>
      <c r="B406" s="0" t="s">
        <v>75</v>
      </c>
      <c r="C406" s="0" t="s">
        <v>221</v>
      </c>
      <c r="D406" s="0" t="s">
        <v>650</v>
      </c>
      <c r="E406" s="0" t="s">
        <v>555</v>
      </c>
      <c r="F406" s="0" t="n">
        <v>143</v>
      </c>
      <c r="G406" s="0" t="n">
        <v>175.15</v>
      </c>
      <c r="H406" s="0" t="n">
        <v>99.66</v>
      </c>
      <c r="I406" s="0" t="n">
        <v>25046.45</v>
      </c>
      <c r="J406" s="0" t="n">
        <v>14251.38</v>
      </c>
      <c r="K406" s="0" t="n">
        <v>10795.07</v>
      </c>
    </row>
    <row r="407" customFormat="false" ht="15" hidden="false" customHeight="false" outlineLevel="0" collapsed="false">
      <c r="A407" s="0" t="s">
        <v>993</v>
      </c>
      <c r="B407" s="0" t="s">
        <v>75</v>
      </c>
      <c r="C407" s="0" t="s">
        <v>221</v>
      </c>
      <c r="D407" s="0" t="s">
        <v>533</v>
      </c>
      <c r="E407" s="0" t="s">
        <v>534</v>
      </c>
      <c r="F407" s="0" t="n">
        <v>367</v>
      </c>
      <c r="G407" s="0" t="n">
        <v>206.58</v>
      </c>
      <c r="H407" s="0" t="n">
        <v>130.13</v>
      </c>
      <c r="I407" s="0" t="n">
        <v>75814.86</v>
      </c>
      <c r="J407" s="0" t="n">
        <v>47757.71</v>
      </c>
      <c r="K407" s="0" t="n">
        <v>28057.15</v>
      </c>
    </row>
    <row r="408" customFormat="false" ht="15" hidden="false" customHeight="false" outlineLevel="0" collapsed="false">
      <c r="A408" s="0" t="s">
        <v>994</v>
      </c>
      <c r="B408" s="0" t="s">
        <v>75</v>
      </c>
      <c r="C408" s="0" t="s">
        <v>221</v>
      </c>
      <c r="D408" s="0" t="s">
        <v>536</v>
      </c>
      <c r="E408" s="0" t="s">
        <v>537</v>
      </c>
      <c r="F408" s="0" t="n">
        <v>316</v>
      </c>
      <c r="G408" s="0" t="n">
        <v>256.39</v>
      </c>
      <c r="H408" s="0" t="n">
        <v>157.51</v>
      </c>
      <c r="I408" s="0" t="n">
        <v>81019.24</v>
      </c>
      <c r="J408" s="0" t="n">
        <v>49773.16</v>
      </c>
      <c r="K408" s="0" t="n">
        <v>31246.08</v>
      </c>
    </row>
    <row r="409" customFormat="false" ht="15" hidden="false" customHeight="false" outlineLevel="0" collapsed="false">
      <c r="A409" s="0" t="s">
        <v>995</v>
      </c>
      <c r="B409" s="0" t="s">
        <v>75</v>
      </c>
      <c r="C409" s="0" t="s">
        <v>221</v>
      </c>
      <c r="D409" s="0" t="s">
        <v>539</v>
      </c>
      <c r="E409" s="0" t="s">
        <v>540</v>
      </c>
      <c r="F409" s="0" t="n">
        <v>317</v>
      </c>
      <c r="G409" s="0" t="n">
        <v>263.71</v>
      </c>
      <c r="H409" s="0" t="n">
        <v>179.13</v>
      </c>
      <c r="I409" s="0" t="n">
        <v>83596.07</v>
      </c>
      <c r="J409" s="0" t="n">
        <v>56784.21</v>
      </c>
      <c r="K409" s="0" t="n">
        <v>26811.86</v>
      </c>
    </row>
    <row r="410" customFormat="false" ht="15" hidden="false" customHeight="false" outlineLevel="0" collapsed="false">
      <c r="A410" s="0" t="s">
        <v>996</v>
      </c>
      <c r="B410" s="0" t="s">
        <v>75</v>
      </c>
      <c r="C410" s="0" t="s">
        <v>221</v>
      </c>
      <c r="D410" s="0" t="s">
        <v>542</v>
      </c>
      <c r="E410" s="0" t="s">
        <v>543</v>
      </c>
      <c r="F410" s="0" t="n">
        <v>245</v>
      </c>
      <c r="G410" s="0" t="n">
        <v>307.28</v>
      </c>
      <c r="H410" s="0" t="n">
        <v>210.04</v>
      </c>
      <c r="I410" s="0" t="n">
        <v>75283.6</v>
      </c>
      <c r="J410" s="0" t="n">
        <v>51459.8</v>
      </c>
      <c r="K410" s="0" t="n">
        <v>23823.8</v>
      </c>
    </row>
    <row r="411" customFormat="false" ht="15" hidden="false" customHeight="false" outlineLevel="0" collapsed="false">
      <c r="A411" s="0" t="s">
        <v>997</v>
      </c>
      <c r="B411" s="0" t="s">
        <v>75</v>
      </c>
      <c r="C411" s="0" t="s">
        <v>221</v>
      </c>
      <c r="D411" s="0" t="s">
        <v>545</v>
      </c>
      <c r="E411" s="0" t="s">
        <v>546</v>
      </c>
      <c r="F411" s="0" t="n">
        <v>276</v>
      </c>
      <c r="G411" s="0" t="n">
        <v>111.54</v>
      </c>
      <c r="H411" s="0" t="n">
        <v>69.84</v>
      </c>
      <c r="I411" s="0" t="n">
        <v>30785.04</v>
      </c>
      <c r="J411" s="0" t="n">
        <v>19275.84</v>
      </c>
      <c r="K411" s="0" t="n">
        <v>11509.2</v>
      </c>
    </row>
    <row r="412" customFormat="false" ht="15" hidden="false" customHeight="false" outlineLevel="0" collapsed="false">
      <c r="A412" s="0" t="s">
        <v>998</v>
      </c>
      <c r="B412" s="0" t="s">
        <v>75</v>
      </c>
      <c r="C412" s="0" t="s">
        <v>221</v>
      </c>
      <c r="D412" s="0" t="s">
        <v>548</v>
      </c>
      <c r="E412" s="0" t="s">
        <v>549</v>
      </c>
      <c r="F412" s="0" t="n">
        <v>327</v>
      </c>
      <c r="G412" s="0" t="n">
        <v>130.32</v>
      </c>
      <c r="H412" s="0" t="n">
        <v>86.9</v>
      </c>
      <c r="I412" s="0" t="n">
        <v>42614.64</v>
      </c>
      <c r="J412" s="0" t="n">
        <v>28416.3</v>
      </c>
      <c r="K412" s="0" t="n">
        <v>14198.34</v>
      </c>
    </row>
    <row r="413" customFormat="false" ht="15" hidden="false" customHeight="false" outlineLevel="0" collapsed="false">
      <c r="A413" s="0" t="s">
        <v>999</v>
      </c>
      <c r="B413" s="0" t="s">
        <v>75</v>
      </c>
      <c r="C413" s="0" t="s">
        <v>221</v>
      </c>
      <c r="D413" s="0" t="s">
        <v>551</v>
      </c>
      <c r="E413" s="0" t="s">
        <v>552</v>
      </c>
      <c r="F413" s="0" t="n">
        <v>132</v>
      </c>
      <c r="G413" s="0" t="n">
        <v>179.77</v>
      </c>
      <c r="H413" s="0" t="n">
        <v>117.53</v>
      </c>
      <c r="I413" s="0" t="n">
        <v>23729.64</v>
      </c>
      <c r="J413" s="0" t="n">
        <v>15513.96</v>
      </c>
      <c r="K413" s="0" t="n">
        <v>8215.68</v>
      </c>
    </row>
    <row r="414" customFormat="false" ht="15" hidden="false" customHeight="false" outlineLevel="0" collapsed="false">
      <c r="A414" s="0" t="s">
        <v>1000</v>
      </c>
      <c r="B414" s="0" t="s">
        <v>75</v>
      </c>
      <c r="C414" s="0" t="s">
        <v>221</v>
      </c>
      <c r="D414" s="0" t="s">
        <v>554</v>
      </c>
      <c r="E414" s="0" t="s">
        <v>555</v>
      </c>
      <c r="F414" s="0" t="n">
        <v>275</v>
      </c>
      <c r="G414" s="0" t="n">
        <v>174.22</v>
      </c>
      <c r="H414" s="0" t="n">
        <v>98.57</v>
      </c>
      <c r="I414" s="0" t="n">
        <v>47910.5</v>
      </c>
      <c r="J414" s="0" t="n">
        <v>27106.75</v>
      </c>
      <c r="K414" s="0" t="n">
        <v>20803.75</v>
      </c>
    </row>
    <row r="415" customFormat="false" ht="15" hidden="false" customHeight="false" outlineLevel="0" collapsed="false">
      <c r="A415" s="0" t="s">
        <v>1001</v>
      </c>
      <c r="B415" s="0" t="s">
        <v>75</v>
      </c>
      <c r="C415" s="0" t="s">
        <v>221</v>
      </c>
      <c r="D415" s="0" t="s">
        <v>557</v>
      </c>
      <c r="E415" s="0" t="s">
        <v>534</v>
      </c>
      <c r="F415" s="0" t="n">
        <v>385</v>
      </c>
      <c r="G415" s="0" t="n">
        <v>213.02</v>
      </c>
      <c r="H415" s="0" t="n">
        <v>135.62</v>
      </c>
      <c r="I415" s="0" t="n">
        <v>82012.7</v>
      </c>
      <c r="J415" s="0" t="n">
        <v>52213.7</v>
      </c>
      <c r="K415" s="0" t="n">
        <v>29799</v>
      </c>
    </row>
    <row r="416" customFormat="false" ht="15" hidden="false" customHeight="false" outlineLevel="0" collapsed="false">
      <c r="A416" s="0" t="s">
        <v>1002</v>
      </c>
      <c r="B416" s="0" t="s">
        <v>75</v>
      </c>
      <c r="C416" s="0" t="s">
        <v>221</v>
      </c>
      <c r="D416" s="0" t="s">
        <v>559</v>
      </c>
      <c r="E416" s="0" t="s">
        <v>537</v>
      </c>
      <c r="F416" s="0" t="n">
        <v>428</v>
      </c>
      <c r="G416" s="0" t="n">
        <v>231</v>
      </c>
      <c r="H416" s="0" t="n">
        <v>156.38</v>
      </c>
      <c r="I416" s="0" t="n">
        <v>98868</v>
      </c>
      <c r="J416" s="0" t="n">
        <v>66930.64</v>
      </c>
      <c r="K416" s="0" t="n">
        <v>31937.36</v>
      </c>
    </row>
    <row r="417" customFormat="false" ht="15" hidden="false" customHeight="false" outlineLevel="0" collapsed="false">
      <c r="A417" s="0" t="s">
        <v>1003</v>
      </c>
      <c r="B417" s="0" t="s">
        <v>75</v>
      </c>
      <c r="C417" s="0" t="s">
        <v>221</v>
      </c>
      <c r="D417" s="0" t="s">
        <v>561</v>
      </c>
      <c r="E417" s="0" t="s">
        <v>540</v>
      </c>
      <c r="F417" s="0" t="n">
        <v>425</v>
      </c>
      <c r="G417" s="0" t="n">
        <v>283.46</v>
      </c>
      <c r="H417" s="0" t="n">
        <v>172.84</v>
      </c>
      <c r="I417" s="0" t="n">
        <v>120470.5</v>
      </c>
      <c r="J417" s="0" t="n">
        <v>73457</v>
      </c>
      <c r="K417" s="0" t="n">
        <v>47013.5</v>
      </c>
    </row>
    <row r="418" customFormat="false" ht="15" hidden="false" customHeight="false" outlineLevel="0" collapsed="false">
      <c r="A418" s="0" t="s">
        <v>1004</v>
      </c>
      <c r="B418" s="0" t="s">
        <v>75</v>
      </c>
      <c r="C418" s="0" t="s">
        <v>221</v>
      </c>
      <c r="D418" s="0" t="s">
        <v>563</v>
      </c>
      <c r="E418" s="0" t="s">
        <v>543</v>
      </c>
      <c r="F418" s="0" t="n">
        <v>454</v>
      </c>
      <c r="G418" s="0" t="n">
        <v>291.42</v>
      </c>
      <c r="H418" s="0" t="n">
        <v>200.89</v>
      </c>
      <c r="I418" s="0" t="n">
        <v>132304.68</v>
      </c>
      <c r="J418" s="0" t="n">
        <v>91204.06</v>
      </c>
      <c r="K418" s="0" t="n">
        <v>41100.62</v>
      </c>
    </row>
    <row r="419" customFormat="false" ht="15" hidden="false" customHeight="false" outlineLevel="0" collapsed="false">
      <c r="A419" s="0" t="s">
        <v>1005</v>
      </c>
      <c r="B419" s="0" t="s">
        <v>75</v>
      </c>
      <c r="C419" s="0" t="s">
        <v>221</v>
      </c>
      <c r="D419" s="0" t="s">
        <v>565</v>
      </c>
      <c r="E419" s="0" t="s">
        <v>546</v>
      </c>
      <c r="F419" s="0" t="n">
        <v>244</v>
      </c>
      <c r="G419" s="0" t="n">
        <v>102.93</v>
      </c>
      <c r="H419" s="0" t="n">
        <v>68.97</v>
      </c>
      <c r="I419" s="0" t="n">
        <v>25114.92</v>
      </c>
      <c r="J419" s="0" t="n">
        <v>16828.68</v>
      </c>
      <c r="K419" s="0" t="n">
        <v>8286.24</v>
      </c>
    </row>
    <row r="420" customFormat="false" ht="15" hidden="false" customHeight="false" outlineLevel="0" collapsed="false">
      <c r="A420" s="0" t="s">
        <v>1006</v>
      </c>
      <c r="B420" s="0" t="s">
        <v>75</v>
      </c>
      <c r="C420" s="0" t="s">
        <v>221</v>
      </c>
      <c r="D420" s="0" t="s">
        <v>567</v>
      </c>
      <c r="E420" s="0" t="s">
        <v>549</v>
      </c>
      <c r="F420" s="0" t="n">
        <v>193</v>
      </c>
      <c r="G420" s="0" t="n">
        <v>131.97</v>
      </c>
      <c r="H420" s="0" t="n">
        <v>83.46</v>
      </c>
      <c r="I420" s="0" t="n">
        <v>25470.21</v>
      </c>
      <c r="J420" s="0" t="n">
        <v>16107.78</v>
      </c>
      <c r="K420" s="0" t="n">
        <v>9362.43</v>
      </c>
    </row>
    <row r="421" customFormat="false" ht="15" hidden="false" customHeight="false" outlineLevel="0" collapsed="false">
      <c r="A421" s="0" t="s">
        <v>1007</v>
      </c>
      <c r="B421" s="0" t="s">
        <v>75</v>
      </c>
      <c r="C421" s="0" t="s">
        <v>221</v>
      </c>
      <c r="D421" s="0" t="s">
        <v>569</v>
      </c>
      <c r="E421" s="0" t="s">
        <v>552</v>
      </c>
      <c r="F421" s="0" t="n">
        <v>140</v>
      </c>
      <c r="G421" s="0" t="n">
        <v>177.75</v>
      </c>
      <c r="H421" s="0" t="n">
        <v>115</v>
      </c>
      <c r="I421" s="0" t="n">
        <v>24885</v>
      </c>
      <c r="J421" s="0" t="n">
        <v>16100</v>
      </c>
      <c r="K421" s="0" t="n">
        <v>8785</v>
      </c>
    </row>
    <row r="422" customFormat="false" ht="15" hidden="false" customHeight="false" outlineLevel="0" collapsed="false">
      <c r="A422" s="0" t="s">
        <v>1008</v>
      </c>
      <c r="B422" s="0" t="s">
        <v>75</v>
      </c>
      <c r="C422" s="0" t="s">
        <v>221</v>
      </c>
      <c r="D422" s="0" t="s">
        <v>571</v>
      </c>
      <c r="E422" s="0" t="s">
        <v>555</v>
      </c>
      <c r="F422" s="0" t="n">
        <v>143</v>
      </c>
      <c r="G422" s="0" t="n">
        <v>173.1</v>
      </c>
      <c r="H422" s="0" t="n">
        <v>98.77</v>
      </c>
      <c r="I422" s="0" t="n">
        <v>24753.3</v>
      </c>
      <c r="J422" s="0" t="n">
        <v>14124.11</v>
      </c>
      <c r="K422" s="0" t="n">
        <v>10629.19</v>
      </c>
    </row>
    <row r="423" customFormat="false" ht="15" hidden="false" customHeight="false" outlineLevel="0" collapsed="false">
      <c r="A423" s="0" t="s">
        <v>1009</v>
      </c>
      <c r="B423" s="0" t="s">
        <v>75</v>
      </c>
      <c r="C423" s="0" t="s">
        <v>221</v>
      </c>
      <c r="D423" s="0" t="s">
        <v>573</v>
      </c>
      <c r="E423" s="0" t="s">
        <v>534</v>
      </c>
      <c r="F423" s="0" t="n">
        <v>304</v>
      </c>
      <c r="G423" s="0" t="n">
        <v>209.97</v>
      </c>
      <c r="H423" s="0" t="n">
        <v>142.16</v>
      </c>
      <c r="I423" s="0" t="n">
        <v>63830.88</v>
      </c>
      <c r="J423" s="0" t="n">
        <v>43216.64</v>
      </c>
      <c r="K423" s="0" t="n">
        <v>20614.24</v>
      </c>
    </row>
    <row r="424" customFormat="false" ht="15" hidden="false" customHeight="false" outlineLevel="0" collapsed="false">
      <c r="A424" s="0" t="s">
        <v>1010</v>
      </c>
      <c r="B424" s="0" t="s">
        <v>75</v>
      </c>
      <c r="C424" s="0" t="s">
        <v>221</v>
      </c>
      <c r="D424" s="0" t="s">
        <v>575</v>
      </c>
      <c r="E424" s="0" t="s">
        <v>537</v>
      </c>
      <c r="F424" s="0" t="n">
        <v>403</v>
      </c>
      <c r="G424" s="0" t="n">
        <v>247.29</v>
      </c>
      <c r="H424" s="0" t="n">
        <v>161.79</v>
      </c>
      <c r="I424" s="0" t="n">
        <v>99657.87</v>
      </c>
      <c r="J424" s="0" t="n">
        <v>65201.37</v>
      </c>
      <c r="K424" s="0" t="n">
        <v>34456.5</v>
      </c>
    </row>
    <row r="425" customFormat="false" ht="15" hidden="false" customHeight="false" outlineLevel="0" collapsed="false">
      <c r="A425" s="0" t="s">
        <v>1011</v>
      </c>
      <c r="B425" s="0" t="s">
        <v>75</v>
      </c>
      <c r="C425" s="0" t="s">
        <v>221</v>
      </c>
      <c r="D425" s="0" t="s">
        <v>577</v>
      </c>
      <c r="E425" s="0" t="s">
        <v>540</v>
      </c>
      <c r="F425" s="0" t="n">
        <v>98</v>
      </c>
      <c r="G425" s="0" t="n">
        <v>271.37</v>
      </c>
      <c r="H425" s="0" t="n">
        <v>177.66</v>
      </c>
      <c r="I425" s="0" t="n">
        <v>26594.26</v>
      </c>
      <c r="J425" s="0" t="n">
        <v>17410.68</v>
      </c>
      <c r="K425" s="0" t="n">
        <v>9183.58</v>
      </c>
    </row>
    <row r="426" customFormat="false" ht="15" hidden="false" customHeight="false" outlineLevel="0" collapsed="false">
      <c r="A426" s="0" t="s">
        <v>1012</v>
      </c>
      <c r="B426" s="0" t="s">
        <v>75</v>
      </c>
      <c r="C426" s="0" t="s">
        <v>221</v>
      </c>
      <c r="D426" s="0" t="s">
        <v>579</v>
      </c>
      <c r="E426" s="0" t="s">
        <v>543</v>
      </c>
      <c r="F426" s="0" t="n">
        <v>440</v>
      </c>
      <c r="G426" s="0" t="n">
        <v>300.55</v>
      </c>
      <c r="H426" s="0" t="n">
        <v>198.29</v>
      </c>
      <c r="I426" s="0" t="n">
        <v>132242</v>
      </c>
      <c r="J426" s="0" t="n">
        <v>87247.6</v>
      </c>
      <c r="K426" s="0" t="n">
        <v>44994.4</v>
      </c>
    </row>
    <row r="427" customFormat="false" ht="15" hidden="false" customHeight="false" outlineLevel="0" collapsed="false">
      <c r="A427" s="0" t="s">
        <v>1013</v>
      </c>
      <c r="B427" s="0" t="s">
        <v>75</v>
      </c>
      <c r="C427" s="0" t="s">
        <v>221</v>
      </c>
      <c r="D427" s="0" t="s">
        <v>581</v>
      </c>
      <c r="E427" s="0" t="s">
        <v>546</v>
      </c>
      <c r="F427" s="0" t="n">
        <v>444</v>
      </c>
      <c r="G427" s="0" t="n">
        <v>108.8</v>
      </c>
      <c r="H427" s="0" t="n">
        <v>71.73</v>
      </c>
      <c r="I427" s="0" t="n">
        <v>48307.2</v>
      </c>
      <c r="J427" s="0" t="n">
        <v>31848.12</v>
      </c>
      <c r="K427" s="0" t="n">
        <v>16459.08</v>
      </c>
    </row>
    <row r="428" customFormat="false" ht="15" hidden="false" customHeight="false" outlineLevel="0" collapsed="false">
      <c r="A428" s="0" t="s">
        <v>1014</v>
      </c>
      <c r="B428" s="0" t="s">
        <v>75</v>
      </c>
      <c r="C428" s="0" t="s">
        <v>221</v>
      </c>
      <c r="D428" s="0" t="s">
        <v>583</v>
      </c>
      <c r="E428" s="0" t="s">
        <v>549</v>
      </c>
      <c r="F428" s="0" t="n">
        <v>264</v>
      </c>
      <c r="G428" s="0" t="n">
        <v>129.17</v>
      </c>
      <c r="H428" s="0" t="n">
        <v>87.28</v>
      </c>
      <c r="I428" s="0" t="n">
        <v>34100.88</v>
      </c>
      <c r="J428" s="0" t="n">
        <v>23041.92</v>
      </c>
      <c r="K428" s="0" t="n">
        <v>11058.96</v>
      </c>
    </row>
    <row r="429" customFormat="false" ht="15" hidden="false" customHeight="false" outlineLevel="0" collapsed="false">
      <c r="A429" s="0" t="s">
        <v>1015</v>
      </c>
      <c r="B429" s="0" t="s">
        <v>75</v>
      </c>
      <c r="C429" s="0" t="s">
        <v>221</v>
      </c>
      <c r="D429" s="0" t="s">
        <v>585</v>
      </c>
      <c r="E429" s="0" t="s">
        <v>552</v>
      </c>
      <c r="F429" s="0" t="n">
        <v>374</v>
      </c>
      <c r="G429" s="0" t="n">
        <v>185.34</v>
      </c>
      <c r="H429" s="0" t="n">
        <v>108.46</v>
      </c>
      <c r="I429" s="0" t="n">
        <v>69317.16</v>
      </c>
      <c r="J429" s="0" t="n">
        <v>40564.04</v>
      </c>
      <c r="K429" s="0" t="n">
        <v>28753.12</v>
      </c>
    </row>
    <row r="430" customFormat="false" ht="15" hidden="false" customHeight="false" outlineLevel="0" collapsed="false">
      <c r="A430" s="0" t="s">
        <v>1016</v>
      </c>
      <c r="B430" s="0" t="s">
        <v>75</v>
      </c>
      <c r="C430" s="0" t="s">
        <v>221</v>
      </c>
      <c r="D430" s="0" t="s">
        <v>587</v>
      </c>
      <c r="E430" s="0" t="s">
        <v>555</v>
      </c>
      <c r="F430" s="0" t="n">
        <v>409</v>
      </c>
      <c r="G430" s="0" t="n">
        <v>177.86</v>
      </c>
      <c r="H430" s="0" t="n">
        <v>93.22</v>
      </c>
      <c r="I430" s="0" t="n">
        <v>72744.74</v>
      </c>
      <c r="J430" s="0" t="n">
        <v>38126.98</v>
      </c>
      <c r="K430" s="0" t="n">
        <v>34617.76</v>
      </c>
    </row>
    <row r="431" customFormat="false" ht="15" hidden="false" customHeight="false" outlineLevel="0" collapsed="false">
      <c r="A431" s="0" t="s">
        <v>1017</v>
      </c>
      <c r="B431" s="0" t="s">
        <v>75</v>
      </c>
      <c r="C431" s="0" t="s">
        <v>221</v>
      </c>
      <c r="D431" s="0" t="s">
        <v>589</v>
      </c>
      <c r="E431" s="0" t="s">
        <v>534</v>
      </c>
      <c r="F431" s="0" t="n">
        <v>356</v>
      </c>
      <c r="G431" s="0" t="n">
        <v>192.77</v>
      </c>
      <c r="H431" s="0" t="n">
        <v>133.37</v>
      </c>
      <c r="I431" s="0" t="n">
        <v>68626.12</v>
      </c>
      <c r="J431" s="0" t="n">
        <v>47479.72</v>
      </c>
      <c r="K431" s="0" t="n">
        <v>21146.4</v>
      </c>
    </row>
    <row r="432" customFormat="false" ht="15" hidden="false" customHeight="false" outlineLevel="0" collapsed="false">
      <c r="A432" s="0" t="s">
        <v>1018</v>
      </c>
      <c r="B432" s="0" t="s">
        <v>75</v>
      </c>
      <c r="C432" s="0" t="s">
        <v>221</v>
      </c>
      <c r="D432" s="0" t="s">
        <v>591</v>
      </c>
      <c r="E432" s="0" t="s">
        <v>537</v>
      </c>
      <c r="F432" s="0" t="n">
        <v>259</v>
      </c>
      <c r="G432" s="0" t="n">
        <v>232.17</v>
      </c>
      <c r="H432" s="0" t="n">
        <v>155.59</v>
      </c>
      <c r="I432" s="0" t="n">
        <v>60132.03</v>
      </c>
      <c r="J432" s="0" t="n">
        <v>40297.81</v>
      </c>
      <c r="K432" s="0" t="n">
        <v>19834.22</v>
      </c>
    </row>
    <row r="433" customFormat="false" ht="15" hidden="false" customHeight="false" outlineLevel="0" collapsed="false">
      <c r="A433" s="0" t="s">
        <v>1019</v>
      </c>
      <c r="B433" s="0" t="s">
        <v>75</v>
      </c>
      <c r="C433" s="0" t="s">
        <v>221</v>
      </c>
      <c r="D433" s="0" t="s">
        <v>593</v>
      </c>
      <c r="E433" s="0" t="s">
        <v>540</v>
      </c>
      <c r="F433" s="0" t="n">
        <v>251</v>
      </c>
      <c r="G433" s="0" t="n">
        <v>277.48</v>
      </c>
      <c r="H433" s="0" t="n">
        <v>175.81</v>
      </c>
      <c r="I433" s="0" t="n">
        <v>69647.48</v>
      </c>
      <c r="J433" s="0" t="n">
        <v>44128.31</v>
      </c>
      <c r="K433" s="0" t="n">
        <v>25519.17</v>
      </c>
    </row>
    <row r="434" customFormat="false" ht="15" hidden="false" customHeight="false" outlineLevel="0" collapsed="false">
      <c r="A434" s="0" t="s">
        <v>1020</v>
      </c>
      <c r="B434" s="0" t="s">
        <v>76</v>
      </c>
      <c r="C434" s="0" t="s">
        <v>221</v>
      </c>
      <c r="D434" s="0" t="s">
        <v>565</v>
      </c>
      <c r="E434" s="0" t="s">
        <v>546</v>
      </c>
      <c r="F434" s="0" t="n">
        <v>128</v>
      </c>
      <c r="G434" s="0" t="n">
        <v>110.53</v>
      </c>
      <c r="H434" s="0" t="n">
        <v>65.57</v>
      </c>
      <c r="I434" s="0" t="n">
        <v>14147.84</v>
      </c>
      <c r="J434" s="0" t="n">
        <v>8392.96</v>
      </c>
      <c r="K434" s="0" t="n">
        <v>5754.88</v>
      </c>
    </row>
    <row r="435" customFormat="false" ht="15" hidden="false" customHeight="false" outlineLevel="0" collapsed="false">
      <c r="A435" s="0" t="s">
        <v>1021</v>
      </c>
      <c r="B435" s="0" t="s">
        <v>76</v>
      </c>
      <c r="C435" s="0" t="s">
        <v>221</v>
      </c>
      <c r="D435" s="0" t="s">
        <v>567</v>
      </c>
      <c r="E435" s="0" t="s">
        <v>549</v>
      </c>
      <c r="F435" s="0" t="n">
        <v>401</v>
      </c>
      <c r="G435" s="0" t="n">
        <v>129.99</v>
      </c>
      <c r="H435" s="0" t="n">
        <v>79.52</v>
      </c>
      <c r="I435" s="0" t="n">
        <v>52125.99</v>
      </c>
      <c r="J435" s="0" t="n">
        <v>31887.52</v>
      </c>
      <c r="K435" s="0" t="n">
        <v>20238.47</v>
      </c>
    </row>
    <row r="436" customFormat="false" ht="15" hidden="false" customHeight="false" outlineLevel="0" collapsed="false">
      <c r="A436" s="0" t="s">
        <v>1022</v>
      </c>
      <c r="B436" s="0" t="s">
        <v>76</v>
      </c>
      <c r="C436" s="0" t="s">
        <v>221</v>
      </c>
      <c r="D436" s="0" t="s">
        <v>569</v>
      </c>
      <c r="E436" s="0" t="s">
        <v>552</v>
      </c>
      <c r="F436" s="0" t="n">
        <v>311</v>
      </c>
      <c r="G436" s="0" t="n">
        <v>185.45</v>
      </c>
      <c r="H436" s="0" t="n">
        <v>114.05</v>
      </c>
      <c r="I436" s="0" t="n">
        <v>57674.95</v>
      </c>
      <c r="J436" s="0" t="n">
        <v>35469.55</v>
      </c>
      <c r="K436" s="0" t="n">
        <v>22205.4</v>
      </c>
    </row>
    <row r="437" customFormat="false" ht="15" hidden="false" customHeight="false" outlineLevel="0" collapsed="false">
      <c r="A437" s="0" t="s">
        <v>1023</v>
      </c>
      <c r="B437" s="0" t="s">
        <v>76</v>
      </c>
      <c r="C437" s="0" t="s">
        <v>221</v>
      </c>
      <c r="D437" s="0" t="s">
        <v>571</v>
      </c>
      <c r="E437" s="0" t="s">
        <v>555</v>
      </c>
      <c r="F437" s="0" t="n">
        <v>311</v>
      </c>
      <c r="G437" s="0" t="n">
        <v>165.17</v>
      </c>
      <c r="H437" s="0" t="n">
        <v>94.64</v>
      </c>
      <c r="I437" s="0" t="n">
        <v>51367.87</v>
      </c>
      <c r="J437" s="0" t="n">
        <v>29433.04</v>
      </c>
      <c r="K437" s="0" t="n">
        <v>21934.83</v>
      </c>
    </row>
    <row r="438" customFormat="false" ht="15" hidden="false" customHeight="false" outlineLevel="0" collapsed="false">
      <c r="A438" s="0" t="s">
        <v>1024</v>
      </c>
      <c r="B438" s="0" t="s">
        <v>76</v>
      </c>
      <c r="C438" s="0" t="s">
        <v>221</v>
      </c>
      <c r="D438" s="0" t="s">
        <v>573</v>
      </c>
      <c r="E438" s="0" t="s">
        <v>534</v>
      </c>
      <c r="F438" s="0" t="n">
        <v>347</v>
      </c>
      <c r="G438" s="0" t="n">
        <v>190.01</v>
      </c>
      <c r="H438" s="0" t="n">
        <v>133.53</v>
      </c>
      <c r="I438" s="0" t="n">
        <v>65933.47</v>
      </c>
      <c r="J438" s="0" t="n">
        <v>46334.91</v>
      </c>
      <c r="K438" s="0" t="n">
        <v>19598.56</v>
      </c>
    </row>
    <row r="439" customFormat="false" ht="15" hidden="false" customHeight="false" outlineLevel="0" collapsed="false">
      <c r="A439" s="0" t="s">
        <v>1025</v>
      </c>
      <c r="B439" s="0" t="s">
        <v>76</v>
      </c>
      <c r="C439" s="0" t="s">
        <v>221</v>
      </c>
      <c r="D439" s="0" t="s">
        <v>575</v>
      </c>
      <c r="E439" s="0" t="s">
        <v>537</v>
      </c>
      <c r="F439" s="0" t="n">
        <v>230</v>
      </c>
      <c r="G439" s="0" t="n">
        <v>249.43</v>
      </c>
      <c r="H439" s="0" t="n">
        <v>160.86</v>
      </c>
      <c r="I439" s="0" t="n">
        <v>57368.9</v>
      </c>
      <c r="J439" s="0" t="n">
        <v>36997.8</v>
      </c>
      <c r="K439" s="0" t="n">
        <v>20371.1</v>
      </c>
    </row>
    <row r="440" customFormat="false" ht="15" hidden="false" customHeight="false" outlineLevel="0" collapsed="false">
      <c r="A440" s="0" t="s">
        <v>1026</v>
      </c>
      <c r="B440" s="0" t="s">
        <v>76</v>
      </c>
      <c r="C440" s="0" t="s">
        <v>221</v>
      </c>
      <c r="D440" s="0" t="s">
        <v>577</v>
      </c>
      <c r="E440" s="0" t="s">
        <v>540</v>
      </c>
      <c r="F440" s="0" t="n">
        <v>354</v>
      </c>
      <c r="G440" s="0" t="n">
        <v>273.48</v>
      </c>
      <c r="H440" s="0" t="n">
        <v>165.09</v>
      </c>
      <c r="I440" s="0" t="n">
        <v>96811.92</v>
      </c>
      <c r="J440" s="0" t="n">
        <v>58441.86</v>
      </c>
      <c r="K440" s="0" t="n">
        <v>38370.06</v>
      </c>
    </row>
    <row r="441" customFormat="false" ht="15" hidden="false" customHeight="false" outlineLevel="0" collapsed="false">
      <c r="A441" s="0" t="s">
        <v>1027</v>
      </c>
      <c r="B441" s="0" t="s">
        <v>76</v>
      </c>
      <c r="C441" s="0" t="s">
        <v>221</v>
      </c>
      <c r="D441" s="0" t="s">
        <v>579</v>
      </c>
      <c r="E441" s="0" t="s">
        <v>543</v>
      </c>
      <c r="F441" s="0" t="n">
        <v>287</v>
      </c>
      <c r="G441" s="0" t="n">
        <v>330.84</v>
      </c>
      <c r="H441" s="0" t="n">
        <v>195.25</v>
      </c>
      <c r="I441" s="0" t="n">
        <v>94951.08</v>
      </c>
      <c r="J441" s="0" t="n">
        <v>56036.75</v>
      </c>
      <c r="K441" s="0" t="n">
        <v>38914.33</v>
      </c>
    </row>
    <row r="442" customFormat="false" ht="15" hidden="false" customHeight="false" outlineLevel="0" collapsed="false">
      <c r="A442" s="0" t="s">
        <v>1028</v>
      </c>
      <c r="B442" s="0" t="s">
        <v>76</v>
      </c>
      <c r="C442" s="0" t="s">
        <v>221</v>
      </c>
      <c r="D442" s="0" t="s">
        <v>581</v>
      </c>
      <c r="E442" s="0" t="s">
        <v>546</v>
      </c>
      <c r="F442" s="0" t="n">
        <v>189</v>
      </c>
      <c r="G442" s="0" t="n">
        <v>102.21</v>
      </c>
      <c r="H442" s="0" t="n">
        <v>66.02</v>
      </c>
      <c r="I442" s="0" t="n">
        <v>19317.69</v>
      </c>
      <c r="J442" s="0" t="n">
        <v>12477.78</v>
      </c>
      <c r="K442" s="0" t="n">
        <v>6839.91</v>
      </c>
    </row>
    <row r="443" customFormat="false" ht="15" hidden="false" customHeight="false" outlineLevel="0" collapsed="false">
      <c r="A443" s="0" t="s">
        <v>1029</v>
      </c>
      <c r="B443" s="0" t="s">
        <v>76</v>
      </c>
      <c r="C443" s="0" t="s">
        <v>221</v>
      </c>
      <c r="D443" s="0" t="s">
        <v>583</v>
      </c>
      <c r="E443" s="0" t="s">
        <v>549</v>
      </c>
      <c r="F443" s="0" t="n">
        <v>155</v>
      </c>
      <c r="G443" s="0" t="n">
        <v>143.45</v>
      </c>
      <c r="H443" s="0" t="n">
        <v>81.57</v>
      </c>
      <c r="I443" s="0" t="n">
        <v>22234.75</v>
      </c>
      <c r="J443" s="0" t="n">
        <v>12643.35</v>
      </c>
      <c r="K443" s="0" t="n">
        <v>9591.4</v>
      </c>
    </row>
    <row r="444" customFormat="false" ht="15" hidden="false" customHeight="false" outlineLevel="0" collapsed="false">
      <c r="A444" s="0" t="s">
        <v>1030</v>
      </c>
      <c r="B444" s="0" t="s">
        <v>76</v>
      </c>
      <c r="C444" s="0" t="s">
        <v>221</v>
      </c>
      <c r="D444" s="0" t="s">
        <v>585</v>
      </c>
      <c r="E444" s="0" t="s">
        <v>552</v>
      </c>
      <c r="F444" s="0" t="n">
        <v>146</v>
      </c>
      <c r="G444" s="0" t="n">
        <v>169.29</v>
      </c>
      <c r="H444" s="0" t="n">
        <v>117.56</v>
      </c>
      <c r="I444" s="0" t="n">
        <v>24716.34</v>
      </c>
      <c r="J444" s="0" t="n">
        <v>17163.76</v>
      </c>
      <c r="K444" s="0" t="n">
        <v>7552.58</v>
      </c>
    </row>
    <row r="445" customFormat="false" ht="15" hidden="false" customHeight="false" outlineLevel="0" collapsed="false">
      <c r="A445" s="0" t="s">
        <v>1031</v>
      </c>
      <c r="B445" s="0" t="s">
        <v>76</v>
      </c>
      <c r="C445" s="0" t="s">
        <v>221</v>
      </c>
      <c r="D445" s="0" t="s">
        <v>587</v>
      </c>
      <c r="E445" s="0" t="s">
        <v>555</v>
      </c>
      <c r="F445" s="0" t="n">
        <v>174</v>
      </c>
      <c r="G445" s="0" t="n">
        <v>158.69</v>
      </c>
      <c r="H445" s="0" t="n">
        <v>98.3</v>
      </c>
      <c r="I445" s="0" t="n">
        <v>27612.06</v>
      </c>
      <c r="J445" s="0" t="n">
        <v>17104.2</v>
      </c>
      <c r="K445" s="0" t="n">
        <v>10507.86</v>
      </c>
    </row>
    <row r="446" customFormat="false" ht="15" hidden="false" customHeight="false" outlineLevel="0" collapsed="false">
      <c r="A446" s="0" t="s">
        <v>1032</v>
      </c>
      <c r="B446" s="0" t="s">
        <v>76</v>
      </c>
      <c r="C446" s="0" t="s">
        <v>221</v>
      </c>
      <c r="D446" s="0" t="s">
        <v>589</v>
      </c>
      <c r="E446" s="0" t="s">
        <v>534</v>
      </c>
      <c r="F446" s="0" t="n">
        <v>202</v>
      </c>
      <c r="G446" s="0" t="n">
        <v>200.56</v>
      </c>
      <c r="H446" s="0" t="n">
        <v>139.92</v>
      </c>
      <c r="I446" s="0" t="n">
        <v>40513.12</v>
      </c>
      <c r="J446" s="0" t="n">
        <v>28263.84</v>
      </c>
      <c r="K446" s="0" t="n">
        <v>12249.28</v>
      </c>
    </row>
    <row r="447" customFormat="false" ht="15" hidden="false" customHeight="false" outlineLevel="0" collapsed="false">
      <c r="A447" s="0" t="s">
        <v>1033</v>
      </c>
      <c r="B447" s="0" t="s">
        <v>76</v>
      </c>
      <c r="C447" s="0" t="s">
        <v>221</v>
      </c>
      <c r="D447" s="0" t="s">
        <v>591</v>
      </c>
      <c r="E447" s="0" t="s">
        <v>537</v>
      </c>
      <c r="F447" s="0" t="n">
        <v>266</v>
      </c>
      <c r="G447" s="0" t="n">
        <v>229.34</v>
      </c>
      <c r="H447" s="0" t="n">
        <v>165.89</v>
      </c>
      <c r="I447" s="0" t="n">
        <v>61004.44</v>
      </c>
      <c r="J447" s="0" t="n">
        <v>44126.74</v>
      </c>
      <c r="K447" s="0" t="n">
        <v>16877.7</v>
      </c>
    </row>
    <row r="448" customFormat="false" ht="15" hidden="false" customHeight="false" outlineLevel="0" collapsed="false">
      <c r="A448" s="0" t="s">
        <v>1034</v>
      </c>
      <c r="B448" s="0" t="s">
        <v>76</v>
      </c>
      <c r="C448" s="0" t="s">
        <v>221</v>
      </c>
      <c r="D448" s="0" t="s">
        <v>593</v>
      </c>
      <c r="E448" s="0" t="s">
        <v>540</v>
      </c>
      <c r="F448" s="0" t="n">
        <v>106</v>
      </c>
      <c r="G448" s="0" t="n">
        <v>265.08</v>
      </c>
      <c r="H448" s="0" t="n">
        <v>173.59</v>
      </c>
      <c r="I448" s="0" t="n">
        <v>28098.48</v>
      </c>
      <c r="J448" s="0" t="n">
        <v>18400.54</v>
      </c>
      <c r="K448" s="0" t="n">
        <v>9697.94</v>
      </c>
    </row>
    <row r="449" customFormat="false" ht="15" hidden="false" customHeight="false" outlineLevel="0" collapsed="false">
      <c r="A449" s="0" t="s">
        <v>1035</v>
      </c>
      <c r="B449" s="0" t="s">
        <v>76</v>
      </c>
      <c r="C449" s="0" t="s">
        <v>221</v>
      </c>
      <c r="D449" s="0" t="s">
        <v>595</v>
      </c>
      <c r="E449" s="0" t="s">
        <v>543</v>
      </c>
      <c r="F449" s="0" t="n">
        <v>124</v>
      </c>
      <c r="G449" s="0" t="n">
        <v>325.67</v>
      </c>
      <c r="H449" s="0" t="n">
        <v>207.88</v>
      </c>
      <c r="I449" s="0" t="n">
        <v>40383.08</v>
      </c>
      <c r="J449" s="0" t="n">
        <v>25777.12</v>
      </c>
      <c r="K449" s="0" t="n">
        <v>14605.96</v>
      </c>
    </row>
    <row r="450" customFormat="false" ht="15" hidden="false" customHeight="false" outlineLevel="0" collapsed="false">
      <c r="A450" s="0" t="s">
        <v>1036</v>
      </c>
      <c r="B450" s="0" t="s">
        <v>76</v>
      </c>
      <c r="C450" s="0" t="s">
        <v>221</v>
      </c>
      <c r="D450" s="0" t="s">
        <v>597</v>
      </c>
      <c r="E450" s="0" t="s">
        <v>546</v>
      </c>
      <c r="F450" s="0" t="n">
        <v>378</v>
      </c>
      <c r="G450" s="0" t="n">
        <v>103.68</v>
      </c>
      <c r="H450" s="0" t="n">
        <v>69.47</v>
      </c>
      <c r="I450" s="0" t="n">
        <v>39191.04</v>
      </c>
      <c r="J450" s="0" t="n">
        <v>26259.66</v>
      </c>
      <c r="K450" s="0" t="n">
        <v>12931.38</v>
      </c>
    </row>
    <row r="451" customFormat="false" ht="15" hidden="false" customHeight="false" outlineLevel="0" collapsed="false">
      <c r="A451" s="0" t="s">
        <v>1037</v>
      </c>
      <c r="B451" s="0" t="s">
        <v>76</v>
      </c>
      <c r="C451" s="0" t="s">
        <v>221</v>
      </c>
      <c r="D451" s="0" t="s">
        <v>599</v>
      </c>
      <c r="E451" s="0" t="s">
        <v>549</v>
      </c>
      <c r="F451" s="0" t="n">
        <v>233</v>
      </c>
      <c r="G451" s="0" t="n">
        <v>131.22</v>
      </c>
      <c r="H451" s="0" t="n">
        <v>78.93</v>
      </c>
      <c r="I451" s="0" t="n">
        <v>30574.26</v>
      </c>
      <c r="J451" s="0" t="n">
        <v>18390.69</v>
      </c>
      <c r="K451" s="0" t="n">
        <v>12183.57</v>
      </c>
    </row>
    <row r="452" customFormat="false" ht="15" hidden="false" customHeight="false" outlineLevel="0" collapsed="false">
      <c r="A452" s="0" t="s">
        <v>1038</v>
      </c>
      <c r="B452" s="0" t="s">
        <v>76</v>
      </c>
      <c r="C452" s="0" t="s">
        <v>221</v>
      </c>
      <c r="D452" s="0" t="s">
        <v>601</v>
      </c>
      <c r="E452" s="0" t="s">
        <v>552</v>
      </c>
      <c r="F452" s="0" t="n">
        <v>251</v>
      </c>
      <c r="G452" s="0" t="n">
        <v>173.35</v>
      </c>
      <c r="H452" s="0" t="n">
        <v>120.26</v>
      </c>
      <c r="I452" s="0" t="n">
        <v>43510.85</v>
      </c>
      <c r="J452" s="0" t="n">
        <v>30185.26</v>
      </c>
      <c r="K452" s="0" t="n">
        <v>13325.59</v>
      </c>
    </row>
    <row r="453" customFormat="false" ht="15" hidden="false" customHeight="false" outlineLevel="0" collapsed="false">
      <c r="A453" s="0" t="s">
        <v>1039</v>
      </c>
      <c r="B453" s="0" t="s">
        <v>76</v>
      </c>
      <c r="C453" s="0" t="s">
        <v>221</v>
      </c>
      <c r="D453" s="0" t="s">
        <v>603</v>
      </c>
      <c r="E453" s="0" t="s">
        <v>555</v>
      </c>
      <c r="F453" s="0" t="n">
        <v>320</v>
      </c>
      <c r="G453" s="0" t="n">
        <v>174.68</v>
      </c>
      <c r="H453" s="0" t="n">
        <v>102.76</v>
      </c>
      <c r="I453" s="0" t="n">
        <v>55897.6</v>
      </c>
      <c r="J453" s="0" t="n">
        <v>32883.2</v>
      </c>
      <c r="K453" s="0" t="n">
        <v>23014.4</v>
      </c>
    </row>
    <row r="454" customFormat="false" ht="15" hidden="false" customHeight="false" outlineLevel="0" collapsed="false">
      <c r="A454" s="0" t="s">
        <v>1040</v>
      </c>
      <c r="B454" s="0" t="s">
        <v>76</v>
      </c>
      <c r="C454" s="0" t="s">
        <v>221</v>
      </c>
      <c r="D454" s="0" t="s">
        <v>605</v>
      </c>
      <c r="E454" s="0" t="s">
        <v>534</v>
      </c>
      <c r="F454" s="0" t="n">
        <v>130</v>
      </c>
      <c r="G454" s="0" t="n">
        <v>198.82</v>
      </c>
      <c r="H454" s="0" t="n">
        <v>128.4</v>
      </c>
      <c r="I454" s="0" t="n">
        <v>25846.6</v>
      </c>
      <c r="J454" s="0" t="n">
        <v>16692</v>
      </c>
      <c r="K454" s="0" t="n">
        <v>9154.6</v>
      </c>
    </row>
    <row r="455" customFormat="false" ht="15" hidden="false" customHeight="false" outlineLevel="0" collapsed="false">
      <c r="A455" s="0" t="s">
        <v>1041</v>
      </c>
      <c r="B455" s="0" t="s">
        <v>76</v>
      </c>
      <c r="C455" s="0" t="s">
        <v>221</v>
      </c>
      <c r="D455" s="0" t="s">
        <v>607</v>
      </c>
      <c r="E455" s="0" t="s">
        <v>537</v>
      </c>
      <c r="F455" s="0" t="n">
        <v>308</v>
      </c>
      <c r="G455" s="0" t="n">
        <v>246.47</v>
      </c>
      <c r="H455" s="0" t="n">
        <v>159.57</v>
      </c>
      <c r="I455" s="0" t="n">
        <v>75912.76</v>
      </c>
      <c r="J455" s="0" t="n">
        <v>49147.56</v>
      </c>
      <c r="K455" s="0" t="n">
        <v>26765.2</v>
      </c>
    </row>
    <row r="456" customFormat="false" ht="15" hidden="false" customHeight="false" outlineLevel="0" collapsed="false">
      <c r="A456" s="0" t="s">
        <v>1042</v>
      </c>
      <c r="B456" s="0" t="s">
        <v>76</v>
      </c>
      <c r="C456" s="0" t="s">
        <v>221</v>
      </c>
      <c r="D456" s="0" t="s">
        <v>609</v>
      </c>
      <c r="E456" s="0" t="s">
        <v>540</v>
      </c>
      <c r="F456" s="0" t="n">
        <v>287</v>
      </c>
      <c r="G456" s="0" t="n">
        <v>280.89</v>
      </c>
      <c r="H456" s="0" t="n">
        <v>179.46</v>
      </c>
      <c r="I456" s="0" t="n">
        <v>80615.43</v>
      </c>
      <c r="J456" s="0" t="n">
        <v>51505.02</v>
      </c>
      <c r="K456" s="0" t="n">
        <v>29110.41</v>
      </c>
    </row>
    <row r="457" customFormat="false" ht="15" hidden="false" customHeight="false" outlineLevel="0" collapsed="false">
      <c r="A457" s="0" t="s">
        <v>1043</v>
      </c>
      <c r="B457" s="0" t="s">
        <v>76</v>
      </c>
      <c r="C457" s="0" t="s">
        <v>221</v>
      </c>
      <c r="D457" s="0" t="s">
        <v>611</v>
      </c>
      <c r="E457" s="0" t="s">
        <v>543</v>
      </c>
      <c r="F457" s="0" t="n">
        <v>198</v>
      </c>
      <c r="G457" s="0" t="n">
        <v>303.32</v>
      </c>
      <c r="H457" s="0" t="n">
        <v>198</v>
      </c>
      <c r="I457" s="0" t="n">
        <v>60057.36</v>
      </c>
      <c r="J457" s="0" t="n">
        <v>39204</v>
      </c>
      <c r="K457" s="0" t="n">
        <v>20853.36</v>
      </c>
    </row>
    <row r="458" customFormat="false" ht="15" hidden="false" customHeight="false" outlineLevel="0" collapsed="false">
      <c r="A458" s="0" t="s">
        <v>1044</v>
      </c>
      <c r="B458" s="0" t="s">
        <v>76</v>
      </c>
      <c r="C458" s="0" t="s">
        <v>221</v>
      </c>
      <c r="D458" s="0" t="s">
        <v>628</v>
      </c>
      <c r="E458" s="0" t="s">
        <v>546</v>
      </c>
      <c r="F458" s="0" t="n">
        <v>346</v>
      </c>
      <c r="G458" s="0" t="n">
        <v>106.96</v>
      </c>
      <c r="H458" s="0" t="n">
        <v>68.59</v>
      </c>
      <c r="I458" s="0" t="n">
        <v>37008.16</v>
      </c>
      <c r="J458" s="0" t="n">
        <v>23732.14</v>
      </c>
      <c r="K458" s="0" t="n">
        <v>13276.02</v>
      </c>
    </row>
    <row r="459" customFormat="false" ht="15" hidden="false" customHeight="false" outlineLevel="0" collapsed="false">
      <c r="A459" s="0" t="s">
        <v>1045</v>
      </c>
      <c r="B459" s="0" t="s">
        <v>76</v>
      </c>
      <c r="C459" s="0" t="s">
        <v>221</v>
      </c>
      <c r="D459" s="0" t="s">
        <v>630</v>
      </c>
      <c r="E459" s="0" t="s">
        <v>549</v>
      </c>
      <c r="F459" s="0" t="n">
        <v>184</v>
      </c>
      <c r="G459" s="0" t="n">
        <v>146.13</v>
      </c>
      <c r="H459" s="0" t="n">
        <v>82.16</v>
      </c>
      <c r="I459" s="0" t="n">
        <v>26887.92</v>
      </c>
      <c r="J459" s="0" t="n">
        <v>15117.44</v>
      </c>
      <c r="K459" s="0" t="n">
        <v>11770.48</v>
      </c>
    </row>
    <row r="460" customFormat="false" ht="15" hidden="false" customHeight="false" outlineLevel="0" collapsed="false">
      <c r="A460" s="0" t="s">
        <v>1046</v>
      </c>
      <c r="B460" s="0" t="s">
        <v>76</v>
      </c>
      <c r="C460" s="0" t="s">
        <v>221</v>
      </c>
      <c r="D460" s="0" t="s">
        <v>632</v>
      </c>
      <c r="E460" s="0" t="s">
        <v>552</v>
      </c>
      <c r="F460" s="0" t="n">
        <v>457</v>
      </c>
      <c r="G460" s="0" t="n">
        <v>192.77</v>
      </c>
      <c r="H460" s="0" t="n">
        <v>116.19</v>
      </c>
      <c r="I460" s="0" t="n">
        <v>88095.89</v>
      </c>
      <c r="J460" s="0" t="n">
        <v>53098.83</v>
      </c>
      <c r="K460" s="0" t="n">
        <v>34997.06</v>
      </c>
    </row>
    <row r="461" customFormat="false" ht="15" hidden="false" customHeight="false" outlineLevel="0" collapsed="false">
      <c r="A461" s="0" t="s">
        <v>1047</v>
      </c>
      <c r="B461" s="0" t="s">
        <v>76</v>
      </c>
      <c r="C461" s="0" t="s">
        <v>221</v>
      </c>
      <c r="D461" s="0" t="s">
        <v>634</v>
      </c>
      <c r="E461" s="0" t="s">
        <v>555</v>
      </c>
      <c r="F461" s="0" t="n">
        <v>160</v>
      </c>
      <c r="G461" s="0" t="n">
        <v>161.13</v>
      </c>
      <c r="H461" s="0" t="n">
        <v>93.85</v>
      </c>
      <c r="I461" s="0" t="n">
        <v>25780.8</v>
      </c>
      <c r="J461" s="0" t="n">
        <v>15016</v>
      </c>
      <c r="K461" s="0" t="n">
        <v>10764.8</v>
      </c>
    </row>
    <row r="462" customFormat="false" ht="15" hidden="false" customHeight="false" outlineLevel="0" collapsed="false">
      <c r="A462" s="0" t="s">
        <v>1048</v>
      </c>
      <c r="B462" s="0" t="s">
        <v>76</v>
      </c>
      <c r="C462" s="0" t="s">
        <v>221</v>
      </c>
      <c r="D462" s="0" t="s">
        <v>636</v>
      </c>
      <c r="E462" s="0" t="s">
        <v>534</v>
      </c>
      <c r="F462" s="0" t="n">
        <v>186</v>
      </c>
      <c r="G462" s="0" t="n">
        <v>191.64</v>
      </c>
      <c r="H462" s="0" t="n">
        <v>129.14</v>
      </c>
      <c r="I462" s="0" t="n">
        <v>35645.04</v>
      </c>
      <c r="J462" s="0" t="n">
        <v>24020.04</v>
      </c>
      <c r="K462" s="0" t="n">
        <v>11625</v>
      </c>
    </row>
    <row r="463" customFormat="false" ht="15" hidden="false" customHeight="false" outlineLevel="0" collapsed="false">
      <c r="A463" s="0" t="s">
        <v>1049</v>
      </c>
      <c r="B463" s="0" t="s">
        <v>76</v>
      </c>
      <c r="C463" s="0" t="s">
        <v>221</v>
      </c>
      <c r="D463" s="0" t="s">
        <v>638</v>
      </c>
      <c r="E463" s="0" t="s">
        <v>537</v>
      </c>
      <c r="F463" s="0" t="n">
        <v>420</v>
      </c>
      <c r="G463" s="0" t="n">
        <v>229.45</v>
      </c>
      <c r="H463" s="0" t="n">
        <v>167.57</v>
      </c>
      <c r="I463" s="0" t="n">
        <v>96369</v>
      </c>
      <c r="J463" s="0" t="n">
        <v>70379.4</v>
      </c>
      <c r="K463" s="0" t="n">
        <v>25989.6</v>
      </c>
    </row>
    <row r="464" customFormat="false" ht="15" hidden="false" customHeight="false" outlineLevel="0" collapsed="false">
      <c r="A464" s="0" t="s">
        <v>1050</v>
      </c>
      <c r="B464" s="0" t="s">
        <v>76</v>
      </c>
      <c r="C464" s="0" t="s">
        <v>221</v>
      </c>
      <c r="D464" s="0" t="s">
        <v>640</v>
      </c>
      <c r="E464" s="0" t="s">
        <v>540</v>
      </c>
      <c r="F464" s="0" t="n">
        <v>406</v>
      </c>
      <c r="G464" s="0" t="n">
        <v>267.19</v>
      </c>
      <c r="H464" s="0" t="n">
        <v>179.64</v>
      </c>
      <c r="I464" s="0" t="n">
        <v>108479.14</v>
      </c>
      <c r="J464" s="0" t="n">
        <v>72933.84</v>
      </c>
      <c r="K464" s="0" t="n">
        <v>35545.3</v>
      </c>
    </row>
    <row r="465" customFormat="false" ht="15" hidden="false" customHeight="false" outlineLevel="0" collapsed="false">
      <c r="A465" s="0" t="s">
        <v>1051</v>
      </c>
      <c r="B465" s="0" t="s">
        <v>76</v>
      </c>
      <c r="C465" s="0" t="s">
        <v>221</v>
      </c>
      <c r="D465" s="0" t="s">
        <v>642</v>
      </c>
      <c r="E465" s="0" t="s">
        <v>543</v>
      </c>
      <c r="F465" s="0" t="n">
        <v>381</v>
      </c>
      <c r="G465" s="0" t="n">
        <v>308.22</v>
      </c>
      <c r="H465" s="0" t="n">
        <v>216.32</v>
      </c>
      <c r="I465" s="0" t="n">
        <v>117431.82</v>
      </c>
      <c r="J465" s="0" t="n">
        <v>82417.92</v>
      </c>
      <c r="K465" s="0" t="n">
        <v>35013.9</v>
      </c>
    </row>
    <row r="466" customFormat="false" ht="15" hidden="false" customHeight="false" outlineLevel="0" collapsed="false">
      <c r="A466" s="0" t="s">
        <v>1052</v>
      </c>
      <c r="B466" s="0" t="s">
        <v>76</v>
      </c>
      <c r="C466" s="0" t="s">
        <v>221</v>
      </c>
      <c r="D466" s="0" t="s">
        <v>644</v>
      </c>
      <c r="E466" s="0" t="s">
        <v>546</v>
      </c>
      <c r="F466" s="0" t="n">
        <v>374</v>
      </c>
      <c r="G466" s="0" t="n">
        <v>107.09</v>
      </c>
      <c r="H466" s="0" t="n">
        <v>72.25</v>
      </c>
      <c r="I466" s="0" t="n">
        <v>40051.66</v>
      </c>
      <c r="J466" s="0" t="n">
        <v>27021.5</v>
      </c>
      <c r="K466" s="0" t="n">
        <v>13030.16</v>
      </c>
    </row>
    <row r="467" customFormat="false" ht="15" hidden="false" customHeight="false" outlineLevel="0" collapsed="false">
      <c r="A467" s="0" t="s">
        <v>1053</v>
      </c>
      <c r="B467" s="0" t="s">
        <v>76</v>
      </c>
      <c r="C467" s="0" t="s">
        <v>221</v>
      </c>
      <c r="D467" s="0" t="s">
        <v>646</v>
      </c>
      <c r="E467" s="0" t="s">
        <v>549</v>
      </c>
      <c r="F467" s="0" t="n">
        <v>250</v>
      </c>
      <c r="G467" s="0" t="n">
        <v>145.34</v>
      </c>
      <c r="H467" s="0" t="n">
        <v>84.89</v>
      </c>
      <c r="I467" s="0" t="n">
        <v>36335</v>
      </c>
      <c r="J467" s="0" t="n">
        <v>21222.5</v>
      </c>
      <c r="K467" s="0" t="n">
        <v>15112.5</v>
      </c>
    </row>
    <row r="468" customFormat="false" ht="15" hidden="false" customHeight="false" outlineLevel="0" collapsed="false">
      <c r="A468" s="0" t="s">
        <v>1054</v>
      </c>
      <c r="B468" s="0" t="s">
        <v>76</v>
      </c>
      <c r="C468" s="0" t="s">
        <v>221</v>
      </c>
      <c r="D468" s="0" t="s">
        <v>648</v>
      </c>
      <c r="E468" s="0" t="s">
        <v>552</v>
      </c>
      <c r="F468" s="0" t="n">
        <v>162</v>
      </c>
      <c r="G468" s="0" t="n">
        <v>179.96</v>
      </c>
      <c r="H468" s="0" t="n">
        <v>113.82</v>
      </c>
      <c r="I468" s="0" t="n">
        <v>29153.52</v>
      </c>
      <c r="J468" s="0" t="n">
        <v>18438.84</v>
      </c>
      <c r="K468" s="0" t="n">
        <v>10714.68</v>
      </c>
    </row>
    <row r="469" customFormat="false" ht="15" hidden="false" customHeight="false" outlineLevel="0" collapsed="false">
      <c r="A469" s="0" t="s">
        <v>1055</v>
      </c>
      <c r="B469" s="0" t="s">
        <v>76</v>
      </c>
      <c r="C469" s="0" t="s">
        <v>221</v>
      </c>
      <c r="D469" s="0" t="s">
        <v>650</v>
      </c>
      <c r="E469" s="0" t="s">
        <v>555</v>
      </c>
      <c r="F469" s="0" t="n">
        <v>408</v>
      </c>
      <c r="G469" s="0" t="n">
        <v>162.64</v>
      </c>
      <c r="H469" s="0" t="n">
        <v>95.32</v>
      </c>
      <c r="I469" s="0" t="n">
        <v>66357.12</v>
      </c>
      <c r="J469" s="0" t="n">
        <v>38890.56</v>
      </c>
      <c r="K469" s="0" t="n">
        <v>27466.56</v>
      </c>
    </row>
    <row r="470" customFormat="false" ht="15" hidden="false" customHeight="false" outlineLevel="0" collapsed="false">
      <c r="A470" s="0" t="s">
        <v>1056</v>
      </c>
      <c r="B470" s="0" t="s">
        <v>77</v>
      </c>
      <c r="C470" s="0" t="s">
        <v>221</v>
      </c>
      <c r="D470" s="0" t="s">
        <v>607</v>
      </c>
      <c r="E470" s="0" t="s">
        <v>537</v>
      </c>
      <c r="F470" s="0" t="n">
        <v>113</v>
      </c>
      <c r="G470" s="0" t="n">
        <v>238.62</v>
      </c>
      <c r="H470" s="0" t="n">
        <v>151.15</v>
      </c>
      <c r="I470" s="0" t="n">
        <v>26964.06</v>
      </c>
      <c r="J470" s="0" t="n">
        <v>17079.95</v>
      </c>
      <c r="K470" s="0" t="n">
        <v>9884.11</v>
      </c>
    </row>
    <row r="471" customFormat="false" ht="15" hidden="false" customHeight="false" outlineLevel="0" collapsed="false">
      <c r="A471" s="0" t="s">
        <v>1057</v>
      </c>
      <c r="B471" s="0" t="s">
        <v>77</v>
      </c>
      <c r="C471" s="0" t="s">
        <v>221</v>
      </c>
      <c r="D471" s="0" t="s">
        <v>609</v>
      </c>
      <c r="E471" s="0" t="s">
        <v>540</v>
      </c>
      <c r="F471" s="0" t="n">
        <v>321</v>
      </c>
      <c r="G471" s="0" t="n">
        <v>265.65</v>
      </c>
      <c r="H471" s="0" t="n">
        <v>165.33</v>
      </c>
      <c r="I471" s="0" t="n">
        <v>85273.65</v>
      </c>
      <c r="J471" s="0" t="n">
        <v>53070.93</v>
      </c>
      <c r="K471" s="0" t="n">
        <v>32202.72</v>
      </c>
    </row>
    <row r="472" customFormat="false" ht="15" hidden="false" customHeight="false" outlineLevel="0" collapsed="false">
      <c r="A472" s="0" t="s">
        <v>1058</v>
      </c>
      <c r="B472" s="0" t="s">
        <v>77</v>
      </c>
      <c r="C472" s="0" t="s">
        <v>221</v>
      </c>
      <c r="D472" s="0" t="s">
        <v>611</v>
      </c>
      <c r="E472" s="0" t="s">
        <v>543</v>
      </c>
      <c r="F472" s="0" t="n">
        <v>231</v>
      </c>
      <c r="G472" s="0" t="n">
        <v>292.49</v>
      </c>
      <c r="H472" s="0" t="n">
        <v>214.87</v>
      </c>
      <c r="I472" s="0" t="n">
        <v>67565.19</v>
      </c>
      <c r="J472" s="0" t="n">
        <v>49634.97</v>
      </c>
      <c r="K472" s="0" t="n">
        <v>17930.22</v>
      </c>
    </row>
    <row r="473" customFormat="false" ht="15" hidden="false" customHeight="false" outlineLevel="0" collapsed="false">
      <c r="A473" s="0" t="s">
        <v>1059</v>
      </c>
      <c r="B473" s="0" t="s">
        <v>77</v>
      </c>
      <c r="C473" s="0" t="s">
        <v>221</v>
      </c>
      <c r="D473" s="0" t="s">
        <v>628</v>
      </c>
      <c r="E473" s="0" t="s">
        <v>546</v>
      </c>
      <c r="F473" s="0" t="n">
        <v>131</v>
      </c>
      <c r="G473" s="0" t="n">
        <v>106.69</v>
      </c>
      <c r="H473" s="0" t="n">
        <v>68.4</v>
      </c>
      <c r="I473" s="0" t="n">
        <v>13976.39</v>
      </c>
      <c r="J473" s="0" t="n">
        <v>8960.4</v>
      </c>
      <c r="K473" s="0" t="n">
        <v>5015.99</v>
      </c>
    </row>
    <row r="474" customFormat="false" ht="15" hidden="false" customHeight="false" outlineLevel="0" collapsed="false">
      <c r="A474" s="0" t="s">
        <v>1060</v>
      </c>
      <c r="B474" s="0" t="s">
        <v>77</v>
      </c>
      <c r="C474" s="0" t="s">
        <v>221</v>
      </c>
      <c r="D474" s="0" t="s">
        <v>630</v>
      </c>
      <c r="E474" s="0" t="s">
        <v>549</v>
      </c>
      <c r="F474" s="0" t="n">
        <v>321</v>
      </c>
      <c r="G474" s="0" t="n">
        <v>139.99</v>
      </c>
      <c r="H474" s="0" t="n">
        <v>88.11</v>
      </c>
      <c r="I474" s="0" t="n">
        <v>44936.79</v>
      </c>
      <c r="J474" s="0" t="n">
        <v>28283.31</v>
      </c>
      <c r="K474" s="0" t="n">
        <v>16653.48</v>
      </c>
    </row>
    <row r="475" customFormat="false" ht="15" hidden="false" customHeight="false" outlineLevel="0" collapsed="false">
      <c r="A475" s="0" t="s">
        <v>1061</v>
      </c>
      <c r="B475" s="0" t="s">
        <v>77</v>
      </c>
      <c r="C475" s="0" t="s">
        <v>221</v>
      </c>
      <c r="D475" s="0" t="s">
        <v>632</v>
      </c>
      <c r="E475" s="0" t="s">
        <v>552</v>
      </c>
      <c r="F475" s="0" t="n">
        <v>106</v>
      </c>
      <c r="G475" s="0" t="n">
        <v>180.21</v>
      </c>
      <c r="H475" s="0" t="n">
        <v>118.4</v>
      </c>
      <c r="I475" s="0" t="n">
        <v>19102.26</v>
      </c>
      <c r="J475" s="0" t="n">
        <v>12550.4</v>
      </c>
      <c r="K475" s="0" t="n">
        <v>6551.86</v>
      </c>
    </row>
    <row r="476" customFormat="false" ht="15" hidden="false" customHeight="false" outlineLevel="0" collapsed="false">
      <c r="A476" s="0" t="s">
        <v>1062</v>
      </c>
      <c r="B476" s="0" t="s">
        <v>77</v>
      </c>
      <c r="C476" s="0" t="s">
        <v>221</v>
      </c>
      <c r="D476" s="0" t="s">
        <v>634</v>
      </c>
      <c r="E476" s="0" t="s">
        <v>555</v>
      </c>
      <c r="F476" s="0" t="n">
        <v>418</v>
      </c>
      <c r="G476" s="0" t="n">
        <v>160.03</v>
      </c>
      <c r="H476" s="0" t="n">
        <v>99.13</v>
      </c>
      <c r="I476" s="0" t="n">
        <v>66892.54</v>
      </c>
      <c r="J476" s="0" t="n">
        <v>41436.34</v>
      </c>
      <c r="K476" s="0" t="n">
        <v>25456.2</v>
      </c>
    </row>
    <row r="477" customFormat="false" ht="15" hidden="false" customHeight="false" outlineLevel="0" collapsed="false">
      <c r="A477" s="0" t="s">
        <v>1063</v>
      </c>
      <c r="B477" s="0" t="s">
        <v>77</v>
      </c>
      <c r="C477" s="0" t="s">
        <v>221</v>
      </c>
      <c r="D477" s="0" t="s">
        <v>636</v>
      </c>
      <c r="E477" s="0" t="s">
        <v>534</v>
      </c>
      <c r="F477" s="0" t="n">
        <v>341</v>
      </c>
      <c r="G477" s="0" t="n">
        <v>191.02</v>
      </c>
      <c r="H477" s="0" t="n">
        <v>127.7</v>
      </c>
      <c r="I477" s="0" t="n">
        <v>65137.82</v>
      </c>
      <c r="J477" s="0" t="n">
        <v>43545.7</v>
      </c>
      <c r="K477" s="0" t="n">
        <v>21592.12</v>
      </c>
    </row>
    <row r="478" customFormat="false" ht="15" hidden="false" customHeight="false" outlineLevel="0" collapsed="false">
      <c r="A478" s="0" t="s">
        <v>1064</v>
      </c>
      <c r="B478" s="0" t="s">
        <v>77</v>
      </c>
      <c r="C478" s="0" t="s">
        <v>221</v>
      </c>
      <c r="D478" s="0" t="s">
        <v>638</v>
      </c>
      <c r="E478" s="0" t="s">
        <v>537</v>
      </c>
      <c r="F478" s="0" t="n">
        <v>137</v>
      </c>
      <c r="G478" s="0" t="n">
        <v>253.83</v>
      </c>
      <c r="H478" s="0" t="n">
        <v>165.44</v>
      </c>
      <c r="I478" s="0" t="n">
        <v>34774.71</v>
      </c>
      <c r="J478" s="0" t="n">
        <v>22665.28</v>
      </c>
      <c r="K478" s="0" t="n">
        <v>12109.43</v>
      </c>
    </row>
    <row r="479" customFormat="false" ht="15" hidden="false" customHeight="false" outlineLevel="0" collapsed="false">
      <c r="A479" s="0" t="s">
        <v>1065</v>
      </c>
      <c r="B479" s="0" t="s">
        <v>77</v>
      </c>
      <c r="C479" s="0" t="s">
        <v>221</v>
      </c>
      <c r="D479" s="0" t="s">
        <v>640</v>
      </c>
      <c r="E479" s="0" t="s">
        <v>540</v>
      </c>
      <c r="F479" s="0" t="n">
        <v>450</v>
      </c>
      <c r="G479" s="0" t="n">
        <v>252.27</v>
      </c>
      <c r="H479" s="0" t="n">
        <v>177.42</v>
      </c>
      <c r="I479" s="0" t="n">
        <v>113521.5</v>
      </c>
      <c r="J479" s="0" t="n">
        <v>79839</v>
      </c>
      <c r="K479" s="0" t="n">
        <v>33682.5</v>
      </c>
    </row>
    <row r="480" customFormat="false" ht="15" hidden="false" customHeight="false" outlineLevel="0" collapsed="false">
      <c r="A480" s="0" t="s">
        <v>1066</v>
      </c>
      <c r="B480" s="0" t="s">
        <v>77</v>
      </c>
      <c r="C480" s="0" t="s">
        <v>221</v>
      </c>
      <c r="D480" s="0" t="s">
        <v>642</v>
      </c>
      <c r="E480" s="0" t="s">
        <v>543</v>
      </c>
      <c r="F480" s="0" t="n">
        <v>105</v>
      </c>
      <c r="G480" s="0" t="n">
        <v>299.72</v>
      </c>
      <c r="H480" s="0" t="n">
        <v>204.53</v>
      </c>
      <c r="I480" s="0" t="n">
        <v>31470.6</v>
      </c>
      <c r="J480" s="0" t="n">
        <v>21475.65</v>
      </c>
      <c r="K480" s="0" t="n">
        <v>9994.95</v>
      </c>
    </row>
    <row r="481" customFormat="false" ht="15" hidden="false" customHeight="false" outlineLevel="0" collapsed="false">
      <c r="A481" s="0" t="s">
        <v>1067</v>
      </c>
      <c r="B481" s="0" t="s">
        <v>77</v>
      </c>
      <c r="C481" s="0" t="s">
        <v>221</v>
      </c>
      <c r="D481" s="0" t="s">
        <v>644</v>
      </c>
      <c r="E481" s="0" t="s">
        <v>546</v>
      </c>
      <c r="F481" s="0" t="n">
        <v>309</v>
      </c>
      <c r="G481" s="0" t="n">
        <v>105.39</v>
      </c>
      <c r="H481" s="0" t="n">
        <v>69.22</v>
      </c>
      <c r="I481" s="0" t="n">
        <v>32565.51</v>
      </c>
      <c r="J481" s="0" t="n">
        <v>21388.98</v>
      </c>
      <c r="K481" s="0" t="n">
        <v>11176.53</v>
      </c>
    </row>
    <row r="482" customFormat="false" ht="15" hidden="false" customHeight="false" outlineLevel="0" collapsed="false">
      <c r="A482" s="0" t="s">
        <v>1068</v>
      </c>
      <c r="B482" s="0" t="s">
        <v>77</v>
      </c>
      <c r="C482" s="0" t="s">
        <v>221</v>
      </c>
      <c r="D482" s="0" t="s">
        <v>646</v>
      </c>
      <c r="E482" s="0" t="s">
        <v>549</v>
      </c>
      <c r="F482" s="0" t="n">
        <v>271</v>
      </c>
      <c r="G482" s="0" t="n">
        <v>136.08</v>
      </c>
      <c r="H482" s="0" t="n">
        <v>81.5</v>
      </c>
      <c r="I482" s="0" t="n">
        <v>36877.68</v>
      </c>
      <c r="J482" s="0" t="n">
        <v>22086.5</v>
      </c>
      <c r="K482" s="0" t="n">
        <v>14791.18</v>
      </c>
    </row>
    <row r="483" customFormat="false" ht="15" hidden="false" customHeight="false" outlineLevel="0" collapsed="false">
      <c r="A483" s="0" t="s">
        <v>1069</v>
      </c>
      <c r="B483" s="0" t="s">
        <v>77</v>
      </c>
      <c r="C483" s="0" t="s">
        <v>221</v>
      </c>
      <c r="D483" s="0" t="s">
        <v>648</v>
      </c>
      <c r="E483" s="0" t="s">
        <v>552</v>
      </c>
      <c r="F483" s="0" t="n">
        <v>294</v>
      </c>
      <c r="G483" s="0" t="n">
        <v>188.23</v>
      </c>
      <c r="H483" s="0" t="n">
        <v>116.64</v>
      </c>
      <c r="I483" s="0" t="n">
        <v>55339.62</v>
      </c>
      <c r="J483" s="0" t="n">
        <v>34292.16</v>
      </c>
      <c r="K483" s="0" t="n">
        <v>21047.46</v>
      </c>
    </row>
    <row r="484" customFormat="false" ht="15" hidden="false" customHeight="false" outlineLevel="0" collapsed="false">
      <c r="A484" s="0" t="s">
        <v>1070</v>
      </c>
      <c r="B484" s="0" t="s">
        <v>77</v>
      </c>
      <c r="C484" s="0" t="s">
        <v>221</v>
      </c>
      <c r="D484" s="0" t="s">
        <v>650</v>
      </c>
      <c r="E484" s="0" t="s">
        <v>555</v>
      </c>
      <c r="F484" s="0" t="n">
        <v>111</v>
      </c>
      <c r="G484" s="0" t="n">
        <v>173.7</v>
      </c>
      <c r="H484" s="0" t="n">
        <v>99.62</v>
      </c>
      <c r="I484" s="0" t="n">
        <v>19280.7</v>
      </c>
      <c r="J484" s="0" t="n">
        <v>11057.82</v>
      </c>
      <c r="K484" s="0" t="n">
        <v>8222.88</v>
      </c>
    </row>
    <row r="485" customFormat="false" ht="15" hidden="false" customHeight="false" outlineLevel="0" collapsed="false">
      <c r="A485" s="0" t="s">
        <v>1071</v>
      </c>
      <c r="B485" s="0" t="s">
        <v>77</v>
      </c>
      <c r="C485" s="0" t="s">
        <v>221</v>
      </c>
      <c r="D485" s="0" t="s">
        <v>533</v>
      </c>
      <c r="E485" s="0" t="s">
        <v>534</v>
      </c>
      <c r="F485" s="0" t="n">
        <v>118</v>
      </c>
      <c r="G485" s="0" t="n">
        <v>195.9</v>
      </c>
      <c r="H485" s="0" t="n">
        <v>135.56</v>
      </c>
      <c r="I485" s="0" t="n">
        <v>23116.2</v>
      </c>
      <c r="J485" s="0" t="n">
        <v>15996.08</v>
      </c>
      <c r="K485" s="0" t="n">
        <v>7120.12</v>
      </c>
    </row>
    <row r="486" customFormat="false" ht="15" hidden="false" customHeight="false" outlineLevel="0" collapsed="false">
      <c r="A486" s="0" t="s">
        <v>1072</v>
      </c>
      <c r="B486" s="0" t="s">
        <v>77</v>
      </c>
      <c r="C486" s="0" t="s">
        <v>221</v>
      </c>
      <c r="D486" s="0" t="s">
        <v>536</v>
      </c>
      <c r="E486" s="0" t="s">
        <v>537</v>
      </c>
      <c r="F486" s="0" t="n">
        <v>282</v>
      </c>
      <c r="G486" s="0" t="n">
        <v>236.37</v>
      </c>
      <c r="H486" s="0" t="n">
        <v>163.31</v>
      </c>
      <c r="I486" s="0" t="n">
        <v>66656.34</v>
      </c>
      <c r="J486" s="0" t="n">
        <v>46053.42</v>
      </c>
      <c r="K486" s="0" t="n">
        <v>20602.92</v>
      </c>
    </row>
    <row r="487" customFormat="false" ht="15" hidden="false" customHeight="false" outlineLevel="0" collapsed="false">
      <c r="A487" s="0" t="s">
        <v>1073</v>
      </c>
      <c r="B487" s="0" t="s">
        <v>77</v>
      </c>
      <c r="C487" s="0" t="s">
        <v>221</v>
      </c>
      <c r="D487" s="0" t="s">
        <v>539</v>
      </c>
      <c r="E487" s="0" t="s">
        <v>540</v>
      </c>
      <c r="F487" s="0" t="n">
        <v>421</v>
      </c>
      <c r="G487" s="0" t="n">
        <v>284.3</v>
      </c>
      <c r="H487" s="0" t="n">
        <v>176.53</v>
      </c>
      <c r="I487" s="0" t="n">
        <v>119690.3</v>
      </c>
      <c r="J487" s="0" t="n">
        <v>74319.13</v>
      </c>
      <c r="K487" s="0" t="n">
        <v>45371.17</v>
      </c>
    </row>
    <row r="488" customFormat="false" ht="15" hidden="false" customHeight="false" outlineLevel="0" collapsed="false">
      <c r="A488" s="0" t="s">
        <v>1074</v>
      </c>
      <c r="B488" s="0" t="s">
        <v>77</v>
      </c>
      <c r="C488" s="0" t="s">
        <v>221</v>
      </c>
      <c r="D488" s="0" t="s">
        <v>542</v>
      </c>
      <c r="E488" s="0" t="s">
        <v>543</v>
      </c>
      <c r="F488" s="0" t="n">
        <v>161</v>
      </c>
      <c r="G488" s="0" t="n">
        <v>303.33</v>
      </c>
      <c r="H488" s="0" t="n">
        <v>208.05</v>
      </c>
      <c r="I488" s="0" t="n">
        <v>48836.13</v>
      </c>
      <c r="J488" s="0" t="n">
        <v>33496.05</v>
      </c>
      <c r="K488" s="0" t="n">
        <v>15340.08</v>
      </c>
    </row>
    <row r="489" customFormat="false" ht="15" hidden="false" customHeight="false" outlineLevel="0" collapsed="false">
      <c r="A489" s="0" t="s">
        <v>1075</v>
      </c>
      <c r="B489" s="0" t="s">
        <v>77</v>
      </c>
      <c r="C489" s="0" t="s">
        <v>221</v>
      </c>
      <c r="D489" s="0" t="s">
        <v>545</v>
      </c>
      <c r="E489" s="0" t="s">
        <v>546</v>
      </c>
      <c r="F489" s="0" t="n">
        <v>157</v>
      </c>
      <c r="G489" s="0" t="n">
        <v>111.01</v>
      </c>
      <c r="H489" s="0" t="n">
        <v>66.81</v>
      </c>
      <c r="I489" s="0" t="n">
        <v>17428.57</v>
      </c>
      <c r="J489" s="0" t="n">
        <v>10489.17</v>
      </c>
      <c r="K489" s="0" t="n">
        <v>6939.4</v>
      </c>
    </row>
    <row r="490" customFormat="false" ht="15" hidden="false" customHeight="false" outlineLevel="0" collapsed="false">
      <c r="A490" s="0" t="s">
        <v>1076</v>
      </c>
      <c r="B490" s="0" t="s">
        <v>77</v>
      </c>
      <c r="C490" s="0" t="s">
        <v>221</v>
      </c>
      <c r="D490" s="0" t="s">
        <v>548</v>
      </c>
      <c r="E490" s="0" t="s">
        <v>549</v>
      </c>
      <c r="F490" s="0" t="n">
        <v>420</v>
      </c>
      <c r="G490" s="0" t="n">
        <v>142.22</v>
      </c>
      <c r="H490" s="0" t="n">
        <v>82.58</v>
      </c>
      <c r="I490" s="0" t="n">
        <v>59732.4</v>
      </c>
      <c r="J490" s="0" t="n">
        <v>34683.6</v>
      </c>
      <c r="K490" s="0" t="n">
        <v>25048.8</v>
      </c>
    </row>
    <row r="491" customFormat="false" ht="15" hidden="false" customHeight="false" outlineLevel="0" collapsed="false">
      <c r="A491" s="0" t="s">
        <v>1077</v>
      </c>
      <c r="B491" s="0" t="s">
        <v>77</v>
      </c>
      <c r="C491" s="0" t="s">
        <v>221</v>
      </c>
      <c r="D491" s="0" t="s">
        <v>551</v>
      </c>
      <c r="E491" s="0" t="s">
        <v>552</v>
      </c>
      <c r="F491" s="0" t="n">
        <v>389</v>
      </c>
      <c r="G491" s="0" t="n">
        <v>186.61</v>
      </c>
      <c r="H491" s="0" t="n">
        <v>108.66</v>
      </c>
      <c r="I491" s="0" t="n">
        <v>72591.29</v>
      </c>
      <c r="J491" s="0" t="n">
        <v>42268.74</v>
      </c>
      <c r="K491" s="0" t="n">
        <v>30322.55</v>
      </c>
    </row>
    <row r="492" customFormat="false" ht="15" hidden="false" customHeight="false" outlineLevel="0" collapsed="false">
      <c r="A492" s="0" t="s">
        <v>1078</v>
      </c>
      <c r="B492" s="0" t="s">
        <v>77</v>
      </c>
      <c r="C492" s="0" t="s">
        <v>221</v>
      </c>
      <c r="D492" s="0" t="s">
        <v>554</v>
      </c>
      <c r="E492" s="0" t="s">
        <v>555</v>
      </c>
      <c r="F492" s="0" t="n">
        <v>371</v>
      </c>
      <c r="G492" s="0" t="n">
        <v>164.32</v>
      </c>
      <c r="H492" s="0" t="n">
        <v>101.28</v>
      </c>
      <c r="I492" s="0" t="n">
        <v>60962.72</v>
      </c>
      <c r="J492" s="0" t="n">
        <v>37574.88</v>
      </c>
      <c r="K492" s="0" t="n">
        <v>23387.84</v>
      </c>
    </row>
    <row r="493" customFormat="false" ht="15" hidden="false" customHeight="false" outlineLevel="0" collapsed="false">
      <c r="A493" s="0" t="s">
        <v>1079</v>
      </c>
      <c r="B493" s="0" t="s">
        <v>77</v>
      </c>
      <c r="C493" s="0" t="s">
        <v>221</v>
      </c>
      <c r="D493" s="0" t="s">
        <v>557</v>
      </c>
      <c r="E493" s="0" t="s">
        <v>534</v>
      </c>
      <c r="F493" s="0" t="n">
        <v>150</v>
      </c>
      <c r="G493" s="0" t="n">
        <v>205.19</v>
      </c>
      <c r="H493" s="0" t="n">
        <v>139.85</v>
      </c>
      <c r="I493" s="0" t="n">
        <v>30778.5</v>
      </c>
      <c r="J493" s="0" t="n">
        <v>20977.5</v>
      </c>
      <c r="K493" s="0" t="n">
        <v>9801</v>
      </c>
    </row>
    <row r="494" customFormat="false" ht="15" hidden="false" customHeight="false" outlineLevel="0" collapsed="false">
      <c r="A494" s="0" t="s">
        <v>1080</v>
      </c>
      <c r="B494" s="0" t="s">
        <v>77</v>
      </c>
      <c r="C494" s="0" t="s">
        <v>221</v>
      </c>
      <c r="D494" s="0" t="s">
        <v>559</v>
      </c>
      <c r="E494" s="0" t="s">
        <v>537</v>
      </c>
      <c r="F494" s="0" t="n">
        <v>435</v>
      </c>
      <c r="G494" s="0" t="n">
        <v>257.2</v>
      </c>
      <c r="H494" s="0" t="n">
        <v>151.51</v>
      </c>
      <c r="I494" s="0" t="n">
        <v>111882</v>
      </c>
      <c r="J494" s="0" t="n">
        <v>65906.85</v>
      </c>
      <c r="K494" s="0" t="n">
        <v>45975.15</v>
      </c>
    </row>
    <row r="495" customFormat="false" ht="15" hidden="false" customHeight="false" outlineLevel="0" collapsed="false">
      <c r="A495" s="0" t="s">
        <v>1081</v>
      </c>
      <c r="B495" s="0" t="s">
        <v>77</v>
      </c>
      <c r="C495" s="0" t="s">
        <v>221</v>
      </c>
      <c r="D495" s="0" t="s">
        <v>561</v>
      </c>
      <c r="E495" s="0" t="s">
        <v>540</v>
      </c>
      <c r="F495" s="0" t="n">
        <v>428</v>
      </c>
      <c r="G495" s="0" t="n">
        <v>264.61</v>
      </c>
      <c r="H495" s="0" t="n">
        <v>171.58</v>
      </c>
      <c r="I495" s="0" t="n">
        <v>113253.08</v>
      </c>
      <c r="J495" s="0" t="n">
        <v>73436.24</v>
      </c>
      <c r="K495" s="0" t="n">
        <v>39816.84</v>
      </c>
    </row>
    <row r="496" customFormat="false" ht="15" hidden="false" customHeight="false" outlineLevel="0" collapsed="false">
      <c r="A496" s="0" t="s">
        <v>1082</v>
      </c>
      <c r="B496" s="0" t="s">
        <v>77</v>
      </c>
      <c r="C496" s="0" t="s">
        <v>221</v>
      </c>
      <c r="D496" s="0" t="s">
        <v>563</v>
      </c>
      <c r="E496" s="0" t="s">
        <v>543</v>
      </c>
      <c r="F496" s="0" t="n">
        <v>270</v>
      </c>
      <c r="G496" s="0" t="n">
        <v>302.3</v>
      </c>
      <c r="H496" s="0" t="n">
        <v>216.98</v>
      </c>
      <c r="I496" s="0" t="n">
        <v>81621</v>
      </c>
      <c r="J496" s="0" t="n">
        <v>58584.6</v>
      </c>
      <c r="K496" s="0" t="n">
        <v>23036.4</v>
      </c>
    </row>
    <row r="497" customFormat="false" ht="15" hidden="false" customHeight="false" outlineLevel="0" collapsed="false">
      <c r="A497" s="0" t="s">
        <v>1083</v>
      </c>
      <c r="B497" s="0" t="s">
        <v>77</v>
      </c>
      <c r="C497" s="0" t="s">
        <v>221</v>
      </c>
      <c r="D497" s="0" t="s">
        <v>565</v>
      </c>
      <c r="E497" s="0" t="s">
        <v>546</v>
      </c>
      <c r="F497" s="0" t="n">
        <v>259</v>
      </c>
      <c r="G497" s="0" t="n">
        <v>111.45</v>
      </c>
      <c r="H497" s="0" t="n">
        <v>68.23</v>
      </c>
      <c r="I497" s="0" t="n">
        <v>28865.55</v>
      </c>
      <c r="J497" s="0" t="n">
        <v>17671.57</v>
      </c>
      <c r="K497" s="0" t="n">
        <v>11193.98</v>
      </c>
    </row>
    <row r="498" customFormat="false" ht="15" hidden="false" customHeight="false" outlineLevel="0" collapsed="false">
      <c r="A498" s="0" t="s">
        <v>1084</v>
      </c>
      <c r="B498" s="0" t="s">
        <v>77</v>
      </c>
      <c r="C498" s="0" t="s">
        <v>221</v>
      </c>
      <c r="D498" s="0" t="s">
        <v>567</v>
      </c>
      <c r="E498" s="0" t="s">
        <v>549</v>
      </c>
      <c r="F498" s="0" t="n">
        <v>200</v>
      </c>
      <c r="G498" s="0" t="n">
        <v>147.9</v>
      </c>
      <c r="H498" s="0" t="n">
        <v>80.24</v>
      </c>
      <c r="I498" s="0" t="n">
        <v>29580</v>
      </c>
      <c r="J498" s="0" t="n">
        <v>16048</v>
      </c>
      <c r="K498" s="0" t="n">
        <v>13532</v>
      </c>
    </row>
    <row r="499" customFormat="false" ht="15" hidden="false" customHeight="false" outlineLevel="0" collapsed="false">
      <c r="A499" s="0" t="s">
        <v>1085</v>
      </c>
      <c r="B499" s="0" t="s">
        <v>77</v>
      </c>
      <c r="C499" s="0" t="s">
        <v>221</v>
      </c>
      <c r="D499" s="0" t="s">
        <v>569</v>
      </c>
      <c r="E499" s="0" t="s">
        <v>552</v>
      </c>
      <c r="F499" s="0" t="n">
        <v>236</v>
      </c>
      <c r="G499" s="0" t="n">
        <v>189.96</v>
      </c>
      <c r="H499" s="0" t="n">
        <v>108.88</v>
      </c>
      <c r="I499" s="0" t="n">
        <v>44830.56</v>
      </c>
      <c r="J499" s="0" t="n">
        <v>25695.68</v>
      </c>
      <c r="K499" s="0" t="n">
        <v>19134.88</v>
      </c>
    </row>
    <row r="500" customFormat="false" ht="15" hidden="false" customHeight="false" outlineLevel="0" collapsed="false">
      <c r="A500" s="0" t="s">
        <v>1086</v>
      </c>
      <c r="B500" s="0" t="s">
        <v>77</v>
      </c>
      <c r="C500" s="0" t="s">
        <v>221</v>
      </c>
      <c r="D500" s="0" t="s">
        <v>571</v>
      </c>
      <c r="E500" s="0" t="s">
        <v>555</v>
      </c>
      <c r="F500" s="0" t="n">
        <v>361</v>
      </c>
      <c r="G500" s="0" t="n">
        <v>174.75</v>
      </c>
      <c r="H500" s="0" t="n">
        <v>102.34</v>
      </c>
      <c r="I500" s="0" t="n">
        <v>63084.75</v>
      </c>
      <c r="J500" s="0" t="n">
        <v>36944.74</v>
      </c>
      <c r="K500" s="0" t="n">
        <v>26140.01</v>
      </c>
    </row>
    <row r="501" customFormat="false" ht="15" hidden="false" customHeight="false" outlineLevel="0" collapsed="false">
      <c r="A501" s="0" t="s">
        <v>1087</v>
      </c>
      <c r="B501" s="0" t="s">
        <v>77</v>
      </c>
      <c r="C501" s="0" t="s">
        <v>221</v>
      </c>
      <c r="D501" s="0" t="s">
        <v>573</v>
      </c>
      <c r="E501" s="0" t="s">
        <v>534</v>
      </c>
      <c r="F501" s="0" t="n">
        <v>104</v>
      </c>
      <c r="G501" s="0" t="n">
        <v>204.97</v>
      </c>
      <c r="H501" s="0" t="n">
        <v>140.6</v>
      </c>
      <c r="I501" s="0" t="n">
        <v>21316.88</v>
      </c>
      <c r="J501" s="0" t="n">
        <v>14622.4</v>
      </c>
      <c r="K501" s="0" t="n">
        <v>6694.48</v>
      </c>
    </row>
    <row r="502" customFormat="false" ht="15" hidden="false" customHeight="false" outlineLevel="0" collapsed="false">
      <c r="A502" s="0" t="s">
        <v>1088</v>
      </c>
      <c r="B502" s="0" t="s">
        <v>77</v>
      </c>
      <c r="C502" s="0" t="s">
        <v>221</v>
      </c>
      <c r="D502" s="0" t="s">
        <v>575</v>
      </c>
      <c r="E502" s="0" t="s">
        <v>537</v>
      </c>
      <c r="F502" s="0" t="n">
        <v>401</v>
      </c>
      <c r="G502" s="0" t="n">
        <v>231.29</v>
      </c>
      <c r="H502" s="0" t="n">
        <v>156.81</v>
      </c>
      <c r="I502" s="0" t="n">
        <v>92747.29</v>
      </c>
      <c r="J502" s="0" t="n">
        <v>62880.81</v>
      </c>
      <c r="K502" s="0" t="n">
        <v>29866.48</v>
      </c>
    </row>
    <row r="503" customFormat="false" ht="15" hidden="false" customHeight="false" outlineLevel="0" collapsed="false">
      <c r="A503" s="0" t="s">
        <v>1089</v>
      </c>
      <c r="B503" s="0" t="s">
        <v>77</v>
      </c>
      <c r="C503" s="0" t="s">
        <v>221</v>
      </c>
      <c r="D503" s="0" t="s">
        <v>577</v>
      </c>
      <c r="E503" s="0" t="s">
        <v>540</v>
      </c>
      <c r="F503" s="0" t="n">
        <v>168</v>
      </c>
      <c r="G503" s="0" t="n">
        <v>255.78</v>
      </c>
      <c r="H503" s="0" t="n">
        <v>178.38</v>
      </c>
      <c r="I503" s="0" t="n">
        <v>42971.04</v>
      </c>
      <c r="J503" s="0" t="n">
        <v>29967.84</v>
      </c>
      <c r="K503" s="0" t="n">
        <v>13003.2</v>
      </c>
    </row>
    <row r="504" customFormat="false" ht="15" hidden="false" customHeight="false" outlineLevel="0" collapsed="false">
      <c r="A504" s="0" t="s">
        <v>1090</v>
      </c>
      <c r="B504" s="0" t="s">
        <v>77</v>
      </c>
      <c r="C504" s="0" t="s">
        <v>221</v>
      </c>
      <c r="D504" s="0" t="s">
        <v>579</v>
      </c>
      <c r="E504" s="0" t="s">
        <v>543</v>
      </c>
      <c r="F504" s="0" t="n">
        <v>404</v>
      </c>
      <c r="G504" s="0" t="n">
        <v>323.43</v>
      </c>
      <c r="H504" s="0" t="n">
        <v>197.93</v>
      </c>
      <c r="I504" s="0" t="n">
        <v>130665.72</v>
      </c>
      <c r="J504" s="0" t="n">
        <v>79963.72</v>
      </c>
      <c r="K504" s="0" t="n">
        <v>50702</v>
      </c>
    </row>
    <row r="505" customFormat="false" ht="15" hidden="false" customHeight="false" outlineLevel="0" collapsed="false">
      <c r="A505" s="0" t="s">
        <v>1091</v>
      </c>
      <c r="B505" s="0" t="s">
        <v>77</v>
      </c>
      <c r="C505" s="0" t="s">
        <v>221</v>
      </c>
      <c r="D505" s="0" t="s">
        <v>581</v>
      </c>
      <c r="E505" s="0" t="s">
        <v>546</v>
      </c>
      <c r="F505" s="0" t="n">
        <v>309</v>
      </c>
      <c r="G505" s="0" t="n">
        <v>98.52</v>
      </c>
      <c r="H505" s="0" t="n">
        <v>67.25</v>
      </c>
      <c r="I505" s="0" t="n">
        <v>30442.68</v>
      </c>
      <c r="J505" s="0" t="n">
        <v>20780.25</v>
      </c>
      <c r="K505" s="0" t="n">
        <v>9662.43</v>
      </c>
    </row>
    <row r="506" customFormat="false" ht="15" hidden="false" customHeight="false" outlineLevel="0" collapsed="false">
      <c r="A506" s="0" t="s">
        <v>1092</v>
      </c>
      <c r="B506" s="0" t="s">
        <v>78</v>
      </c>
      <c r="C506" s="0" t="s">
        <v>221</v>
      </c>
      <c r="D506" s="0" t="s">
        <v>551</v>
      </c>
      <c r="E506" s="0" t="s">
        <v>552</v>
      </c>
      <c r="F506" s="0" t="n">
        <v>453</v>
      </c>
      <c r="G506" s="0" t="n">
        <v>174.97</v>
      </c>
      <c r="H506" s="0" t="n">
        <v>113.49</v>
      </c>
      <c r="I506" s="0" t="n">
        <v>79261.41</v>
      </c>
      <c r="J506" s="0" t="n">
        <v>51410.97</v>
      </c>
      <c r="K506" s="0" t="n">
        <v>27850.44</v>
      </c>
    </row>
    <row r="507" customFormat="false" ht="15" hidden="false" customHeight="false" outlineLevel="0" collapsed="false">
      <c r="A507" s="0" t="s">
        <v>1093</v>
      </c>
      <c r="B507" s="0" t="s">
        <v>78</v>
      </c>
      <c r="C507" s="0" t="s">
        <v>221</v>
      </c>
      <c r="D507" s="0" t="s">
        <v>554</v>
      </c>
      <c r="E507" s="0" t="s">
        <v>555</v>
      </c>
      <c r="F507" s="0" t="n">
        <v>230</v>
      </c>
      <c r="G507" s="0" t="n">
        <v>172.87</v>
      </c>
      <c r="H507" s="0" t="n">
        <v>101.19</v>
      </c>
      <c r="I507" s="0" t="n">
        <v>39760.1</v>
      </c>
      <c r="J507" s="0" t="n">
        <v>23273.7</v>
      </c>
      <c r="K507" s="0" t="n">
        <v>16486.4</v>
      </c>
    </row>
    <row r="508" customFormat="false" ht="15" hidden="false" customHeight="false" outlineLevel="0" collapsed="false">
      <c r="A508" s="0" t="s">
        <v>1094</v>
      </c>
      <c r="B508" s="0" t="s">
        <v>78</v>
      </c>
      <c r="C508" s="0" t="s">
        <v>221</v>
      </c>
      <c r="D508" s="0" t="s">
        <v>557</v>
      </c>
      <c r="E508" s="0" t="s">
        <v>534</v>
      </c>
      <c r="F508" s="0" t="n">
        <v>204</v>
      </c>
      <c r="G508" s="0" t="n">
        <v>201.48</v>
      </c>
      <c r="H508" s="0" t="n">
        <v>131.62</v>
      </c>
      <c r="I508" s="0" t="n">
        <v>41101.92</v>
      </c>
      <c r="J508" s="0" t="n">
        <v>26850.48</v>
      </c>
      <c r="K508" s="0" t="n">
        <v>14251.44</v>
      </c>
    </row>
    <row r="509" customFormat="false" ht="15" hidden="false" customHeight="false" outlineLevel="0" collapsed="false">
      <c r="A509" s="0" t="s">
        <v>1095</v>
      </c>
      <c r="B509" s="0" t="s">
        <v>78</v>
      </c>
      <c r="C509" s="0" t="s">
        <v>221</v>
      </c>
      <c r="D509" s="0" t="s">
        <v>559</v>
      </c>
      <c r="E509" s="0" t="s">
        <v>537</v>
      </c>
      <c r="F509" s="0" t="n">
        <v>325</v>
      </c>
      <c r="G509" s="0" t="n">
        <v>256.92</v>
      </c>
      <c r="H509" s="0" t="n">
        <v>153.39</v>
      </c>
      <c r="I509" s="0" t="n">
        <v>83499</v>
      </c>
      <c r="J509" s="0" t="n">
        <v>49851.75</v>
      </c>
      <c r="K509" s="0" t="n">
        <v>33647.25</v>
      </c>
    </row>
    <row r="510" customFormat="false" ht="15" hidden="false" customHeight="false" outlineLevel="0" collapsed="false">
      <c r="A510" s="0" t="s">
        <v>1096</v>
      </c>
      <c r="B510" s="0" t="s">
        <v>78</v>
      </c>
      <c r="C510" s="0" t="s">
        <v>221</v>
      </c>
      <c r="D510" s="0" t="s">
        <v>561</v>
      </c>
      <c r="E510" s="0" t="s">
        <v>540</v>
      </c>
      <c r="F510" s="0" t="n">
        <v>432</v>
      </c>
      <c r="G510" s="0" t="n">
        <v>283.68</v>
      </c>
      <c r="H510" s="0" t="n">
        <v>184.36</v>
      </c>
      <c r="I510" s="0" t="n">
        <v>122549.76</v>
      </c>
      <c r="J510" s="0" t="n">
        <v>79643.52</v>
      </c>
      <c r="K510" s="0" t="n">
        <v>42906.24</v>
      </c>
    </row>
    <row r="511" customFormat="false" ht="15" hidden="false" customHeight="false" outlineLevel="0" collapsed="false">
      <c r="A511" s="0" t="s">
        <v>1097</v>
      </c>
      <c r="B511" s="0" t="s">
        <v>78</v>
      </c>
      <c r="C511" s="0" t="s">
        <v>221</v>
      </c>
      <c r="D511" s="0" t="s">
        <v>563</v>
      </c>
      <c r="E511" s="0" t="s">
        <v>543</v>
      </c>
      <c r="F511" s="0" t="n">
        <v>321</v>
      </c>
      <c r="G511" s="0" t="n">
        <v>321.76</v>
      </c>
      <c r="H511" s="0" t="n">
        <v>212.78</v>
      </c>
      <c r="I511" s="0" t="n">
        <v>103284.96</v>
      </c>
      <c r="J511" s="0" t="n">
        <v>68302.38</v>
      </c>
      <c r="K511" s="0" t="n">
        <v>34982.58</v>
      </c>
    </row>
    <row r="512" customFormat="false" ht="15" hidden="false" customHeight="false" outlineLevel="0" collapsed="false">
      <c r="A512" s="0" t="s">
        <v>1098</v>
      </c>
      <c r="B512" s="0" t="s">
        <v>78</v>
      </c>
      <c r="C512" s="0" t="s">
        <v>221</v>
      </c>
      <c r="D512" s="0" t="s">
        <v>565</v>
      </c>
      <c r="E512" s="0" t="s">
        <v>546</v>
      </c>
      <c r="F512" s="0" t="n">
        <v>342</v>
      </c>
      <c r="G512" s="0" t="n">
        <v>105.44</v>
      </c>
      <c r="H512" s="0" t="n">
        <v>72.09</v>
      </c>
      <c r="I512" s="0" t="n">
        <v>36060.48</v>
      </c>
      <c r="J512" s="0" t="n">
        <v>24654.78</v>
      </c>
      <c r="K512" s="0" t="n">
        <v>11405.7</v>
      </c>
    </row>
    <row r="513" customFormat="false" ht="15" hidden="false" customHeight="false" outlineLevel="0" collapsed="false">
      <c r="A513" s="0" t="s">
        <v>1099</v>
      </c>
      <c r="B513" s="0" t="s">
        <v>78</v>
      </c>
      <c r="C513" s="0" t="s">
        <v>221</v>
      </c>
      <c r="D513" s="0" t="s">
        <v>567</v>
      </c>
      <c r="E513" s="0" t="s">
        <v>549</v>
      </c>
      <c r="F513" s="0" t="n">
        <v>187</v>
      </c>
      <c r="G513" s="0" t="n">
        <v>144.15</v>
      </c>
      <c r="H513" s="0" t="n">
        <v>80.08</v>
      </c>
      <c r="I513" s="0" t="n">
        <v>26956.05</v>
      </c>
      <c r="J513" s="0" t="n">
        <v>14974.96</v>
      </c>
      <c r="K513" s="0" t="n">
        <v>11981.09</v>
      </c>
    </row>
    <row r="514" customFormat="false" ht="15" hidden="false" customHeight="false" outlineLevel="0" collapsed="false">
      <c r="A514" s="0" t="s">
        <v>1100</v>
      </c>
      <c r="B514" s="0" t="s">
        <v>78</v>
      </c>
      <c r="C514" s="0" t="s">
        <v>221</v>
      </c>
      <c r="D514" s="0" t="s">
        <v>569</v>
      </c>
      <c r="E514" s="0" t="s">
        <v>552</v>
      </c>
      <c r="F514" s="0" t="n">
        <v>213</v>
      </c>
      <c r="G514" s="0" t="n">
        <v>170.39</v>
      </c>
      <c r="H514" s="0" t="n">
        <v>113.98</v>
      </c>
      <c r="I514" s="0" t="n">
        <v>36293.07</v>
      </c>
      <c r="J514" s="0" t="n">
        <v>24277.74</v>
      </c>
      <c r="K514" s="0" t="n">
        <v>12015.33</v>
      </c>
    </row>
    <row r="515" customFormat="false" ht="15" hidden="false" customHeight="false" outlineLevel="0" collapsed="false">
      <c r="A515" s="0" t="s">
        <v>1101</v>
      </c>
      <c r="B515" s="0" t="s">
        <v>78</v>
      </c>
      <c r="C515" s="0" t="s">
        <v>221</v>
      </c>
      <c r="D515" s="0" t="s">
        <v>571</v>
      </c>
      <c r="E515" s="0" t="s">
        <v>555</v>
      </c>
      <c r="F515" s="0" t="n">
        <v>275</v>
      </c>
      <c r="G515" s="0" t="n">
        <v>168.37</v>
      </c>
      <c r="H515" s="0" t="n">
        <v>93.34</v>
      </c>
      <c r="I515" s="0" t="n">
        <v>46301.75</v>
      </c>
      <c r="J515" s="0" t="n">
        <v>25668.5</v>
      </c>
      <c r="K515" s="0" t="n">
        <v>20633.25</v>
      </c>
    </row>
    <row r="516" customFormat="false" ht="15" hidden="false" customHeight="false" outlineLevel="0" collapsed="false">
      <c r="A516" s="0" t="s">
        <v>1102</v>
      </c>
      <c r="B516" s="0" t="s">
        <v>78</v>
      </c>
      <c r="C516" s="0" t="s">
        <v>221</v>
      </c>
      <c r="D516" s="0" t="s">
        <v>573</v>
      </c>
      <c r="E516" s="0" t="s">
        <v>534</v>
      </c>
      <c r="F516" s="0" t="n">
        <v>349</v>
      </c>
      <c r="G516" s="0" t="n">
        <v>210.14</v>
      </c>
      <c r="H516" s="0" t="n">
        <v>131.24</v>
      </c>
      <c r="I516" s="0" t="n">
        <v>73338.86</v>
      </c>
      <c r="J516" s="0" t="n">
        <v>45802.76</v>
      </c>
      <c r="K516" s="0" t="n">
        <v>27536.1</v>
      </c>
    </row>
    <row r="517" customFormat="false" ht="15" hidden="false" customHeight="false" outlineLevel="0" collapsed="false">
      <c r="A517" s="0" t="s">
        <v>1103</v>
      </c>
      <c r="B517" s="0" t="s">
        <v>78</v>
      </c>
      <c r="C517" s="0" t="s">
        <v>221</v>
      </c>
      <c r="D517" s="0" t="s">
        <v>575</v>
      </c>
      <c r="E517" s="0" t="s">
        <v>537</v>
      </c>
      <c r="F517" s="0" t="n">
        <v>167</v>
      </c>
      <c r="G517" s="0" t="n">
        <v>235.99</v>
      </c>
      <c r="H517" s="0" t="n">
        <v>166.71</v>
      </c>
      <c r="I517" s="0" t="n">
        <v>39410.33</v>
      </c>
      <c r="J517" s="0" t="n">
        <v>27840.57</v>
      </c>
      <c r="K517" s="0" t="n">
        <v>11569.76</v>
      </c>
    </row>
    <row r="518" customFormat="false" ht="15" hidden="false" customHeight="false" outlineLevel="0" collapsed="false">
      <c r="A518" s="0" t="s">
        <v>1104</v>
      </c>
      <c r="B518" s="0" t="s">
        <v>78</v>
      </c>
      <c r="C518" s="0" t="s">
        <v>221</v>
      </c>
      <c r="D518" s="0" t="s">
        <v>577</v>
      </c>
      <c r="E518" s="0" t="s">
        <v>540</v>
      </c>
      <c r="F518" s="0" t="n">
        <v>160</v>
      </c>
      <c r="G518" s="0" t="n">
        <v>279.45</v>
      </c>
      <c r="H518" s="0" t="n">
        <v>166.04</v>
      </c>
      <c r="I518" s="0" t="n">
        <v>44712</v>
      </c>
      <c r="J518" s="0" t="n">
        <v>26566.4</v>
      </c>
      <c r="K518" s="0" t="n">
        <v>18145.6</v>
      </c>
    </row>
    <row r="519" customFormat="false" ht="15" hidden="false" customHeight="false" outlineLevel="0" collapsed="false">
      <c r="A519" s="0" t="s">
        <v>1105</v>
      </c>
      <c r="B519" s="0" t="s">
        <v>78</v>
      </c>
      <c r="C519" s="0" t="s">
        <v>221</v>
      </c>
      <c r="D519" s="0" t="s">
        <v>579</v>
      </c>
      <c r="E519" s="0" t="s">
        <v>543</v>
      </c>
      <c r="F519" s="0" t="n">
        <v>198</v>
      </c>
      <c r="G519" s="0" t="n">
        <v>323.76</v>
      </c>
      <c r="H519" s="0" t="n">
        <v>215.36</v>
      </c>
      <c r="I519" s="0" t="n">
        <v>64104.48</v>
      </c>
      <c r="J519" s="0" t="n">
        <v>42641.28</v>
      </c>
      <c r="K519" s="0" t="n">
        <v>21463.2</v>
      </c>
    </row>
    <row r="520" customFormat="false" ht="15" hidden="false" customHeight="false" outlineLevel="0" collapsed="false">
      <c r="A520" s="0" t="s">
        <v>1106</v>
      </c>
      <c r="B520" s="0" t="s">
        <v>78</v>
      </c>
      <c r="C520" s="0" t="s">
        <v>221</v>
      </c>
      <c r="D520" s="0" t="s">
        <v>581</v>
      </c>
      <c r="E520" s="0" t="s">
        <v>546</v>
      </c>
      <c r="F520" s="0" t="n">
        <v>98</v>
      </c>
      <c r="G520" s="0" t="n">
        <v>103.83</v>
      </c>
      <c r="H520" s="0" t="n">
        <v>67.51</v>
      </c>
      <c r="I520" s="0" t="n">
        <v>10175.34</v>
      </c>
      <c r="J520" s="0" t="n">
        <v>6615.98</v>
      </c>
      <c r="K520" s="0" t="n">
        <v>3559.36</v>
      </c>
    </row>
    <row r="521" customFormat="false" ht="15" hidden="false" customHeight="false" outlineLevel="0" collapsed="false">
      <c r="A521" s="0" t="s">
        <v>1107</v>
      </c>
      <c r="B521" s="0" t="s">
        <v>78</v>
      </c>
      <c r="C521" s="0" t="s">
        <v>221</v>
      </c>
      <c r="D521" s="0" t="s">
        <v>583</v>
      </c>
      <c r="E521" s="0" t="s">
        <v>549</v>
      </c>
      <c r="F521" s="0" t="n">
        <v>276</v>
      </c>
      <c r="G521" s="0" t="n">
        <v>133.49</v>
      </c>
      <c r="H521" s="0" t="n">
        <v>88.51</v>
      </c>
      <c r="I521" s="0" t="n">
        <v>36843.24</v>
      </c>
      <c r="J521" s="0" t="n">
        <v>24428.76</v>
      </c>
      <c r="K521" s="0" t="n">
        <v>12414.48</v>
      </c>
    </row>
    <row r="522" customFormat="false" ht="15" hidden="false" customHeight="false" outlineLevel="0" collapsed="false">
      <c r="A522" s="0" t="s">
        <v>1108</v>
      </c>
      <c r="B522" s="0" t="s">
        <v>78</v>
      </c>
      <c r="C522" s="0" t="s">
        <v>221</v>
      </c>
      <c r="D522" s="0" t="s">
        <v>585</v>
      </c>
      <c r="E522" s="0" t="s">
        <v>552</v>
      </c>
      <c r="F522" s="0" t="n">
        <v>276</v>
      </c>
      <c r="G522" s="0" t="n">
        <v>174.65</v>
      </c>
      <c r="H522" s="0" t="n">
        <v>111.8</v>
      </c>
      <c r="I522" s="0" t="n">
        <v>48203.4</v>
      </c>
      <c r="J522" s="0" t="n">
        <v>30856.8</v>
      </c>
      <c r="K522" s="0" t="n">
        <v>17346.6</v>
      </c>
    </row>
    <row r="523" customFormat="false" ht="15" hidden="false" customHeight="false" outlineLevel="0" collapsed="false">
      <c r="A523" s="0" t="s">
        <v>1109</v>
      </c>
      <c r="B523" s="0" t="s">
        <v>78</v>
      </c>
      <c r="C523" s="0" t="s">
        <v>221</v>
      </c>
      <c r="D523" s="0" t="s">
        <v>587</v>
      </c>
      <c r="E523" s="0" t="s">
        <v>555</v>
      </c>
      <c r="F523" s="0" t="n">
        <v>135</v>
      </c>
      <c r="G523" s="0" t="n">
        <v>174.84</v>
      </c>
      <c r="H523" s="0" t="n">
        <v>99.65</v>
      </c>
      <c r="I523" s="0" t="n">
        <v>23603.4</v>
      </c>
      <c r="J523" s="0" t="n">
        <v>13452.75</v>
      </c>
      <c r="K523" s="0" t="n">
        <v>10150.65</v>
      </c>
    </row>
    <row r="524" customFormat="false" ht="15" hidden="false" customHeight="false" outlineLevel="0" collapsed="false">
      <c r="A524" s="0" t="s">
        <v>1110</v>
      </c>
      <c r="B524" s="0" t="s">
        <v>78</v>
      </c>
      <c r="C524" s="0" t="s">
        <v>221</v>
      </c>
      <c r="D524" s="0" t="s">
        <v>589</v>
      </c>
      <c r="E524" s="0" t="s">
        <v>534</v>
      </c>
      <c r="F524" s="0" t="n">
        <v>159</v>
      </c>
      <c r="G524" s="0" t="n">
        <v>190.66</v>
      </c>
      <c r="H524" s="0" t="n">
        <v>131.26</v>
      </c>
      <c r="I524" s="0" t="n">
        <v>30314.94</v>
      </c>
      <c r="J524" s="0" t="n">
        <v>20870.34</v>
      </c>
      <c r="K524" s="0" t="n">
        <v>9444.6</v>
      </c>
    </row>
    <row r="525" customFormat="false" ht="15" hidden="false" customHeight="false" outlineLevel="0" collapsed="false">
      <c r="A525" s="0" t="s">
        <v>1111</v>
      </c>
      <c r="B525" s="0" t="s">
        <v>78</v>
      </c>
      <c r="C525" s="0" t="s">
        <v>221</v>
      </c>
      <c r="D525" s="0" t="s">
        <v>591</v>
      </c>
      <c r="E525" s="0" t="s">
        <v>537</v>
      </c>
      <c r="F525" s="0" t="n">
        <v>326</v>
      </c>
      <c r="G525" s="0" t="n">
        <v>250.02</v>
      </c>
      <c r="H525" s="0" t="n">
        <v>152.36</v>
      </c>
      <c r="I525" s="0" t="n">
        <v>81506.52</v>
      </c>
      <c r="J525" s="0" t="n">
        <v>49669.36</v>
      </c>
      <c r="K525" s="0" t="n">
        <v>31837.16</v>
      </c>
    </row>
    <row r="526" customFormat="false" ht="15" hidden="false" customHeight="false" outlineLevel="0" collapsed="false">
      <c r="A526" s="0" t="s">
        <v>1112</v>
      </c>
      <c r="B526" s="0" t="s">
        <v>78</v>
      </c>
      <c r="C526" s="0" t="s">
        <v>221</v>
      </c>
      <c r="D526" s="0" t="s">
        <v>593</v>
      </c>
      <c r="E526" s="0" t="s">
        <v>540</v>
      </c>
      <c r="F526" s="0" t="n">
        <v>446</v>
      </c>
      <c r="G526" s="0" t="n">
        <v>266.28</v>
      </c>
      <c r="H526" s="0" t="n">
        <v>176.79</v>
      </c>
      <c r="I526" s="0" t="n">
        <v>118760.88</v>
      </c>
      <c r="J526" s="0" t="n">
        <v>78848.34</v>
      </c>
      <c r="K526" s="0" t="n">
        <v>39912.54</v>
      </c>
    </row>
    <row r="527" customFormat="false" ht="15" hidden="false" customHeight="false" outlineLevel="0" collapsed="false">
      <c r="A527" s="0" t="s">
        <v>1113</v>
      </c>
      <c r="B527" s="0" t="s">
        <v>78</v>
      </c>
      <c r="C527" s="0" t="s">
        <v>221</v>
      </c>
      <c r="D527" s="0" t="s">
        <v>595</v>
      </c>
      <c r="E527" s="0" t="s">
        <v>543</v>
      </c>
      <c r="F527" s="0" t="n">
        <v>125</v>
      </c>
      <c r="G527" s="0" t="n">
        <v>290.05</v>
      </c>
      <c r="H527" s="0" t="n">
        <v>199.15</v>
      </c>
      <c r="I527" s="0" t="n">
        <v>36256.25</v>
      </c>
      <c r="J527" s="0" t="n">
        <v>24893.75</v>
      </c>
      <c r="K527" s="0" t="n">
        <v>11362.5</v>
      </c>
    </row>
    <row r="528" customFormat="false" ht="15" hidden="false" customHeight="false" outlineLevel="0" collapsed="false">
      <c r="A528" s="0" t="s">
        <v>1114</v>
      </c>
      <c r="B528" s="0" t="s">
        <v>78</v>
      </c>
      <c r="C528" s="0" t="s">
        <v>221</v>
      </c>
      <c r="D528" s="0" t="s">
        <v>597</v>
      </c>
      <c r="E528" s="0" t="s">
        <v>546</v>
      </c>
      <c r="F528" s="0" t="n">
        <v>161</v>
      </c>
      <c r="G528" s="0" t="n">
        <v>105.75</v>
      </c>
      <c r="H528" s="0" t="n">
        <v>70.17</v>
      </c>
      <c r="I528" s="0" t="n">
        <v>17025.75</v>
      </c>
      <c r="J528" s="0" t="n">
        <v>11297.37</v>
      </c>
      <c r="K528" s="0" t="n">
        <v>5728.38</v>
      </c>
    </row>
    <row r="529" customFormat="false" ht="15" hidden="false" customHeight="false" outlineLevel="0" collapsed="false">
      <c r="A529" s="0" t="s">
        <v>1115</v>
      </c>
      <c r="B529" s="0" t="s">
        <v>78</v>
      </c>
      <c r="C529" s="0" t="s">
        <v>221</v>
      </c>
      <c r="D529" s="0" t="s">
        <v>599</v>
      </c>
      <c r="E529" s="0" t="s">
        <v>549</v>
      </c>
      <c r="F529" s="0" t="n">
        <v>355</v>
      </c>
      <c r="G529" s="0" t="n">
        <v>137.03</v>
      </c>
      <c r="H529" s="0" t="n">
        <v>86.36</v>
      </c>
      <c r="I529" s="0" t="n">
        <v>48645.65</v>
      </c>
      <c r="J529" s="0" t="n">
        <v>30657.8</v>
      </c>
      <c r="K529" s="0" t="n">
        <v>17987.85</v>
      </c>
    </row>
    <row r="530" customFormat="false" ht="15" hidden="false" customHeight="false" outlineLevel="0" collapsed="false">
      <c r="A530" s="0" t="s">
        <v>1116</v>
      </c>
      <c r="B530" s="0" t="s">
        <v>78</v>
      </c>
      <c r="C530" s="0" t="s">
        <v>221</v>
      </c>
      <c r="D530" s="0" t="s">
        <v>601</v>
      </c>
      <c r="E530" s="0" t="s">
        <v>552</v>
      </c>
      <c r="F530" s="0" t="n">
        <v>206</v>
      </c>
      <c r="G530" s="0" t="n">
        <v>176.54</v>
      </c>
      <c r="H530" s="0" t="n">
        <v>108.16</v>
      </c>
      <c r="I530" s="0" t="n">
        <v>36367.24</v>
      </c>
      <c r="J530" s="0" t="n">
        <v>22280.96</v>
      </c>
      <c r="K530" s="0" t="n">
        <v>14086.28</v>
      </c>
    </row>
    <row r="531" customFormat="false" ht="15" hidden="false" customHeight="false" outlineLevel="0" collapsed="false">
      <c r="A531" s="0" t="s">
        <v>1117</v>
      </c>
      <c r="B531" s="0" t="s">
        <v>78</v>
      </c>
      <c r="C531" s="0" t="s">
        <v>221</v>
      </c>
      <c r="D531" s="0" t="s">
        <v>603</v>
      </c>
      <c r="E531" s="0" t="s">
        <v>555</v>
      </c>
      <c r="F531" s="0" t="n">
        <v>299</v>
      </c>
      <c r="G531" s="0" t="n">
        <v>170.29</v>
      </c>
      <c r="H531" s="0" t="n">
        <v>99.33</v>
      </c>
      <c r="I531" s="0" t="n">
        <v>50916.71</v>
      </c>
      <c r="J531" s="0" t="n">
        <v>29699.67</v>
      </c>
      <c r="K531" s="0" t="n">
        <v>21217.04</v>
      </c>
    </row>
    <row r="532" customFormat="false" ht="15" hidden="false" customHeight="false" outlineLevel="0" collapsed="false">
      <c r="A532" s="0" t="s">
        <v>1118</v>
      </c>
      <c r="B532" s="0" t="s">
        <v>78</v>
      </c>
      <c r="C532" s="0" t="s">
        <v>221</v>
      </c>
      <c r="D532" s="0" t="s">
        <v>605</v>
      </c>
      <c r="E532" s="0" t="s">
        <v>534</v>
      </c>
      <c r="F532" s="0" t="n">
        <v>117</v>
      </c>
      <c r="G532" s="0" t="n">
        <v>189.93</v>
      </c>
      <c r="H532" s="0" t="n">
        <v>141.06</v>
      </c>
      <c r="I532" s="0" t="n">
        <v>22221.81</v>
      </c>
      <c r="J532" s="0" t="n">
        <v>16504.02</v>
      </c>
      <c r="K532" s="0" t="n">
        <v>5717.79</v>
      </c>
    </row>
    <row r="533" customFormat="false" ht="15" hidden="false" customHeight="false" outlineLevel="0" collapsed="false">
      <c r="A533" s="0" t="s">
        <v>1119</v>
      </c>
      <c r="B533" s="0" t="s">
        <v>78</v>
      </c>
      <c r="C533" s="0" t="s">
        <v>221</v>
      </c>
      <c r="D533" s="0" t="s">
        <v>607</v>
      </c>
      <c r="E533" s="0" t="s">
        <v>537</v>
      </c>
      <c r="F533" s="0" t="n">
        <v>390</v>
      </c>
      <c r="G533" s="0" t="n">
        <v>244.72</v>
      </c>
      <c r="H533" s="0" t="n">
        <v>161.59</v>
      </c>
      <c r="I533" s="0" t="n">
        <v>95440.8</v>
      </c>
      <c r="J533" s="0" t="n">
        <v>63020.1</v>
      </c>
      <c r="K533" s="0" t="n">
        <v>32420.7</v>
      </c>
    </row>
    <row r="534" customFormat="false" ht="15" hidden="false" customHeight="false" outlineLevel="0" collapsed="false">
      <c r="A534" s="0" t="s">
        <v>1120</v>
      </c>
      <c r="B534" s="0" t="s">
        <v>78</v>
      </c>
      <c r="C534" s="0" t="s">
        <v>221</v>
      </c>
      <c r="D534" s="0" t="s">
        <v>609</v>
      </c>
      <c r="E534" s="0" t="s">
        <v>540</v>
      </c>
      <c r="F534" s="0" t="n">
        <v>379</v>
      </c>
      <c r="G534" s="0" t="n">
        <v>258.01</v>
      </c>
      <c r="H534" s="0" t="n">
        <v>167.11</v>
      </c>
      <c r="I534" s="0" t="n">
        <v>97785.79</v>
      </c>
      <c r="J534" s="0" t="n">
        <v>63334.69</v>
      </c>
      <c r="K534" s="0" t="n">
        <v>34451.1</v>
      </c>
    </row>
    <row r="535" customFormat="false" ht="15" hidden="false" customHeight="false" outlineLevel="0" collapsed="false">
      <c r="A535" s="0" t="s">
        <v>1121</v>
      </c>
      <c r="B535" s="0" t="s">
        <v>78</v>
      </c>
      <c r="C535" s="0" t="s">
        <v>221</v>
      </c>
      <c r="D535" s="0" t="s">
        <v>611</v>
      </c>
      <c r="E535" s="0" t="s">
        <v>543</v>
      </c>
      <c r="F535" s="0" t="n">
        <v>304</v>
      </c>
      <c r="G535" s="0" t="n">
        <v>289.32</v>
      </c>
      <c r="H535" s="0" t="n">
        <v>202.47</v>
      </c>
      <c r="I535" s="0" t="n">
        <v>87953.28</v>
      </c>
      <c r="J535" s="0" t="n">
        <v>61550.88</v>
      </c>
      <c r="K535" s="0" t="n">
        <v>26402.4</v>
      </c>
    </row>
    <row r="536" customFormat="false" ht="15" hidden="false" customHeight="false" outlineLevel="0" collapsed="false">
      <c r="A536" s="0" t="s">
        <v>1122</v>
      </c>
      <c r="B536" s="0" t="s">
        <v>78</v>
      </c>
      <c r="C536" s="0" t="s">
        <v>221</v>
      </c>
      <c r="D536" s="0" t="s">
        <v>628</v>
      </c>
      <c r="E536" s="0" t="s">
        <v>546</v>
      </c>
      <c r="F536" s="0" t="n">
        <v>377</v>
      </c>
      <c r="G536" s="0" t="n">
        <v>103.86</v>
      </c>
      <c r="H536" s="0" t="n">
        <v>69.66</v>
      </c>
      <c r="I536" s="0" t="n">
        <v>39155.22</v>
      </c>
      <c r="J536" s="0" t="n">
        <v>26261.82</v>
      </c>
      <c r="K536" s="0" t="n">
        <v>12893.4</v>
      </c>
    </row>
    <row r="537" customFormat="false" ht="15" hidden="false" customHeight="false" outlineLevel="0" collapsed="false">
      <c r="A537" s="0" t="s">
        <v>1123</v>
      </c>
      <c r="B537" s="0" t="s">
        <v>78</v>
      </c>
      <c r="C537" s="0" t="s">
        <v>221</v>
      </c>
      <c r="D537" s="0" t="s">
        <v>630</v>
      </c>
      <c r="E537" s="0" t="s">
        <v>549</v>
      </c>
      <c r="F537" s="0" t="n">
        <v>128</v>
      </c>
      <c r="G537" s="0" t="n">
        <v>138.92</v>
      </c>
      <c r="H537" s="0" t="n">
        <v>82.27</v>
      </c>
      <c r="I537" s="0" t="n">
        <v>17781.76</v>
      </c>
      <c r="J537" s="0" t="n">
        <v>10530.56</v>
      </c>
      <c r="K537" s="0" t="n">
        <v>7251.2</v>
      </c>
    </row>
    <row r="538" customFormat="false" ht="15" hidden="false" customHeight="false" outlineLevel="0" collapsed="false">
      <c r="A538" s="0" t="s">
        <v>1124</v>
      </c>
      <c r="B538" s="0" t="s">
        <v>78</v>
      </c>
      <c r="C538" s="0" t="s">
        <v>221</v>
      </c>
      <c r="D538" s="0" t="s">
        <v>632</v>
      </c>
      <c r="E538" s="0" t="s">
        <v>552</v>
      </c>
      <c r="F538" s="0" t="n">
        <v>354</v>
      </c>
      <c r="G538" s="0" t="n">
        <v>182.54</v>
      </c>
      <c r="H538" s="0" t="n">
        <v>118.09</v>
      </c>
      <c r="I538" s="0" t="n">
        <v>64619.16</v>
      </c>
      <c r="J538" s="0" t="n">
        <v>41803.86</v>
      </c>
      <c r="K538" s="0" t="n">
        <v>22815.3</v>
      </c>
    </row>
    <row r="539" customFormat="false" ht="15" hidden="false" customHeight="false" outlineLevel="0" collapsed="false">
      <c r="A539" s="0" t="s">
        <v>1125</v>
      </c>
      <c r="B539" s="0" t="s">
        <v>78</v>
      </c>
      <c r="C539" s="0" t="s">
        <v>221</v>
      </c>
      <c r="D539" s="0" t="s">
        <v>634</v>
      </c>
      <c r="E539" s="0" t="s">
        <v>555</v>
      </c>
      <c r="F539" s="0" t="n">
        <v>344</v>
      </c>
      <c r="G539" s="0" t="n">
        <v>168.36</v>
      </c>
      <c r="H539" s="0" t="n">
        <v>96.66</v>
      </c>
      <c r="I539" s="0" t="n">
        <v>57915.84</v>
      </c>
      <c r="J539" s="0" t="n">
        <v>33251.04</v>
      </c>
      <c r="K539" s="0" t="n">
        <v>24664.8</v>
      </c>
    </row>
    <row r="540" customFormat="false" ht="15" hidden="false" customHeight="false" outlineLevel="0" collapsed="false">
      <c r="A540" s="0" t="s">
        <v>1126</v>
      </c>
      <c r="B540" s="0" t="s">
        <v>78</v>
      </c>
      <c r="C540" s="0" t="s">
        <v>221</v>
      </c>
      <c r="D540" s="0" t="s">
        <v>636</v>
      </c>
      <c r="E540" s="0" t="s">
        <v>534</v>
      </c>
      <c r="F540" s="0" t="n">
        <v>325</v>
      </c>
      <c r="G540" s="0" t="n">
        <v>188.09</v>
      </c>
      <c r="H540" s="0" t="n">
        <v>132.85</v>
      </c>
      <c r="I540" s="0" t="n">
        <v>61129.25</v>
      </c>
      <c r="J540" s="0" t="n">
        <v>43176.25</v>
      </c>
      <c r="K540" s="0" t="n">
        <v>17953</v>
      </c>
    </row>
    <row r="541" customFormat="false" ht="15" hidden="false" customHeight="false" outlineLevel="0" collapsed="false">
      <c r="A541" s="0" t="s">
        <v>1127</v>
      </c>
      <c r="B541" s="0" t="s">
        <v>78</v>
      </c>
      <c r="C541" s="0" t="s">
        <v>221</v>
      </c>
      <c r="D541" s="0" t="s">
        <v>638</v>
      </c>
      <c r="E541" s="0" t="s">
        <v>537</v>
      </c>
      <c r="F541" s="0" t="n">
        <v>276</v>
      </c>
      <c r="G541" s="0" t="n">
        <v>235.36</v>
      </c>
      <c r="H541" s="0" t="n">
        <v>150.06</v>
      </c>
      <c r="I541" s="0" t="n">
        <v>64959.36</v>
      </c>
      <c r="J541" s="0" t="n">
        <v>41416.56</v>
      </c>
      <c r="K541" s="0" t="n">
        <v>23542.8</v>
      </c>
    </row>
    <row r="542" customFormat="false" ht="15" hidden="false" customHeight="false" outlineLevel="0" collapsed="false">
      <c r="A542" s="0" t="s">
        <v>1128</v>
      </c>
      <c r="B542" s="0" t="s">
        <v>79</v>
      </c>
      <c r="C542" s="0" t="s">
        <v>221</v>
      </c>
      <c r="D542" s="0" t="s">
        <v>595</v>
      </c>
      <c r="E542" s="0" t="s">
        <v>543</v>
      </c>
      <c r="F542" s="0" t="n">
        <v>119</v>
      </c>
      <c r="G542" s="0" t="n">
        <v>303.82</v>
      </c>
      <c r="H542" s="0" t="n">
        <v>211.69</v>
      </c>
      <c r="I542" s="0" t="n">
        <v>36154.58</v>
      </c>
      <c r="J542" s="0" t="n">
        <v>25191.11</v>
      </c>
      <c r="K542" s="0" t="n">
        <v>10963.47</v>
      </c>
    </row>
    <row r="543" customFormat="false" ht="15" hidden="false" customHeight="false" outlineLevel="0" collapsed="false">
      <c r="A543" s="0" t="s">
        <v>1129</v>
      </c>
      <c r="B543" s="0" t="s">
        <v>79</v>
      </c>
      <c r="C543" s="0" t="s">
        <v>221</v>
      </c>
      <c r="D543" s="0" t="s">
        <v>597</v>
      </c>
      <c r="E543" s="0" t="s">
        <v>546</v>
      </c>
      <c r="F543" s="0" t="n">
        <v>406</v>
      </c>
      <c r="G543" s="0" t="n">
        <v>99.38</v>
      </c>
      <c r="H543" s="0" t="n">
        <v>69</v>
      </c>
      <c r="I543" s="0" t="n">
        <v>40348.28</v>
      </c>
      <c r="J543" s="0" t="n">
        <v>28014</v>
      </c>
      <c r="K543" s="0" t="n">
        <v>12334.28</v>
      </c>
    </row>
    <row r="544" customFormat="false" ht="15" hidden="false" customHeight="false" outlineLevel="0" collapsed="false">
      <c r="A544" s="0" t="s">
        <v>1130</v>
      </c>
      <c r="B544" s="0" t="s">
        <v>79</v>
      </c>
      <c r="C544" s="0" t="s">
        <v>221</v>
      </c>
      <c r="D544" s="0" t="s">
        <v>599</v>
      </c>
      <c r="E544" s="0" t="s">
        <v>549</v>
      </c>
      <c r="F544" s="0" t="n">
        <v>255</v>
      </c>
      <c r="G544" s="0" t="n">
        <v>131.56</v>
      </c>
      <c r="H544" s="0" t="n">
        <v>82.19</v>
      </c>
      <c r="I544" s="0" t="n">
        <v>33547.8</v>
      </c>
      <c r="J544" s="0" t="n">
        <v>20958.45</v>
      </c>
      <c r="K544" s="0" t="n">
        <v>12589.35</v>
      </c>
    </row>
    <row r="545" customFormat="false" ht="15" hidden="false" customHeight="false" outlineLevel="0" collapsed="false">
      <c r="A545" s="0" t="s">
        <v>1131</v>
      </c>
      <c r="B545" s="0" t="s">
        <v>79</v>
      </c>
      <c r="C545" s="0" t="s">
        <v>221</v>
      </c>
      <c r="D545" s="0" t="s">
        <v>601</v>
      </c>
      <c r="E545" s="0" t="s">
        <v>552</v>
      </c>
      <c r="F545" s="0" t="n">
        <v>258</v>
      </c>
      <c r="G545" s="0" t="n">
        <v>189.19</v>
      </c>
      <c r="H545" s="0" t="n">
        <v>109.87</v>
      </c>
      <c r="I545" s="0" t="n">
        <v>48811.02</v>
      </c>
      <c r="J545" s="0" t="n">
        <v>28346.46</v>
      </c>
      <c r="K545" s="0" t="n">
        <v>20464.56</v>
      </c>
    </row>
    <row r="546" customFormat="false" ht="15" hidden="false" customHeight="false" outlineLevel="0" collapsed="false">
      <c r="A546" s="0" t="s">
        <v>1132</v>
      </c>
      <c r="B546" s="0" t="s">
        <v>79</v>
      </c>
      <c r="C546" s="0" t="s">
        <v>221</v>
      </c>
      <c r="D546" s="0" t="s">
        <v>603</v>
      </c>
      <c r="E546" s="0" t="s">
        <v>555</v>
      </c>
      <c r="F546" s="0" t="n">
        <v>435</v>
      </c>
      <c r="G546" s="0" t="n">
        <v>166.32</v>
      </c>
      <c r="H546" s="0" t="n">
        <v>100.17</v>
      </c>
      <c r="I546" s="0" t="n">
        <v>72349.2</v>
      </c>
      <c r="J546" s="0" t="n">
        <v>43573.95</v>
      </c>
      <c r="K546" s="0" t="n">
        <v>28775.25</v>
      </c>
    </row>
    <row r="547" customFormat="false" ht="15" hidden="false" customHeight="false" outlineLevel="0" collapsed="false">
      <c r="A547" s="0" t="s">
        <v>1133</v>
      </c>
      <c r="B547" s="0" t="s">
        <v>79</v>
      </c>
      <c r="C547" s="0" t="s">
        <v>221</v>
      </c>
      <c r="D547" s="0" t="s">
        <v>605</v>
      </c>
      <c r="E547" s="0" t="s">
        <v>534</v>
      </c>
      <c r="F547" s="0" t="n">
        <v>408</v>
      </c>
      <c r="G547" s="0" t="n">
        <v>191.88</v>
      </c>
      <c r="H547" s="0" t="n">
        <v>128.86</v>
      </c>
      <c r="I547" s="0" t="n">
        <v>78287.04</v>
      </c>
      <c r="J547" s="0" t="n">
        <v>52574.88</v>
      </c>
      <c r="K547" s="0" t="n">
        <v>25712.16</v>
      </c>
    </row>
    <row r="548" customFormat="false" ht="15" hidden="false" customHeight="false" outlineLevel="0" collapsed="false">
      <c r="A548" s="0" t="s">
        <v>1134</v>
      </c>
      <c r="B548" s="0" t="s">
        <v>79</v>
      </c>
      <c r="C548" s="0" t="s">
        <v>221</v>
      </c>
      <c r="D548" s="0" t="s">
        <v>607</v>
      </c>
      <c r="E548" s="0" t="s">
        <v>537</v>
      </c>
      <c r="F548" s="0" t="n">
        <v>451</v>
      </c>
      <c r="G548" s="0" t="n">
        <v>252.68</v>
      </c>
      <c r="H548" s="0" t="n">
        <v>158.33</v>
      </c>
      <c r="I548" s="0" t="n">
        <v>113958.68</v>
      </c>
      <c r="J548" s="0" t="n">
        <v>71406.83</v>
      </c>
      <c r="K548" s="0" t="n">
        <v>42551.85</v>
      </c>
    </row>
    <row r="549" customFormat="false" ht="15" hidden="false" customHeight="false" outlineLevel="0" collapsed="false">
      <c r="A549" s="0" t="s">
        <v>1135</v>
      </c>
      <c r="B549" s="0" t="s">
        <v>79</v>
      </c>
      <c r="C549" s="0" t="s">
        <v>221</v>
      </c>
      <c r="D549" s="0" t="s">
        <v>609</v>
      </c>
      <c r="E549" s="0" t="s">
        <v>540</v>
      </c>
      <c r="F549" s="0" t="n">
        <v>235</v>
      </c>
      <c r="G549" s="0" t="n">
        <v>256.54</v>
      </c>
      <c r="H549" s="0" t="n">
        <v>180.39</v>
      </c>
      <c r="I549" s="0" t="n">
        <v>60286.9</v>
      </c>
      <c r="J549" s="0" t="n">
        <v>42391.65</v>
      </c>
      <c r="K549" s="0" t="n">
        <v>17895.25</v>
      </c>
    </row>
    <row r="550" customFormat="false" ht="15" hidden="false" customHeight="false" outlineLevel="0" collapsed="false">
      <c r="A550" s="0" t="s">
        <v>1136</v>
      </c>
      <c r="B550" s="0" t="s">
        <v>79</v>
      </c>
      <c r="C550" s="0" t="s">
        <v>221</v>
      </c>
      <c r="D550" s="0" t="s">
        <v>611</v>
      </c>
      <c r="E550" s="0" t="s">
        <v>543</v>
      </c>
      <c r="F550" s="0" t="n">
        <v>106</v>
      </c>
      <c r="G550" s="0" t="n">
        <v>302.58</v>
      </c>
      <c r="H550" s="0" t="n">
        <v>201.44</v>
      </c>
      <c r="I550" s="0" t="n">
        <v>32073.48</v>
      </c>
      <c r="J550" s="0" t="n">
        <v>21352.64</v>
      </c>
      <c r="K550" s="0" t="n">
        <v>10720.84</v>
      </c>
    </row>
    <row r="551" customFormat="false" ht="15" hidden="false" customHeight="false" outlineLevel="0" collapsed="false">
      <c r="A551" s="0" t="s">
        <v>1137</v>
      </c>
      <c r="B551" s="0" t="s">
        <v>79</v>
      </c>
      <c r="C551" s="0" t="s">
        <v>221</v>
      </c>
      <c r="D551" s="0" t="s">
        <v>628</v>
      </c>
      <c r="E551" s="0" t="s">
        <v>546</v>
      </c>
      <c r="F551" s="0" t="n">
        <v>288</v>
      </c>
      <c r="G551" s="0" t="n">
        <v>112.04</v>
      </c>
      <c r="H551" s="0" t="n">
        <v>68.69</v>
      </c>
      <c r="I551" s="0" t="n">
        <v>32267.52</v>
      </c>
      <c r="J551" s="0" t="n">
        <v>19782.72</v>
      </c>
      <c r="K551" s="0" t="n">
        <v>12484.8</v>
      </c>
    </row>
    <row r="552" customFormat="false" ht="15" hidden="false" customHeight="false" outlineLevel="0" collapsed="false">
      <c r="A552" s="0" t="s">
        <v>1138</v>
      </c>
      <c r="B552" s="0" t="s">
        <v>79</v>
      </c>
      <c r="C552" s="0" t="s">
        <v>221</v>
      </c>
      <c r="D552" s="0" t="s">
        <v>630</v>
      </c>
      <c r="E552" s="0" t="s">
        <v>549</v>
      </c>
      <c r="F552" s="0" t="n">
        <v>214</v>
      </c>
      <c r="G552" s="0" t="n">
        <v>129.74</v>
      </c>
      <c r="H552" s="0" t="n">
        <v>85.09</v>
      </c>
      <c r="I552" s="0" t="n">
        <v>27764.36</v>
      </c>
      <c r="J552" s="0" t="n">
        <v>18209.26</v>
      </c>
      <c r="K552" s="0" t="n">
        <v>9555.1</v>
      </c>
    </row>
    <row r="553" customFormat="false" ht="15" hidden="false" customHeight="false" outlineLevel="0" collapsed="false">
      <c r="A553" s="0" t="s">
        <v>1139</v>
      </c>
      <c r="B553" s="0" t="s">
        <v>79</v>
      </c>
      <c r="C553" s="0" t="s">
        <v>221</v>
      </c>
      <c r="D553" s="0" t="s">
        <v>632</v>
      </c>
      <c r="E553" s="0" t="s">
        <v>552</v>
      </c>
      <c r="F553" s="0" t="n">
        <v>231</v>
      </c>
      <c r="G553" s="0" t="n">
        <v>177.92</v>
      </c>
      <c r="H553" s="0" t="n">
        <v>118.01</v>
      </c>
      <c r="I553" s="0" t="n">
        <v>41099.52</v>
      </c>
      <c r="J553" s="0" t="n">
        <v>27260.31</v>
      </c>
      <c r="K553" s="0" t="n">
        <v>13839.21</v>
      </c>
    </row>
    <row r="554" customFormat="false" ht="15" hidden="false" customHeight="false" outlineLevel="0" collapsed="false">
      <c r="A554" s="0" t="s">
        <v>1140</v>
      </c>
      <c r="B554" s="0" t="s">
        <v>79</v>
      </c>
      <c r="C554" s="0" t="s">
        <v>221</v>
      </c>
      <c r="D554" s="0" t="s">
        <v>634</v>
      </c>
      <c r="E554" s="0" t="s">
        <v>555</v>
      </c>
      <c r="F554" s="0" t="n">
        <v>420</v>
      </c>
      <c r="G554" s="0" t="n">
        <v>163.3</v>
      </c>
      <c r="H554" s="0" t="n">
        <v>93.59</v>
      </c>
      <c r="I554" s="0" t="n">
        <v>68586</v>
      </c>
      <c r="J554" s="0" t="n">
        <v>39307.8</v>
      </c>
      <c r="K554" s="0" t="n">
        <v>29278.2</v>
      </c>
    </row>
    <row r="555" customFormat="false" ht="15" hidden="false" customHeight="false" outlineLevel="0" collapsed="false">
      <c r="A555" s="0" t="s">
        <v>1141</v>
      </c>
      <c r="B555" s="0" t="s">
        <v>79</v>
      </c>
      <c r="C555" s="0" t="s">
        <v>221</v>
      </c>
      <c r="D555" s="0" t="s">
        <v>636</v>
      </c>
      <c r="E555" s="0" t="s">
        <v>534</v>
      </c>
      <c r="F555" s="0" t="n">
        <v>273</v>
      </c>
      <c r="G555" s="0" t="n">
        <v>198.83</v>
      </c>
      <c r="H555" s="0" t="n">
        <v>133.06</v>
      </c>
      <c r="I555" s="0" t="n">
        <v>54280.59</v>
      </c>
      <c r="J555" s="0" t="n">
        <v>36325.38</v>
      </c>
      <c r="K555" s="0" t="n">
        <v>17955.21</v>
      </c>
    </row>
    <row r="556" customFormat="false" ht="15" hidden="false" customHeight="false" outlineLevel="0" collapsed="false">
      <c r="A556" s="0" t="s">
        <v>1142</v>
      </c>
      <c r="B556" s="0" t="s">
        <v>79</v>
      </c>
      <c r="C556" s="0" t="s">
        <v>221</v>
      </c>
      <c r="D556" s="0" t="s">
        <v>638</v>
      </c>
      <c r="E556" s="0" t="s">
        <v>537</v>
      </c>
      <c r="F556" s="0" t="n">
        <v>310</v>
      </c>
      <c r="G556" s="0" t="n">
        <v>256.61</v>
      </c>
      <c r="H556" s="0" t="n">
        <v>157</v>
      </c>
      <c r="I556" s="0" t="n">
        <v>79549.1</v>
      </c>
      <c r="J556" s="0" t="n">
        <v>48670</v>
      </c>
      <c r="K556" s="0" t="n">
        <v>30879.1</v>
      </c>
    </row>
    <row r="557" customFormat="false" ht="15" hidden="false" customHeight="false" outlineLevel="0" collapsed="false">
      <c r="A557" s="0" t="s">
        <v>1143</v>
      </c>
      <c r="B557" s="0" t="s">
        <v>79</v>
      </c>
      <c r="C557" s="0" t="s">
        <v>221</v>
      </c>
      <c r="D557" s="0" t="s">
        <v>640</v>
      </c>
      <c r="E557" s="0" t="s">
        <v>540</v>
      </c>
      <c r="F557" s="0" t="n">
        <v>180</v>
      </c>
      <c r="G557" s="0" t="n">
        <v>267.26</v>
      </c>
      <c r="H557" s="0" t="n">
        <v>174.37</v>
      </c>
      <c r="I557" s="0" t="n">
        <v>48106.8</v>
      </c>
      <c r="J557" s="0" t="n">
        <v>31386.6</v>
      </c>
      <c r="K557" s="0" t="n">
        <v>16720.2</v>
      </c>
    </row>
    <row r="558" customFormat="false" ht="15" hidden="false" customHeight="false" outlineLevel="0" collapsed="false">
      <c r="A558" s="0" t="s">
        <v>1144</v>
      </c>
      <c r="B558" s="0" t="s">
        <v>79</v>
      </c>
      <c r="C558" s="0" t="s">
        <v>221</v>
      </c>
      <c r="D558" s="0" t="s">
        <v>642</v>
      </c>
      <c r="E558" s="0" t="s">
        <v>543</v>
      </c>
      <c r="F558" s="0" t="n">
        <v>350</v>
      </c>
      <c r="G558" s="0" t="n">
        <v>300.52</v>
      </c>
      <c r="H558" s="0" t="n">
        <v>195.92</v>
      </c>
      <c r="I558" s="0" t="n">
        <v>105182</v>
      </c>
      <c r="J558" s="0" t="n">
        <v>68572</v>
      </c>
      <c r="K558" s="0" t="n">
        <v>36610</v>
      </c>
    </row>
    <row r="559" customFormat="false" ht="15" hidden="false" customHeight="false" outlineLevel="0" collapsed="false">
      <c r="A559" s="0" t="s">
        <v>1145</v>
      </c>
      <c r="B559" s="0" t="s">
        <v>79</v>
      </c>
      <c r="C559" s="0" t="s">
        <v>221</v>
      </c>
      <c r="D559" s="0" t="s">
        <v>644</v>
      </c>
      <c r="E559" s="0" t="s">
        <v>546</v>
      </c>
      <c r="F559" s="0" t="n">
        <v>302</v>
      </c>
      <c r="G559" s="0" t="n">
        <v>99.03</v>
      </c>
      <c r="H559" s="0" t="n">
        <v>69.16</v>
      </c>
      <c r="I559" s="0" t="n">
        <v>29907.06</v>
      </c>
      <c r="J559" s="0" t="n">
        <v>20886.32</v>
      </c>
      <c r="K559" s="0" t="n">
        <v>9020.74</v>
      </c>
    </row>
    <row r="560" customFormat="false" ht="15" hidden="false" customHeight="false" outlineLevel="0" collapsed="false">
      <c r="A560" s="0" t="s">
        <v>1146</v>
      </c>
      <c r="B560" s="0" t="s">
        <v>79</v>
      </c>
      <c r="C560" s="0" t="s">
        <v>221</v>
      </c>
      <c r="D560" s="0" t="s">
        <v>646</v>
      </c>
      <c r="E560" s="0" t="s">
        <v>549</v>
      </c>
      <c r="F560" s="0" t="n">
        <v>177</v>
      </c>
      <c r="G560" s="0" t="n">
        <v>139.33</v>
      </c>
      <c r="H560" s="0" t="n">
        <v>81.88</v>
      </c>
      <c r="I560" s="0" t="n">
        <v>24661.41</v>
      </c>
      <c r="J560" s="0" t="n">
        <v>14492.76</v>
      </c>
      <c r="K560" s="0" t="n">
        <v>10168.65</v>
      </c>
    </row>
    <row r="561" customFormat="false" ht="15" hidden="false" customHeight="false" outlineLevel="0" collapsed="false">
      <c r="A561" s="0" t="s">
        <v>1147</v>
      </c>
      <c r="B561" s="0" t="s">
        <v>79</v>
      </c>
      <c r="C561" s="0" t="s">
        <v>221</v>
      </c>
      <c r="D561" s="0" t="s">
        <v>648</v>
      </c>
      <c r="E561" s="0" t="s">
        <v>552</v>
      </c>
      <c r="F561" s="0" t="n">
        <v>125</v>
      </c>
      <c r="G561" s="0" t="n">
        <v>177.2</v>
      </c>
      <c r="H561" s="0" t="n">
        <v>111.49</v>
      </c>
      <c r="I561" s="0" t="n">
        <v>22150</v>
      </c>
      <c r="J561" s="0" t="n">
        <v>13936.25</v>
      </c>
      <c r="K561" s="0" t="n">
        <v>8213.75</v>
      </c>
    </row>
    <row r="562" customFormat="false" ht="15" hidden="false" customHeight="false" outlineLevel="0" collapsed="false">
      <c r="A562" s="0" t="s">
        <v>1148</v>
      </c>
      <c r="B562" s="0" t="s">
        <v>79</v>
      </c>
      <c r="C562" s="0" t="s">
        <v>221</v>
      </c>
      <c r="D562" s="0" t="s">
        <v>650</v>
      </c>
      <c r="E562" s="0" t="s">
        <v>555</v>
      </c>
      <c r="F562" s="0" t="n">
        <v>313</v>
      </c>
      <c r="G562" s="0" t="n">
        <v>169.46</v>
      </c>
      <c r="H562" s="0" t="n">
        <v>97.07</v>
      </c>
      <c r="I562" s="0" t="n">
        <v>53040.98</v>
      </c>
      <c r="J562" s="0" t="n">
        <v>30382.91</v>
      </c>
      <c r="K562" s="0" t="n">
        <v>22658.07</v>
      </c>
    </row>
    <row r="563" customFormat="false" ht="15" hidden="false" customHeight="false" outlineLevel="0" collapsed="false">
      <c r="A563" s="0" t="s">
        <v>1149</v>
      </c>
      <c r="B563" s="0" t="s">
        <v>79</v>
      </c>
      <c r="C563" s="0" t="s">
        <v>221</v>
      </c>
      <c r="D563" s="0" t="s">
        <v>533</v>
      </c>
      <c r="E563" s="0" t="s">
        <v>534</v>
      </c>
      <c r="F563" s="0" t="n">
        <v>438</v>
      </c>
      <c r="G563" s="0" t="n">
        <v>199.02</v>
      </c>
      <c r="H563" s="0" t="n">
        <v>133.8</v>
      </c>
      <c r="I563" s="0" t="n">
        <v>87170.76</v>
      </c>
      <c r="J563" s="0" t="n">
        <v>58604.4</v>
      </c>
      <c r="K563" s="0" t="n">
        <v>28566.36</v>
      </c>
    </row>
    <row r="564" customFormat="false" ht="15" hidden="false" customHeight="false" outlineLevel="0" collapsed="false">
      <c r="A564" s="0" t="s">
        <v>1150</v>
      </c>
      <c r="B564" s="0" t="s">
        <v>79</v>
      </c>
      <c r="C564" s="0" t="s">
        <v>221</v>
      </c>
      <c r="D564" s="0" t="s">
        <v>536</v>
      </c>
      <c r="E564" s="0" t="s">
        <v>537</v>
      </c>
      <c r="F564" s="0" t="n">
        <v>457</v>
      </c>
      <c r="G564" s="0" t="n">
        <v>255.79</v>
      </c>
      <c r="H564" s="0" t="n">
        <v>156.36</v>
      </c>
      <c r="I564" s="0" t="n">
        <v>116896.03</v>
      </c>
      <c r="J564" s="0" t="n">
        <v>71456.52</v>
      </c>
      <c r="K564" s="0" t="n">
        <v>45439.51</v>
      </c>
    </row>
    <row r="565" customFormat="false" ht="15" hidden="false" customHeight="false" outlineLevel="0" collapsed="false">
      <c r="A565" s="0" t="s">
        <v>1151</v>
      </c>
      <c r="B565" s="0" t="s">
        <v>79</v>
      </c>
      <c r="C565" s="0" t="s">
        <v>221</v>
      </c>
      <c r="D565" s="0" t="s">
        <v>539</v>
      </c>
      <c r="E565" s="0" t="s">
        <v>540</v>
      </c>
      <c r="F565" s="0" t="n">
        <v>307</v>
      </c>
      <c r="G565" s="0" t="n">
        <v>259.19</v>
      </c>
      <c r="H565" s="0" t="n">
        <v>184.27</v>
      </c>
      <c r="I565" s="0" t="n">
        <v>79571.33</v>
      </c>
      <c r="J565" s="0" t="n">
        <v>56570.89</v>
      </c>
      <c r="K565" s="0" t="n">
        <v>23000.44</v>
      </c>
    </row>
    <row r="566" customFormat="false" ht="15" hidden="false" customHeight="false" outlineLevel="0" collapsed="false">
      <c r="A566" s="0" t="s">
        <v>1152</v>
      </c>
      <c r="B566" s="0" t="s">
        <v>79</v>
      </c>
      <c r="C566" s="0" t="s">
        <v>221</v>
      </c>
      <c r="D566" s="0" t="s">
        <v>542</v>
      </c>
      <c r="E566" s="0" t="s">
        <v>543</v>
      </c>
      <c r="F566" s="0" t="n">
        <v>114</v>
      </c>
      <c r="G566" s="0" t="n">
        <v>292.42</v>
      </c>
      <c r="H566" s="0" t="n">
        <v>209.37</v>
      </c>
      <c r="I566" s="0" t="n">
        <v>33335.88</v>
      </c>
      <c r="J566" s="0" t="n">
        <v>23868.18</v>
      </c>
      <c r="K566" s="0" t="n">
        <v>9467.7</v>
      </c>
    </row>
    <row r="567" customFormat="false" ht="15" hidden="false" customHeight="false" outlineLevel="0" collapsed="false">
      <c r="A567" s="0" t="s">
        <v>1153</v>
      </c>
      <c r="B567" s="0" t="s">
        <v>79</v>
      </c>
      <c r="C567" s="0" t="s">
        <v>221</v>
      </c>
      <c r="D567" s="0" t="s">
        <v>545</v>
      </c>
      <c r="E567" s="0" t="s">
        <v>546</v>
      </c>
      <c r="F567" s="0" t="n">
        <v>271</v>
      </c>
      <c r="G567" s="0" t="n">
        <v>105.24</v>
      </c>
      <c r="H567" s="0" t="n">
        <v>70.35</v>
      </c>
      <c r="I567" s="0" t="n">
        <v>28520.04</v>
      </c>
      <c r="J567" s="0" t="n">
        <v>19064.85</v>
      </c>
      <c r="K567" s="0" t="n">
        <v>9455.19</v>
      </c>
    </row>
    <row r="568" customFormat="false" ht="15" hidden="false" customHeight="false" outlineLevel="0" collapsed="false">
      <c r="A568" s="0" t="s">
        <v>1154</v>
      </c>
      <c r="B568" s="0" t="s">
        <v>79</v>
      </c>
      <c r="C568" s="0" t="s">
        <v>221</v>
      </c>
      <c r="D568" s="0" t="s">
        <v>548</v>
      </c>
      <c r="E568" s="0" t="s">
        <v>549</v>
      </c>
      <c r="F568" s="0" t="n">
        <v>166</v>
      </c>
      <c r="G568" s="0" t="n">
        <v>147.01</v>
      </c>
      <c r="H568" s="0" t="n">
        <v>80.12</v>
      </c>
      <c r="I568" s="0" t="n">
        <v>24403.66</v>
      </c>
      <c r="J568" s="0" t="n">
        <v>13299.92</v>
      </c>
      <c r="K568" s="0" t="n">
        <v>11103.74</v>
      </c>
    </row>
    <row r="569" customFormat="false" ht="15" hidden="false" customHeight="false" outlineLevel="0" collapsed="false">
      <c r="A569" s="0" t="s">
        <v>1155</v>
      </c>
      <c r="B569" s="0" t="s">
        <v>79</v>
      </c>
      <c r="C569" s="0" t="s">
        <v>221</v>
      </c>
      <c r="D569" s="0" t="s">
        <v>551</v>
      </c>
      <c r="E569" s="0" t="s">
        <v>552</v>
      </c>
      <c r="F569" s="0" t="n">
        <v>396</v>
      </c>
      <c r="G569" s="0" t="n">
        <v>185.85</v>
      </c>
      <c r="H569" s="0" t="n">
        <v>113.41</v>
      </c>
      <c r="I569" s="0" t="n">
        <v>73596.6</v>
      </c>
      <c r="J569" s="0" t="n">
        <v>44910.36</v>
      </c>
      <c r="K569" s="0" t="n">
        <v>28686.24</v>
      </c>
    </row>
    <row r="570" customFormat="false" ht="15" hidden="false" customHeight="false" outlineLevel="0" collapsed="false">
      <c r="A570" s="0" t="s">
        <v>1156</v>
      </c>
      <c r="B570" s="0" t="s">
        <v>79</v>
      </c>
      <c r="C570" s="0" t="s">
        <v>221</v>
      </c>
      <c r="D570" s="0" t="s">
        <v>554</v>
      </c>
      <c r="E570" s="0" t="s">
        <v>555</v>
      </c>
      <c r="F570" s="0" t="n">
        <v>149</v>
      </c>
      <c r="G570" s="0" t="n">
        <v>157.28</v>
      </c>
      <c r="H570" s="0" t="n">
        <v>101.13</v>
      </c>
      <c r="I570" s="0" t="n">
        <v>23434.72</v>
      </c>
      <c r="J570" s="0" t="n">
        <v>15068.37</v>
      </c>
      <c r="K570" s="0" t="n">
        <v>8366.35</v>
      </c>
    </row>
    <row r="571" customFormat="false" ht="15" hidden="false" customHeight="false" outlineLevel="0" collapsed="false">
      <c r="A571" s="0" t="s">
        <v>1157</v>
      </c>
      <c r="B571" s="0" t="s">
        <v>79</v>
      </c>
      <c r="C571" s="0" t="s">
        <v>221</v>
      </c>
      <c r="D571" s="0" t="s">
        <v>557</v>
      </c>
      <c r="E571" s="0" t="s">
        <v>534</v>
      </c>
      <c r="F571" s="0" t="n">
        <v>272</v>
      </c>
      <c r="G571" s="0" t="n">
        <v>196.79</v>
      </c>
      <c r="H571" s="0" t="n">
        <v>141.76</v>
      </c>
      <c r="I571" s="0" t="n">
        <v>53526.88</v>
      </c>
      <c r="J571" s="0" t="n">
        <v>38558.72</v>
      </c>
      <c r="K571" s="0" t="n">
        <v>14968.16</v>
      </c>
    </row>
    <row r="572" customFormat="false" ht="15" hidden="false" customHeight="false" outlineLevel="0" collapsed="false">
      <c r="A572" s="0" t="s">
        <v>1158</v>
      </c>
      <c r="B572" s="0" t="s">
        <v>79</v>
      </c>
      <c r="C572" s="0" t="s">
        <v>221</v>
      </c>
      <c r="D572" s="0" t="s">
        <v>559</v>
      </c>
      <c r="E572" s="0" t="s">
        <v>537</v>
      </c>
      <c r="F572" s="0" t="n">
        <v>101</v>
      </c>
      <c r="G572" s="0" t="n">
        <v>247.01</v>
      </c>
      <c r="H572" s="0" t="n">
        <v>162.47</v>
      </c>
      <c r="I572" s="0" t="n">
        <v>24948.01</v>
      </c>
      <c r="J572" s="0" t="n">
        <v>16409.47</v>
      </c>
      <c r="K572" s="0" t="n">
        <v>8538.54</v>
      </c>
    </row>
    <row r="573" customFormat="false" ht="15" hidden="false" customHeight="false" outlineLevel="0" collapsed="false">
      <c r="A573" s="0" t="s">
        <v>1159</v>
      </c>
      <c r="B573" s="0" t="s">
        <v>79</v>
      </c>
      <c r="C573" s="0" t="s">
        <v>221</v>
      </c>
      <c r="D573" s="0" t="s">
        <v>561</v>
      </c>
      <c r="E573" s="0" t="s">
        <v>540</v>
      </c>
      <c r="F573" s="0" t="n">
        <v>274</v>
      </c>
      <c r="G573" s="0" t="n">
        <v>262.74</v>
      </c>
      <c r="H573" s="0" t="n">
        <v>179.82</v>
      </c>
      <c r="I573" s="0" t="n">
        <v>71990.76</v>
      </c>
      <c r="J573" s="0" t="n">
        <v>49270.68</v>
      </c>
      <c r="K573" s="0" t="n">
        <v>22720.08</v>
      </c>
    </row>
    <row r="574" customFormat="false" ht="15" hidden="false" customHeight="false" outlineLevel="0" collapsed="false">
      <c r="A574" s="0" t="s">
        <v>1160</v>
      </c>
      <c r="B574" s="0" t="s">
        <v>79</v>
      </c>
      <c r="C574" s="0" t="s">
        <v>221</v>
      </c>
      <c r="D574" s="0" t="s">
        <v>563</v>
      </c>
      <c r="E574" s="0" t="s">
        <v>543</v>
      </c>
      <c r="F574" s="0" t="n">
        <v>378</v>
      </c>
      <c r="G574" s="0" t="n">
        <v>295.07</v>
      </c>
      <c r="H574" s="0" t="n">
        <v>202.81</v>
      </c>
      <c r="I574" s="0" t="n">
        <v>111536.46</v>
      </c>
      <c r="J574" s="0" t="n">
        <v>76662.18</v>
      </c>
      <c r="K574" s="0" t="n">
        <v>34874.28</v>
      </c>
    </row>
    <row r="575" customFormat="false" ht="15" hidden="false" customHeight="false" outlineLevel="0" collapsed="false">
      <c r="A575" s="0" t="s">
        <v>1161</v>
      </c>
      <c r="B575" s="0" t="s">
        <v>79</v>
      </c>
      <c r="C575" s="0" t="s">
        <v>221</v>
      </c>
      <c r="D575" s="0" t="s">
        <v>565</v>
      </c>
      <c r="E575" s="0" t="s">
        <v>546</v>
      </c>
      <c r="F575" s="0" t="n">
        <v>245</v>
      </c>
      <c r="G575" s="0" t="n">
        <v>107.19</v>
      </c>
      <c r="H575" s="0" t="n">
        <v>66.33</v>
      </c>
      <c r="I575" s="0" t="n">
        <v>26261.55</v>
      </c>
      <c r="J575" s="0" t="n">
        <v>16250.85</v>
      </c>
      <c r="K575" s="0" t="n">
        <v>10010.7</v>
      </c>
    </row>
    <row r="576" customFormat="false" ht="15" hidden="false" customHeight="false" outlineLevel="0" collapsed="false">
      <c r="A576" s="0" t="s">
        <v>1162</v>
      </c>
      <c r="B576" s="0" t="s">
        <v>79</v>
      </c>
      <c r="C576" s="0" t="s">
        <v>221</v>
      </c>
      <c r="D576" s="0" t="s">
        <v>567</v>
      </c>
      <c r="E576" s="0" t="s">
        <v>549</v>
      </c>
      <c r="F576" s="0" t="n">
        <v>143</v>
      </c>
      <c r="G576" s="0" t="n">
        <v>129.54</v>
      </c>
      <c r="H576" s="0" t="n">
        <v>80.55</v>
      </c>
      <c r="I576" s="0" t="n">
        <v>18524.22</v>
      </c>
      <c r="J576" s="0" t="n">
        <v>11518.65</v>
      </c>
      <c r="K576" s="0" t="n">
        <v>7005.57</v>
      </c>
    </row>
    <row r="577" customFormat="false" ht="15" hidden="false" customHeight="false" outlineLevel="0" collapsed="false">
      <c r="A577" s="0" t="s">
        <v>1163</v>
      </c>
      <c r="B577" s="0" t="s">
        <v>79</v>
      </c>
      <c r="C577" s="0" t="s">
        <v>221</v>
      </c>
      <c r="D577" s="0" t="s">
        <v>569</v>
      </c>
      <c r="E577" s="0" t="s">
        <v>552</v>
      </c>
      <c r="F577" s="0" t="n">
        <v>350</v>
      </c>
      <c r="G577" s="0" t="n">
        <v>178.66</v>
      </c>
      <c r="H577" s="0" t="n">
        <v>115.07</v>
      </c>
      <c r="I577" s="0" t="n">
        <v>62531</v>
      </c>
      <c r="J577" s="0" t="n">
        <v>40274.5</v>
      </c>
      <c r="K577" s="0" t="n">
        <v>22256.5</v>
      </c>
    </row>
    <row r="578" customFormat="false" ht="15" hidden="false" customHeight="false" outlineLevel="0" collapsed="false">
      <c r="A578" s="0" t="s">
        <v>1164</v>
      </c>
      <c r="B578" s="0" t="s">
        <v>80</v>
      </c>
      <c r="C578" s="0" t="s">
        <v>221</v>
      </c>
      <c r="D578" s="0" t="s">
        <v>533</v>
      </c>
      <c r="E578" s="0" t="s">
        <v>534</v>
      </c>
      <c r="F578" s="0" t="n">
        <v>219</v>
      </c>
      <c r="G578" s="0" t="n">
        <v>208.06</v>
      </c>
      <c r="H578" s="0" t="n">
        <v>137.87</v>
      </c>
      <c r="I578" s="0" t="n">
        <v>45565.14</v>
      </c>
      <c r="J578" s="0" t="n">
        <v>30193.53</v>
      </c>
      <c r="K578" s="0" t="n">
        <v>15371.61</v>
      </c>
    </row>
    <row r="579" customFormat="false" ht="15" hidden="false" customHeight="false" outlineLevel="0" collapsed="false">
      <c r="A579" s="0" t="s">
        <v>1165</v>
      </c>
      <c r="B579" s="0" t="s">
        <v>80</v>
      </c>
      <c r="C579" s="0" t="s">
        <v>221</v>
      </c>
      <c r="D579" s="0" t="s">
        <v>536</v>
      </c>
      <c r="E579" s="0" t="s">
        <v>537</v>
      </c>
      <c r="F579" s="0" t="n">
        <v>194</v>
      </c>
      <c r="G579" s="0" t="n">
        <v>259.98</v>
      </c>
      <c r="H579" s="0" t="n">
        <v>155.11</v>
      </c>
      <c r="I579" s="0" t="n">
        <v>50436.12</v>
      </c>
      <c r="J579" s="0" t="n">
        <v>30091.34</v>
      </c>
      <c r="K579" s="0" t="n">
        <v>20344.78</v>
      </c>
    </row>
    <row r="580" customFormat="false" ht="15" hidden="false" customHeight="false" outlineLevel="0" collapsed="false">
      <c r="A580" s="0" t="s">
        <v>1166</v>
      </c>
      <c r="B580" s="0" t="s">
        <v>80</v>
      </c>
      <c r="C580" s="0" t="s">
        <v>221</v>
      </c>
      <c r="D580" s="0" t="s">
        <v>539</v>
      </c>
      <c r="E580" s="0" t="s">
        <v>540</v>
      </c>
      <c r="F580" s="0" t="n">
        <v>336</v>
      </c>
      <c r="G580" s="0" t="n">
        <v>256.49</v>
      </c>
      <c r="H580" s="0" t="n">
        <v>166.95</v>
      </c>
      <c r="I580" s="0" t="n">
        <v>86180.64</v>
      </c>
      <c r="J580" s="0" t="n">
        <v>56095.2</v>
      </c>
      <c r="K580" s="0" t="n">
        <v>30085.44</v>
      </c>
    </row>
    <row r="581" customFormat="false" ht="15" hidden="false" customHeight="false" outlineLevel="0" collapsed="false">
      <c r="A581" s="0" t="s">
        <v>1167</v>
      </c>
      <c r="B581" s="0" t="s">
        <v>80</v>
      </c>
      <c r="C581" s="0" t="s">
        <v>221</v>
      </c>
      <c r="D581" s="0" t="s">
        <v>542</v>
      </c>
      <c r="E581" s="0" t="s">
        <v>543</v>
      </c>
      <c r="F581" s="0" t="n">
        <v>122</v>
      </c>
      <c r="G581" s="0" t="n">
        <v>308.35</v>
      </c>
      <c r="H581" s="0" t="n">
        <v>215.7</v>
      </c>
      <c r="I581" s="0" t="n">
        <v>37618.7</v>
      </c>
      <c r="J581" s="0" t="n">
        <v>26315.4</v>
      </c>
      <c r="K581" s="0" t="n">
        <v>11303.3</v>
      </c>
    </row>
    <row r="582" customFormat="false" ht="15" hidden="false" customHeight="false" outlineLevel="0" collapsed="false">
      <c r="A582" s="0" t="s">
        <v>1168</v>
      </c>
      <c r="B582" s="0" t="s">
        <v>80</v>
      </c>
      <c r="C582" s="0" t="s">
        <v>221</v>
      </c>
      <c r="D582" s="0" t="s">
        <v>545</v>
      </c>
      <c r="E582" s="0" t="s">
        <v>546</v>
      </c>
      <c r="F582" s="0" t="n">
        <v>312</v>
      </c>
      <c r="G582" s="0" t="n">
        <v>112.16</v>
      </c>
      <c r="H582" s="0" t="n">
        <v>70.84</v>
      </c>
      <c r="I582" s="0" t="n">
        <v>34993.92</v>
      </c>
      <c r="J582" s="0" t="n">
        <v>22102.08</v>
      </c>
      <c r="K582" s="0" t="n">
        <v>12891.84</v>
      </c>
    </row>
    <row r="583" customFormat="false" ht="15" hidden="false" customHeight="false" outlineLevel="0" collapsed="false">
      <c r="A583" s="0" t="s">
        <v>1169</v>
      </c>
      <c r="B583" s="0" t="s">
        <v>80</v>
      </c>
      <c r="C583" s="0" t="s">
        <v>221</v>
      </c>
      <c r="D583" s="0" t="s">
        <v>548</v>
      </c>
      <c r="E583" s="0" t="s">
        <v>549</v>
      </c>
      <c r="F583" s="0" t="n">
        <v>248</v>
      </c>
      <c r="G583" s="0" t="n">
        <v>141.64</v>
      </c>
      <c r="H583" s="0" t="n">
        <v>85.7</v>
      </c>
      <c r="I583" s="0" t="n">
        <v>35126.72</v>
      </c>
      <c r="J583" s="0" t="n">
        <v>21253.6</v>
      </c>
      <c r="K583" s="0" t="n">
        <v>13873.12</v>
      </c>
    </row>
    <row r="584" customFormat="false" ht="15" hidden="false" customHeight="false" outlineLevel="0" collapsed="false">
      <c r="A584" s="0" t="s">
        <v>1170</v>
      </c>
      <c r="B584" s="0" t="s">
        <v>80</v>
      </c>
      <c r="C584" s="0" t="s">
        <v>221</v>
      </c>
      <c r="D584" s="0" t="s">
        <v>551</v>
      </c>
      <c r="E584" s="0" t="s">
        <v>552</v>
      </c>
      <c r="F584" s="0" t="n">
        <v>366</v>
      </c>
      <c r="G584" s="0" t="n">
        <v>182.49</v>
      </c>
      <c r="H584" s="0" t="n">
        <v>119.5</v>
      </c>
      <c r="I584" s="0" t="n">
        <v>66791.34</v>
      </c>
      <c r="J584" s="0" t="n">
        <v>43737</v>
      </c>
      <c r="K584" s="0" t="n">
        <v>23054.34</v>
      </c>
    </row>
    <row r="585" customFormat="false" ht="15" hidden="false" customHeight="false" outlineLevel="0" collapsed="false">
      <c r="A585" s="0" t="s">
        <v>1171</v>
      </c>
      <c r="B585" s="0" t="s">
        <v>80</v>
      </c>
      <c r="C585" s="0" t="s">
        <v>221</v>
      </c>
      <c r="D585" s="0" t="s">
        <v>554</v>
      </c>
      <c r="E585" s="0" t="s">
        <v>555</v>
      </c>
      <c r="F585" s="0" t="n">
        <v>165</v>
      </c>
      <c r="G585" s="0" t="n">
        <v>171.94</v>
      </c>
      <c r="H585" s="0" t="n">
        <v>102.84</v>
      </c>
      <c r="I585" s="0" t="n">
        <v>28370.1</v>
      </c>
      <c r="J585" s="0" t="n">
        <v>16968.6</v>
      </c>
      <c r="K585" s="0" t="n">
        <v>11401.5</v>
      </c>
    </row>
    <row r="586" customFormat="false" ht="15" hidden="false" customHeight="false" outlineLevel="0" collapsed="false">
      <c r="A586" s="0" t="s">
        <v>1172</v>
      </c>
      <c r="B586" s="0" t="s">
        <v>80</v>
      </c>
      <c r="C586" s="0" t="s">
        <v>221</v>
      </c>
      <c r="D586" s="0" t="s">
        <v>557</v>
      </c>
      <c r="E586" s="0" t="s">
        <v>534</v>
      </c>
      <c r="F586" s="0" t="n">
        <v>411</v>
      </c>
      <c r="G586" s="0" t="n">
        <v>191.65</v>
      </c>
      <c r="H586" s="0" t="n">
        <v>132.45</v>
      </c>
      <c r="I586" s="0" t="n">
        <v>78768.15</v>
      </c>
      <c r="J586" s="0" t="n">
        <v>54436.95</v>
      </c>
      <c r="K586" s="0" t="n">
        <v>24331.2</v>
      </c>
    </row>
    <row r="587" customFormat="false" ht="15" hidden="false" customHeight="false" outlineLevel="0" collapsed="false">
      <c r="A587" s="0" t="s">
        <v>1173</v>
      </c>
      <c r="B587" s="0" t="s">
        <v>80</v>
      </c>
      <c r="C587" s="0" t="s">
        <v>221</v>
      </c>
      <c r="D587" s="0" t="s">
        <v>559</v>
      </c>
      <c r="E587" s="0" t="s">
        <v>537</v>
      </c>
      <c r="F587" s="0" t="n">
        <v>199</v>
      </c>
      <c r="G587" s="0" t="n">
        <v>230.97</v>
      </c>
      <c r="H587" s="0" t="n">
        <v>153.52</v>
      </c>
      <c r="I587" s="0" t="n">
        <v>45963.03</v>
      </c>
      <c r="J587" s="0" t="n">
        <v>30550.48</v>
      </c>
      <c r="K587" s="0" t="n">
        <v>15412.55</v>
      </c>
    </row>
    <row r="588" customFormat="false" ht="15" hidden="false" customHeight="false" outlineLevel="0" collapsed="false">
      <c r="A588" s="0" t="s">
        <v>1174</v>
      </c>
      <c r="B588" s="0" t="s">
        <v>80</v>
      </c>
      <c r="C588" s="0" t="s">
        <v>221</v>
      </c>
      <c r="D588" s="0" t="s">
        <v>561</v>
      </c>
      <c r="E588" s="0" t="s">
        <v>540</v>
      </c>
      <c r="F588" s="0" t="n">
        <v>156</v>
      </c>
      <c r="G588" s="0" t="n">
        <v>257.82</v>
      </c>
      <c r="H588" s="0" t="n">
        <v>174.3</v>
      </c>
      <c r="I588" s="0" t="n">
        <v>40219.92</v>
      </c>
      <c r="J588" s="0" t="n">
        <v>27190.8</v>
      </c>
      <c r="K588" s="0" t="n">
        <v>13029.12</v>
      </c>
    </row>
    <row r="589" customFormat="false" ht="15" hidden="false" customHeight="false" outlineLevel="0" collapsed="false">
      <c r="A589" s="0" t="s">
        <v>1175</v>
      </c>
      <c r="B589" s="0" t="s">
        <v>80</v>
      </c>
      <c r="C589" s="0" t="s">
        <v>221</v>
      </c>
      <c r="D589" s="0" t="s">
        <v>563</v>
      </c>
      <c r="E589" s="0" t="s">
        <v>543</v>
      </c>
      <c r="F589" s="0" t="n">
        <v>269</v>
      </c>
      <c r="G589" s="0" t="n">
        <v>312.66</v>
      </c>
      <c r="H589" s="0" t="n">
        <v>202.86</v>
      </c>
      <c r="I589" s="0" t="n">
        <v>84105.54</v>
      </c>
      <c r="J589" s="0" t="n">
        <v>54569.34</v>
      </c>
      <c r="K589" s="0" t="n">
        <v>29536.2</v>
      </c>
    </row>
    <row r="590" customFormat="false" ht="15" hidden="false" customHeight="false" outlineLevel="0" collapsed="false">
      <c r="A590" s="0" t="s">
        <v>1176</v>
      </c>
      <c r="B590" s="0" t="s">
        <v>80</v>
      </c>
      <c r="C590" s="0" t="s">
        <v>221</v>
      </c>
      <c r="D590" s="0" t="s">
        <v>565</v>
      </c>
      <c r="E590" s="0" t="s">
        <v>546</v>
      </c>
      <c r="F590" s="0" t="n">
        <v>367</v>
      </c>
      <c r="G590" s="0" t="n">
        <v>99.76</v>
      </c>
      <c r="H590" s="0" t="n">
        <v>71.43</v>
      </c>
      <c r="I590" s="0" t="n">
        <v>36611.92</v>
      </c>
      <c r="J590" s="0" t="n">
        <v>26214.81</v>
      </c>
      <c r="K590" s="0" t="n">
        <v>10397.11</v>
      </c>
    </row>
    <row r="591" customFormat="false" ht="15" hidden="false" customHeight="false" outlineLevel="0" collapsed="false">
      <c r="A591" s="0" t="s">
        <v>1177</v>
      </c>
      <c r="B591" s="0" t="s">
        <v>80</v>
      </c>
      <c r="C591" s="0" t="s">
        <v>221</v>
      </c>
      <c r="D591" s="0" t="s">
        <v>567</v>
      </c>
      <c r="E591" s="0" t="s">
        <v>549</v>
      </c>
      <c r="F591" s="0" t="n">
        <v>118</v>
      </c>
      <c r="G591" s="0" t="n">
        <v>134.88</v>
      </c>
      <c r="H591" s="0" t="n">
        <v>88.56</v>
      </c>
      <c r="I591" s="0" t="n">
        <v>15915.84</v>
      </c>
      <c r="J591" s="0" t="n">
        <v>10450.08</v>
      </c>
      <c r="K591" s="0" t="n">
        <v>5465.76</v>
      </c>
    </row>
    <row r="592" customFormat="false" ht="15" hidden="false" customHeight="false" outlineLevel="0" collapsed="false">
      <c r="A592" s="0" t="s">
        <v>1178</v>
      </c>
      <c r="B592" s="0" t="s">
        <v>80</v>
      </c>
      <c r="C592" s="0" t="s">
        <v>221</v>
      </c>
      <c r="D592" s="0" t="s">
        <v>569</v>
      </c>
      <c r="E592" s="0" t="s">
        <v>552</v>
      </c>
      <c r="F592" s="0" t="n">
        <v>453</v>
      </c>
      <c r="G592" s="0" t="n">
        <v>180.92</v>
      </c>
      <c r="H592" s="0" t="n">
        <v>113.04</v>
      </c>
      <c r="I592" s="0" t="n">
        <v>81956.76</v>
      </c>
      <c r="J592" s="0" t="n">
        <v>51207.12</v>
      </c>
      <c r="K592" s="0" t="n">
        <v>30749.64</v>
      </c>
    </row>
    <row r="593" customFormat="false" ht="15" hidden="false" customHeight="false" outlineLevel="0" collapsed="false">
      <c r="A593" s="0" t="s">
        <v>1179</v>
      </c>
      <c r="B593" s="0" t="s">
        <v>80</v>
      </c>
      <c r="C593" s="0" t="s">
        <v>221</v>
      </c>
      <c r="D593" s="0" t="s">
        <v>571</v>
      </c>
      <c r="E593" s="0" t="s">
        <v>555</v>
      </c>
      <c r="F593" s="0" t="n">
        <v>294</v>
      </c>
      <c r="G593" s="0" t="n">
        <v>174.48</v>
      </c>
      <c r="H593" s="0" t="n">
        <v>93.01</v>
      </c>
      <c r="I593" s="0" t="n">
        <v>51297.12</v>
      </c>
      <c r="J593" s="0" t="n">
        <v>27344.94</v>
      </c>
      <c r="K593" s="0" t="n">
        <v>23952.18</v>
      </c>
    </row>
    <row r="594" customFormat="false" ht="15" hidden="false" customHeight="false" outlineLevel="0" collapsed="false">
      <c r="A594" s="0" t="s">
        <v>1180</v>
      </c>
      <c r="B594" s="0" t="s">
        <v>80</v>
      </c>
      <c r="C594" s="0" t="s">
        <v>221</v>
      </c>
      <c r="D594" s="0" t="s">
        <v>573</v>
      </c>
      <c r="E594" s="0" t="s">
        <v>534</v>
      </c>
      <c r="F594" s="0" t="n">
        <v>247</v>
      </c>
      <c r="G594" s="0" t="n">
        <v>204.44</v>
      </c>
      <c r="H594" s="0" t="n">
        <v>133.85</v>
      </c>
      <c r="I594" s="0" t="n">
        <v>50496.68</v>
      </c>
      <c r="J594" s="0" t="n">
        <v>33060.95</v>
      </c>
      <c r="K594" s="0" t="n">
        <v>17435.73</v>
      </c>
    </row>
    <row r="595" customFormat="false" ht="15" hidden="false" customHeight="false" outlineLevel="0" collapsed="false">
      <c r="A595" s="0" t="s">
        <v>1181</v>
      </c>
      <c r="B595" s="0" t="s">
        <v>80</v>
      </c>
      <c r="C595" s="0" t="s">
        <v>221</v>
      </c>
      <c r="D595" s="0" t="s">
        <v>575</v>
      </c>
      <c r="E595" s="0" t="s">
        <v>537</v>
      </c>
      <c r="F595" s="0" t="n">
        <v>433</v>
      </c>
      <c r="G595" s="0" t="n">
        <v>244.1</v>
      </c>
      <c r="H595" s="0" t="n">
        <v>152.16</v>
      </c>
      <c r="I595" s="0" t="n">
        <v>105695.3</v>
      </c>
      <c r="J595" s="0" t="n">
        <v>65885.28</v>
      </c>
      <c r="K595" s="0" t="n">
        <v>39810.02</v>
      </c>
    </row>
    <row r="596" customFormat="false" ht="15" hidden="false" customHeight="false" outlineLevel="0" collapsed="false">
      <c r="A596" s="0" t="s">
        <v>1182</v>
      </c>
      <c r="B596" s="0" t="s">
        <v>80</v>
      </c>
      <c r="C596" s="0" t="s">
        <v>221</v>
      </c>
      <c r="D596" s="0" t="s">
        <v>577</v>
      </c>
      <c r="E596" s="0" t="s">
        <v>540</v>
      </c>
      <c r="F596" s="0" t="n">
        <v>367</v>
      </c>
      <c r="G596" s="0" t="n">
        <v>272.49</v>
      </c>
      <c r="H596" s="0" t="n">
        <v>167.89</v>
      </c>
      <c r="I596" s="0" t="n">
        <v>100003.83</v>
      </c>
      <c r="J596" s="0" t="n">
        <v>61615.63</v>
      </c>
      <c r="K596" s="0" t="n">
        <v>38388.2</v>
      </c>
    </row>
    <row r="597" customFormat="false" ht="15" hidden="false" customHeight="false" outlineLevel="0" collapsed="false">
      <c r="A597" s="0" t="s">
        <v>1183</v>
      </c>
      <c r="B597" s="0" t="s">
        <v>80</v>
      </c>
      <c r="C597" s="0" t="s">
        <v>221</v>
      </c>
      <c r="D597" s="0" t="s">
        <v>579</v>
      </c>
      <c r="E597" s="0" t="s">
        <v>543</v>
      </c>
      <c r="F597" s="0" t="n">
        <v>151</v>
      </c>
      <c r="G597" s="0" t="n">
        <v>307.53</v>
      </c>
      <c r="H597" s="0" t="n">
        <v>216</v>
      </c>
      <c r="I597" s="0" t="n">
        <v>46437.03</v>
      </c>
      <c r="J597" s="0" t="n">
        <v>32616</v>
      </c>
      <c r="K597" s="0" t="n">
        <v>13821.03</v>
      </c>
    </row>
    <row r="598" customFormat="false" ht="15" hidden="false" customHeight="false" outlineLevel="0" collapsed="false">
      <c r="A598" s="0" t="s">
        <v>1184</v>
      </c>
      <c r="B598" s="0" t="s">
        <v>80</v>
      </c>
      <c r="C598" s="0" t="s">
        <v>221</v>
      </c>
      <c r="D598" s="0" t="s">
        <v>581</v>
      </c>
      <c r="E598" s="0" t="s">
        <v>546</v>
      </c>
      <c r="F598" s="0" t="n">
        <v>113</v>
      </c>
      <c r="G598" s="0" t="n">
        <v>109.79</v>
      </c>
      <c r="H598" s="0" t="n">
        <v>68.49</v>
      </c>
      <c r="I598" s="0" t="n">
        <v>12406.27</v>
      </c>
      <c r="J598" s="0" t="n">
        <v>7739.37</v>
      </c>
      <c r="K598" s="0" t="n">
        <v>4666.9</v>
      </c>
    </row>
    <row r="599" customFormat="false" ht="15" hidden="false" customHeight="false" outlineLevel="0" collapsed="false">
      <c r="A599" s="0" t="s">
        <v>1185</v>
      </c>
      <c r="B599" s="0" t="s">
        <v>80</v>
      </c>
      <c r="C599" s="0" t="s">
        <v>221</v>
      </c>
      <c r="D599" s="0" t="s">
        <v>583</v>
      </c>
      <c r="E599" s="0" t="s">
        <v>549</v>
      </c>
      <c r="F599" s="0" t="n">
        <v>240</v>
      </c>
      <c r="G599" s="0" t="n">
        <v>132.15</v>
      </c>
      <c r="H599" s="0" t="n">
        <v>81.89</v>
      </c>
      <c r="I599" s="0" t="n">
        <v>31716</v>
      </c>
      <c r="J599" s="0" t="n">
        <v>19653.6</v>
      </c>
      <c r="K599" s="0" t="n">
        <v>12062.4</v>
      </c>
    </row>
    <row r="600" customFormat="false" ht="15" hidden="false" customHeight="false" outlineLevel="0" collapsed="false">
      <c r="A600" s="0" t="s">
        <v>1186</v>
      </c>
      <c r="B600" s="0" t="s">
        <v>80</v>
      </c>
      <c r="C600" s="0" t="s">
        <v>221</v>
      </c>
      <c r="D600" s="0" t="s">
        <v>585</v>
      </c>
      <c r="E600" s="0" t="s">
        <v>552</v>
      </c>
      <c r="F600" s="0" t="n">
        <v>448</v>
      </c>
      <c r="G600" s="0" t="n">
        <v>174.67</v>
      </c>
      <c r="H600" s="0" t="n">
        <v>120.25</v>
      </c>
      <c r="I600" s="0" t="n">
        <v>78252.16</v>
      </c>
      <c r="J600" s="0" t="n">
        <v>53872</v>
      </c>
      <c r="K600" s="0" t="n">
        <v>24380.16</v>
      </c>
    </row>
    <row r="601" customFormat="false" ht="15" hidden="false" customHeight="false" outlineLevel="0" collapsed="false">
      <c r="A601" s="0" t="s">
        <v>1187</v>
      </c>
      <c r="B601" s="0" t="s">
        <v>80</v>
      </c>
      <c r="C601" s="0" t="s">
        <v>221</v>
      </c>
      <c r="D601" s="0" t="s">
        <v>587</v>
      </c>
      <c r="E601" s="0" t="s">
        <v>555</v>
      </c>
      <c r="F601" s="0" t="n">
        <v>350</v>
      </c>
      <c r="G601" s="0" t="n">
        <v>176.11</v>
      </c>
      <c r="H601" s="0" t="n">
        <v>101.91</v>
      </c>
      <c r="I601" s="0" t="n">
        <v>61638.5</v>
      </c>
      <c r="J601" s="0" t="n">
        <v>35668.5</v>
      </c>
      <c r="K601" s="0" t="n">
        <v>25970</v>
      </c>
    </row>
    <row r="602" customFormat="false" ht="15" hidden="false" customHeight="false" outlineLevel="0" collapsed="false">
      <c r="A602" s="0" t="s">
        <v>1188</v>
      </c>
      <c r="B602" s="0" t="s">
        <v>80</v>
      </c>
      <c r="C602" s="0" t="s">
        <v>221</v>
      </c>
      <c r="D602" s="0" t="s">
        <v>589</v>
      </c>
      <c r="E602" s="0" t="s">
        <v>534</v>
      </c>
      <c r="F602" s="0" t="n">
        <v>213</v>
      </c>
      <c r="G602" s="0" t="n">
        <v>192.26</v>
      </c>
      <c r="H602" s="0" t="n">
        <v>141.87</v>
      </c>
      <c r="I602" s="0" t="n">
        <v>40951.38</v>
      </c>
      <c r="J602" s="0" t="n">
        <v>30218.31</v>
      </c>
      <c r="K602" s="0" t="n">
        <v>10733.07</v>
      </c>
    </row>
    <row r="603" customFormat="false" ht="15" hidden="false" customHeight="false" outlineLevel="0" collapsed="false">
      <c r="A603" s="0" t="s">
        <v>1189</v>
      </c>
      <c r="B603" s="0" t="s">
        <v>80</v>
      </c>
      <c r="C603" s="0" t="s">
        <v>221</v>
      </c>
      <c r="D603" s="0" t="s">
        <v>591</v>
      </c>
      <c r="E603" s="0" t="s">
        <v>537</v>
      </c>
      <c r="F603" s="0" t="n">
        <v>225</v>
      </c>
      <c r="G603" s="0" t="n">
        <v>231.1</v>
      </c>
      <c r="H603" s="0" t="n">
        <v>155.43</v>
      </c>
      <c r="I603" s="0" t="n">
        <v>51997.5</v>
      </c>
      <c r="J603" s="0" t="n">
        <v>34971.75</v>
      </c>
      <c r="K603" s="0" t="n">
        <v>17025.75</v>
      </c>
    </row>
    <row r="604" customFormat="false" ht="15" hidden="false" customHeight="false" outlineLevel="0" collapsed="false">
      <c r="A604" s="0" t="s">
        <v>1190</v>
      </c>
      <c r="B604" s="0" t="s">
        <v>80</v>
      </c>
      <c r="C604" s="0" t="s">
        <v>221</v>
      </c>
      <c r="D604" s="0" t="s">
        <v>593</v>
      </c>
      <c r="E604" s="0" t="s">
        <v>540</v>
      </c>
      <c r="F604" s="0" t="n">
        <v>358</v>
      </c>
      <c r="G604" s="0" t="n">
        <v>252.6</v>
      </c>
      <c r="H604" s="0" t="n">
        <v>177.31</v>
      </c>
      <c r="I604" s="0" t="n">
        <v>90430.8</v>
      </c>
      <c r="J604" s="0" t="n">
        <v>63476.98</v>
      </c>
      <c r="K604" s="0" t="n">
        <v>26953.82</v>
      </c>
    </row>
    <row r="605" customFormat="false" ht="15" hidden="false" customHeight="false" outlineLevel="0" collapsed="false">
      <c r="A605" s="0" t="s">
        <v>1191</v>
      </c>
      <c r="B605" s="0" t="s">
        <v>80</v>
      </c>
      <c r="C605" s="0" t="s">
        <v>221</v>
      </c>
      <c r="D605" s="0" t="s">
        <v>595</v>
      </c>
      <c r="E605" s="0" t="s">
        <v>543</v>
      </c>
      <c r="F605" s="0" t="n">
        <v>388</v>
      </c>
      <c r="G605" s="0" t="n">
        <v>329.03</v>
      </c>
      <c r="H605" s="0" t="n">
        <v>197.66</v>
      </c>
      <c r="I605" s="0" t="n">
        <v>127663.64</v>
      </c>
      <c r="J605" s="0" t="n">
        <v>76692.08</v>
      </c>
      <c r="K605" s="0" t="n">
        <v>50971.56</v>
      </c>
    </row>
    <row r="606" customFormat="false" ht="15" hidden="false" customHeight="false" outlineLevel="0" collapsed="false">
      <c r="A606" s="0" t="s">
        <v>1192</v>
      </c>
      <c r="B606" s="0" t="s">
        <v>80</v>
      </c>
      <c r="C606" s="0" t="s">
        <v>221</v>
      </c>
      <c r="D606" s="0" t="s">
        <v>597</v>
      </c>
      <c r="E606" s="0" t="s">
        <v>546</v>
      </c>
      <c r="F606" s="0" t="n">
        <v>422</v>
      </c>
      <c r="G606" s="0" t="n">
        <v>106.83</v>
      </c>
      <c r="H606" s="0" t="n">
        <v>71.57</v>
      </c>
      <c r="I606" s="0" t="n">
        <v>45082.26</v>
      </c>
      <c r="J606" s="0" t="n">
        <v>30202.54</v>
      </c>
      <c r="K606" s="0" t="n">
        <v>14879.72</v>
      </c>
    </row>
    <row r="607" customFormat="false" ht="15" hidden="false" customHeight="false" outlineLevel="0" collapsed="false">
      <c r="A607" s="0" t="s">
        <v>1193</v>
      </c>
      <c r="B607" s="0" t="s">
        <v>80</v>
      </c>
      <c r="C607" s="0" t="s">
        <v>221</v>
      </c>
      <c r="D607" s="0" t="s">
        <v>599</v>
      </c>
      <c r="E607" s="0" t="s">
        <v>549</v>
      </c>
      <c r="F607" s="0" t="n">
        <v>257</v>
      </c>
      <c r="G607" s="0" t="n">
        <v>144.93</v>
      </c>
      <c r="H607" s="0" t="n">
        <v>84.27</v>
      </c>
      <c r="I607" s="0" t="n">
        <v>37247.01</v>
      </c>
      <c r="J607" s="0" t="n">
        <v>21657.39</v>
      </c>
      <c r="K607" s="0" t="n">
        <v>15589.62</v>
      </c>
    </row>
    <row r="608" customFormat="false" ht="15" hidden="false" customHeight="false" outlineLevel="0" collapsed="false">
      <c r="A608" s="0" t="s">
        <v>1194</v>
      </c>
      <c r="B608" s="0" t="s">
        <v>80</v>
      </c>
      <c r="C608" s="0" t="s">
        <v>221</v>
      </c>
      <c r="D608" s="0" t="s">
        <v>601</v>
      </c>
      <c r="E608" s="0" t="s">
        <v>552</v>
      </c>
      <c r="F608" s="0" t="n">
        <v>99</v>
      </c>
      <c r="G608" s="0" t="n">
        <v>171.11</v>
      </c>
      <c r="H608" s="0" t="n">
        <v>120.27</v>
      </c>
      <c r="I608" s="0" t="n">
        <v>16939.89</v>
      </c>
      <c r="J608" s="0" t="n">
        <v>11906.73</v>
      </c>
      <c r="K608" s="0" t="n">
        <v>5033.16</v>
      </c>
    </row>
    <row r="609" customFormat="false" ht="15" hidden="false" customHeight="false" outlineLevel="0" collapsed="false">
      <c r="A609" s="0" t="s">
        <v>1195</v>
      </c>
      <c r="B609" s="0" t="s">
        <v>80</v>
      </c>
      <c r="C609" s="0" t="s">
        <v>221</v>
      </c>
      <c r="D609" s="0" t="s">
        <v>603</v>
      </c>
      <c r="E609" s="0" t="s">
        <v>555</v>
      </c>
      <c r="F609" s="0" t="n">
        <v>380</v>
      </c>
      <c r="G609" s="0" t="n">
        <v>161.77</v>
      </c>
      <c r="H609" s="0" t="n">
        <v>94.59</v>
      </c>
      <c r="I609" s="0" t="n">
        <v>61472.6</v>
      </c>
      <c r="J609" s="0" t="n">
        <v>35944.2</v>
      </c>
      <c r="K609" s="0" t="n">
        <v>25528.4</v>
      </c>
    </row>
    <row r="610" customFormat="false" ht="15" hidden="false" customHeight="false" outlineLevel="0" collapsed="false">
      <c r="A610" s="0" t="s">
        <v>1196</v>
      </c>
      <c r="B610" s="0" t="s">
        <v>80</v>
      </c>
      <c r="C610" s="0" t="s">
        <v>221</v>
      </c>
      <c r="D610" s="0" t="s">
        <v>605</v>
      </c>
      <c r="E610" s="0" t="s">
        <v>534</v>
      </c>
      <c r="F610" s="0" t="n">
        <v>377</v>
      </c>
      <c r="G610" s="0" t="n">
        <v>198.27</v>
      </c>
      <c r="H610" s="0" t="n">
        <v>136.84</v>
      </c>
      <c r="I610" s="0" t="n">
        <v>74747.79</v>
      </c>
      <c r="J610" s="0" t="n">
        <v>51588.68</v>
      </c>
      <c r="K610" s="0" t="n">
        <v>23159.11</v>
      </c>
    </row>
    <row r="611" customFormat="false" ht="15" hidden="false" customHeight="false" outlineLevel="0" collapsed="false">
      <c r="A611" s="0" t="s">
        <v>1197</v>
      </c>
      <c r="B611" s="0" t="s">
        <v>80</v>
      </c>
      <c r="C611" s="0" t="s">
        <v>221</v>
      </c>
      <c r="D611" s="0" t="s">
        <v>607</v>
      </c>
      <c r="E611" s="0" t="s">
        <v>537</v>
      </c>
      <c r="F611" s="0" t="n">
        <v>339</v>
      </c>
      <c r="G611" s="0" t="n">
        <v>256.42</v>
      </c>
      <c r="H611" s="0" t="n">
        <v>159.97</v>
      </c>
      <c r="I611" s="0" t="n">
        <v>86926.38</v>
      </c>
      <c r="J611" s="0" t="n">
        <v>54229.83</v>
      </c>
      <c r="K611" s="0" t="n">
        <v>32696.55</v>
      </c>
    </row>
    <row r="612" customFormat="false" ht="15" hidden="false" customHeight="false" outlineLevel="0" collapsed="false">
      <c r="A612" s="0" t="s">
        <v>1198</v>
      </c>
      <c r="B612" s="0" t="s">
        <v>80</v>
      </c>
      <c r="C612" s="0" t="s">
        <v>221</v>
      </c>
      <c r="D612" s="0" t="s">
        <v>609</v>
      </c>
      <c r="E612" s="0" t="s">
        <v>540</v>
      </c>
      <c r="F612" s="0" t="n">
        <v>413</v>
      </c>
      <c r="G612" s="0" t="n">
        <v>284.02</v>
      </c>
      <c r="H612" s="0" t="n">
        <v>174.07</v>
      </c>
      <c r="I612" s="0" t="n">
        <v>117300.26</v>
      </c>
      <c r="J612" s="0" t="n">
        <v>71890.91</v>
      </c>
      <c r="K612" s="0" t="n">
        <v>45409.35</v>
      </c>
    </row>
    <row r="613" customFormat="false" ht="15" hidden="false" customHeight="false" outlineLevel="0" collapsed="false">
      <c r="A613" s="0" t="s">
        <v>1199</v>
      </c>
      <c r="B613" s="0" t="s">
        <v>80</v>
      </c>
      <c r="C613" s="0" t="s">
        <v>221</v>
      </c>
      <c r="D613" s="0" t="s">
        <v>611</v>
      </c>
      <c r="E613" s="0" t="s">
        <v>543</v>
      </c>
      <c r="F613" s="0" t="n">
        <v>435</v>
      </c>
      <c r="G613" s="0" t="n">
        <v>306.41</v>
      </c>
      <c r="H613" s="0" t="n">
        <v>204.91</v>
      </c>
      <c r="I613" s="0" t="n">
        <v>133288.35</v>
      </c>
      <c r="J613" s="0" t="n">
        <v>89135.85</v>
      </c>
      <c r="K613" s="0" t="n">
        <v>44152.5</v>
      </c>
    </row>
    <row r="614" customFormat="false" ht="15" hidden="false" customHeight="false" outlineLevel="0" collapsed="false">
      <c r="A614" s="0" t="s">
        <v>1200</v>
      </c>
      <c r="B614" s="0" t="s">
        <v>81</v>
      </c>
      <c r="C614" s="0" t="s">
        <v>221</v>
      </c>
      <c r="D614" s="0" t="s">
        <v>583</v>
      </c>
      <c r="E614" s="0" t="s">
        <v>549</v>
      </c>
      <c r="F614" s="0" t="n">
        <v>437</v>
      </c>
      <c r="G614" s="0" t="n">
        <v>130.18</v>
      </c>
      <c r="H614" s="0" t="n">
        <v>83.05</v>
      </c>
      <c r="I614" s="0" t="n">
        <v>56888.66</v>
      </c>
      <c r="J614" s="0" t="n">
        <v>36292.85</v>
      </c>
      <c r="K614" s="0" t="n">
        <v>20595.81</v>
      </c>
    </row>
    <row r="615" customFormat="false" ht="15" hidden="false" customHeight="false" outlineLevel="0" collapsed="false">
      <c r="A615" s="0" t="s">
        <v>1201</v>
      </c>
      <c r="B615" s="0" t="s">
        <v>81</v>
      </c>
      <c r="C615" s="0" t="s">
        <v>221</v>
      </c>
      <c r="D615" s="0" t="s">
        <v>585</v>
      </c>
      <c r="E615" s="0" t="s">
        <v>552</v>
      </c>
      <c r="F615" s="0" t="n">
        <v>332</v>
      </c>
      <c r="G615" s="0" t="n">
        <v>180.57</v>
      </c>
      <c r="H615" s="0" t="n">
        <v>112.09</v>
      </c>
      <c r="I615" s="0" t="n">
        <v>59949.24</v>
      </c>
      <c r="J615" s="0" t="n">
        <v>37213.88</v>
      </c>
      <c r="K615" s="0" t="n">
        <v>22735.36</v>
      </c>
    </row>
    <row r="616" customFormat="false" ht="15" hidden="false" customHeight="false" outlineLevel="0" collapsed="false">
      <c r="A616" s="0" t="s">
        <v>1202</v>
      </c>
      <c r="B616" s="0" t="s">
        <v>81</v>
      </c>
      <c r="C616" s="0" t="s">
        <v>221</v>
      </c>
      <c r="D616" s="0" t="s">
        <v>587</v>
      </c>
      <c r="E616" s="0" t="s">
        <v>555</v>
      </c>
      <c r="F616" s="0" t="n">
        <v>158</v>
      </c>
      <c r="G616" s="0" t="n">
        <v>162.86</v>
      </c>
      <c r="H616" s="0" t="n">
        <v>100.44</v>
      </c>
      <c r="I616" s="0" t="n">
        <v>25731.88</v>
      </c>
      <c r="J616" s="0" t="n">
        <v>15869.52</v>
      </c>
      <c r="K616" s="0" t="n">
        <v>9862.36</v>
      </c>
    </row>
    <row r="617" customFormat="false" ht="15" hidden="false" customHeight="false" outlineLevel="0" collapsed="false">
      <c r="A617" s="0" t="s">
        <v>1203</v>
      </c>
      <c r="B617" s="0" t="s">
        <v>81</v>
      </c>
      <c r="C617" s="0" t="s">
        <v>221</v>
      </c>
      <c r="D617" s="0" t="s">
        <v>589</v>
      </c>
      <c r="E617" s="0" t="s">
        <v>534</v>
      </c>
      <c r="F617" s="0" t="n">
        <v>460</v>
      </c>
      <c r="G617" s="0" t="n">
        <v>213.87</v>
      </c>
      <c r="H617" s="0" t="n">
        <v>132.19</v>
      </c>
      <c r="I617" s="0" t="n">
        <v>98380.2</v>
      </c>
      <c r="J617" s="0" t="n">
        <v>60807.4</v>
      </c>
      <c r="K617" s="0" t="n">
        <v>37572.8</v>
      </c>
    </row>
    <row r="618" customFormat="false" ht="15" hidden="false" customHeight="false" outlineLevel="0" collapsed="false">
      <c r="A618" s="0" t="s">
        <v>1204</v>
      </c>
      <c r="B618" s="0" t="s">
        <v>81</v>
      </c>
      <c r="C618" s="0" t="s">
        <v>221</v>
      </c>
      <c r="D618" s="0" t="s">
        <v>591</v>
      </c>
      <c r="E618" s="0" t="s">
        <v>537</v>
      </c>
      <c r="F618" s="0" t="n">
        <v>289</v>
      </c>
      <c r="G618" s="0" t="n">
        <v>231.28</v>
      </c>
      <c r="H618" s="0" t="n">
        <v>156.7</v>
      </c>
      <c r="I618" s="0" t="n">
        <v>66839.92</v>
      </c>
      <c r="J618" s="0" t="n">
        <v>45286.3</v>
      </c>
      <c r="K618" s="0" t="n">
        <v>21553.62</v>
      </c>
    </row>
    <row r="619" customFormat="false" ht="15" hidden="false" customHeight="false" outlineLevel="0" collapsed="false">
      <c r="A619" s="0" t="s">
        <v>1205</v>
      </c>
      <c r="B619" s="0" t="s">
        <v>81</v>
      </c>
      <c r="C619" s="0" t="s">
        <v>221</v>
      </c>
      <c r="D619" s="0" t="s">
        <v>593</v>
      </c>
      <c r="E619" s="0" t="s">
        <v>540</v>
      </c>
      <c r="F619" s="0" t="n">
        <v>372</v>
      </c>
      <c r="G619" s="0" t="n">
        <v>253.07</v>
      </c>
      <c r="H619" s="0" t="n">
        <v>169.12</v>
      </c>
      <c r="I619" s="0" t="n">
        <v>94142.04</v>
      </c>
      <c r="J619" s="0" t="n">
        <v>62912.64</v>
      </c>
      <c r="K619" s="0" t="n">
        <v>31229.4</v>
      </c>
    </row>
    <row r="620" customFormat="false" ht="15" hidden="false" customHeight="false" outlineLevel="0" collapsed="false">
      <c r="A620" s="0" t="s">
        <v>1206</v>
      </c>
      <c r="B620" s="0" t="s">
        <v>81</v>
      </c>
      <c r="C620" s="0" t="s">
        <v>221</v>
      </c>
      <c r="D620" s="0" t="s">
        <v>595</v>
      </c>
      <c r="E620" s="0" t="s">
        <v>543</v>
      </c>
      <c r="F620" s="0" t="n">
        <v>147</v>
      </c>
      <c r="G620" s="0" t="n">
        <v>300.55</v>
      </c>
      <c r="H620" s="0" t="n">
        <v>199.93</v>
      </c>
      <c r="I620" s="0" t="n">
        <v>44180.85</v>
      </c>
      <c r="J620" s="0" t="n">
        <v>29389.71</v>
      </c>
      <c r="K620" s="0" t="n">
        <v>14791.14</v>
      </c>
    </row>
    <row r="621" customFormat="false" ht="15" hidden="false" customHeight="false" outlineLevel="0" collapsed="false">
      <c r="A621" s="0" t="s">
        <v>1207</v>
      </c>
      <c r="B621" s="0" t="s">
        <v>81</v>
      </c>
      <c r="C621" s="0" t="s">
        <v>221</v>
      </c>
      <c r="D621" s="0" t="s">
        <v>597</v>
      </c>
      <c r="E621" s="0" t="s">
        <v>546</v>
      </c>
      <c r="F621" s="0" t="n">
        <v>134</v>
      </c>
      <c r="G621" s="0" t="n">
        <v>98.62</v>
      </c>
      <c r="H621" s="0" t="n">
        <v>71.92</v>
      </c>
      <c r="I621" s="0" t="n">
        <v>13215.08</v>
      </c>
      <c r="J621" s="0" t="n">
        <v>9637.28</v>
      </c>
      <c r="K621" s="0" t="n">
        <v>3577.8</v>
      </c>
    </row>
    <row r="622" customFormat="false" ht="15" hidden="false" customHeight="false" outlineLevel="0" collapsed="false">
      <c r="A622" s="0" t="s">
        <v>1208</v>
      </c>
      <c r="B622" s="0" t="s">
        <v>81</v>
      </c>
      <c r="C622" s="0" t="s">
        <v>221</v>
      </c>
      <c r="D622" s="0" t="s">
        <v>599</v>
      </c>
      <c r="E622" s="0" t="s">
        <v>549</v>
      </c>
      <c r="F622" s="0" t="n">
        <v>400</v>
      </c>
      <c r="G622" s="0" t="n">
        <v>136.93</v>
      </c>
      <c r="H622" s="0" t="n">
        <v>88.19</v>
      </c>
      <c r="I622" s="0" t="n">
        <v>54772</v>
      </c>
      <c r="J622" s="0" t="n">
        <v>35276</v>
      </c>
      <c r="K622" s="0" t="n">
        <v>19496</v>
      </c>
    </row>
    <row r="623" customFormat="false" ht="15" hidden="false" customHeight="false" outlineLevel="0" collapsed="false">
      <c r="A623" s="0" t="s">
        <v>1209</v>
      </c>
      <c r="B623" s="0" t="s">
        <v>81</v>
      </c>
      <c r="C623" s="0" t="s">
        <v>221</v>
      </c>
      <c r="D623" s="0" t="s">
        <v>601</v>
      </c>
      <c r="E623" s="0" t="s">
        <v>552</v>
      </c>
      <c r="F623" s="0" t="n">
        <v>166</v>
      </c>
      <c r="G623" s="0" t="n">
        <v>189.19</v>
      </c>
      <c r="H623" s="0" t="n">
        <v>120.07</v>
      </c>
      <c r="I623" s="0" t="n">
        <v>31405.54</v>
      </c>
      <c r="J623" s="0" t="n">
        <v>19931.62</v>
      </c>
      <c r="K623" s="0" t="n">
        <v>11473.92</v>
      </c>
    </row>
    <row r="624" customFormat="false" ht="15" hidden="false" customHeight="false" outlineLevel="0" collapsed="false">
      <c r="A624" s="0" t="s">
        <v>1210</v>
      </c>
      <c r="B624" s="0" t="s">
        <v>81</v>
      </c>
      <c r="C624" s="0" t="s">
        <v>221</v>
      </c>
      <c r="D624" s="0" t="s">
        <v>603</v>
      </c>
      <c r="E624" s="0" t="s">
        <v>555</v>
      </c>
      <c r="F624" s="0" t="n">
        <v>454</v>
      </c>
      <c r="G624" s="0" t="n">
        <v>162.86</v>
      </c>
      <c r="H624" s="0" t="n">
        <v>100.95</v>
      </c>
      <c r="I624" s="0" t="n">
        <v>73938.44</v>
      </c>
      <c r="J624" s="0" t="n">
        <v>45831.3</v>
      </c>
      <c r="K624" s="0" t="n">
        <v>28107.14</v>
      </c>
    </row>
    <row r="625" customFormat="false" ht="15" hidden="false" customHeight="false" outlineLevel="0" collapsed="false">
      <c r="A625" s="0" t="s">
        <v>1211</v>
      </c>
      <c r="B625" s="0" t="s">
        <v>81</v>
      </c>
      <c r="C625" s="0" t="s">
        <v>221</v>
      </c>
      <c r="D625" s="0" t="s">
        <v>605</v>
      </c>
      <c r="E625" s="0" t="s">
        <v>534</v>
      </c>
      <c r="F625" s="0" t="n">
        <v>340</v>
      </c>
      <c r="G625" s="0" t="n">
        <v>214.09</v>
      </c>
      <c r="H625" s="0" t="n">
        <v>134.11</v>
      </c>
      <c r="I625" s="0" t="n">
        <v>72790.6</v>
      </c>
      <c r="J625" s="0" t="n">
        <v>45597.4</v>
      </c>
      <c r="K625" s="0" t="n">
        <v>27193.2</v>
      </c>
    </row>
    <row r="626" customFormat="false" ht="15" hidden="false" customHeight="false" outlineLevel="0" collapsed="false">
      <c r="A626" s="0" t="s">
        <v>1212</v>
      </c>
      <c r="B626" s="0" t="s">
        <v>81</v>
      </c>
      <c r="C626" s="0" t="s">
        <v>221</v>
      </c>
      <c r="D626" s="0" t="s">
        <v>607</v>
      </c>
      <c r="E626" s="0" t="s">
        <v>537</v>
      </c>
      <c r="F626" s="0" t="n">
        <v>242</v>
      </c>
      <c r="G626" s="0" t="n">
        <v>243.44</v>
      </c>
      <c r="H626" s="0" t="n">
        <v>151.45</v>
      </c>
      <c r="I626" s="0" t="n">
        <v>58912.48</v>
      </c>
      <c r="J626" s="0" t="n">
        <v>36650.9</v>
      </c>
      <c r="K626" s="0" t="n">
        <v>22261.58</v>
      </c>
    </row>
    <row r="627" customFormat="false" ht="15" hidden="false" customHeight="false" outlineLevel="0" collapsed="false">
      <c r="A627" s="0" t="s">
        <v>1213</v>
      </c>
      <c r="B627" s="0" t="s">
        <v>81</v>
      </c>
      <c r="C627" s="0" t="s">
        <v>221</v>
      </c>
      <c r="D627" s="0" t="s">
        <v>609</v>
      </c>
      <c r="E627" s="0" t="s">
        <v>540</v>
      </c>
      <c r="F627" s="0" t="n">
        <v>286</v>
      </c>
      <c r="G627" s="0" t="n">
        <v>267.6</v>
      </c>
      <c r="H627" s="0" t="n">
        <v>184</v>
      </c>
      <c r="I627" s="0" t="n">
        <v>76533.6</v>
      </c>
      <c r="J627" s="0" t="n">
        <v>52624</v>
      </c>
      <c r="K627" s="0" t="n">
        <v>23909.6</v>
      </c>
    </row>
    <row r="628" customFormat="false" ht="15" hidden="false" customHeight="false" outlineLevel="0" collapsed="false">
      <c r="A628" s="0" t="s">
        <v>1214</v>
      </c>
      <c r="B628" s="0" t="s">
        <v>81</v>
      </c>
      <c r="C628" s="0" t="s">
        <v>221</v>
      </c>
      <c r="D628" s="0" t="s">
        <v>611</v>
      </c>
      <c r="E628" s="0" t="s">
        <v>543</v>
      </c>
      <c r="F628" s="0" t="n">
        <v>195</v>
      </c>
      <c r="G628" s="0" t="n">
        <v>313.9</v>
      </c>
      <c r="H628" s="0" t="n">
        <v>195.1</v>
      </c>
      <c r="I628" s="0" t="n">
        <v>61210.5</v>
      </c>
      <c r="J628" s="0" t="n">
        <v>38044.5</v>
      </c>
      <c r="K628" s="0" t="n">
        <v>23166</v>
      </c>
    </row>
    <row r="629" customFormat="false" ht="15" hidden="false" customHeight="false" outlineLevel="0" collapsed="false">
      <c r="A629" s="0" t="s">
        <v>1215</v>
      </c>
      <c r="B629" s="0" t="s">
        <v>81</v>
      </c>
      <c r="C629" s="0" t="s">
        <v>221</v>
      </c>
      <c r="D629" s="0" t="s">
        <v>628</v>
      </c>
      <c r="E629" s="0" t="s">
        <v>546</v>
      </c>
      <c r="F629" s="0" t="n">
        <v>229</v>
      </c>
      <c r="G629" s="0" t="n">
        <v>104.98</v>
      </c>
      <c r="H629" s="0" t="n">
        <v>71.41</v>
      </c>
      <c r="I629" s="0" t="n">
        <v>24040.42</v>
      </c>
      <c r="J629" s="0" t="n">
        <v>16352.89</v>
      </c>
      <c r="K629" s="0" t="n">
        <v>7687.53</v>
      </c>
    </row>
    <row r="630" customFormat="false" ht="15" hidden="false" customHeight="false" outlineLevel="0" collapsed="false">
      <c r="A630" s="0" t="s">
        <v>1216</v>
      </c>
      <c r="B630" s="0" t="s">
        <v>81</v>
      </c>
      <c r="C630" s="0" t="s">
        <v>221</v>
      </c>
      <c r="D630" s="0" t="s">
        <v>630</v>
      </c>
      <c r="E630" s="0" t="s">
        <v>549</v>
      </c>
      <c r="F630" s="0" t="n">
        <v>419</v>
      </c>
      <c r="G630" s="0" t="n">
        <v>141.73</v>
      </c>
      <c r="H630" s="0" t="n">
        <v>81.53</v>
      </c>
      <c r="I630" s="0" t="n">
        <v>59384.87</v>
      </c>
      <c r="J630" s="0" t="n">
        <v>34161.07</v>
      </c>
      <c r="K630" s="0" t="n">
        <v>25223.8</v>
      </c>
    </row>
    <row r="631" customFormat="false" ht="15" hidden="false" customHeight="false" outlineLevel="0" collapsed="false">
      <c r="A631" s="0" t="s">
        <v>1217</v>
      </c>
      <c r="B631" s="0" t="s">
        <v>81</v>
      </c>
      <c r="C631" s="0" t="s">
        <v>221</v>
      </c>
      <c r="D631" s="0" t="s">
        <v>632</v>
      </c>
      <c r="E631" s="0" t="s">
        <v>552</v>
      </c>
      <c r="F631" s="0" t="n">
        <v>89</v>
      </c>
      <c r="G631" s="0" t="n">
        <v>190.03</v>
      </c>
      <c r="H631" s="0" t="n">
        <v>113.31</v>
      </c>
      <c r="I631" s="0" t="n">
        <v>16912.67</v>
      </c>
      <c r="J631" s="0" t="n">
        <v>10084.59</v>
      </c>
      <c r="K631" s="0" t="n">
        <v>6828.08</v>
      </c>
    </row>
    <row r="632" customFormat="false" ht="15" hidden="false" customHeight="false" outlineLevel="0" collapsed="false">
      <c r="A632" s="0" t="s">
        <v>1218</v>
      </c>
      <c r="B632" s="0" t="s">
        <v>81</v>
      </c>
      <c r="C632" s="0" t="s">
        <v>221</v>
      </c>
      <c r="D632" s="0" t="s">
        <v>634</v>
      </c>
      <c r="E632" s="0" t="s">
        <v>555</v>
      </c>
      <c r="F632" s="0" t="n">
        <v>220</v>
      </c>
      <c r="G632" s="0" t="n">
        <v>172.3</v>
      </c>
      <c r="H632" s="0" t="n">
        <v>100.96</v>
      </c>
      <c r="I632" s="0" t="n">
        <v>37906</v>
      </c>
      <c r="J632" s="0" t="n">
        <v>22211.2</v>
      </c>
      <c r="K632" s="0" t="n">
        <v>15694.8</v>
      </c>
    </row>
    <row r="633" customFormat="false" ht="15" hidden="false" customHeight="false" outlineLevel="0" collapsed="false">
      <c r="A633" s="0" t="s">
        <v>1219</v>
      </c>
      <c r="B633" s="0" t="s">
        <v>81</v>
      </c>
      <c r="C633" s="0" t="s">
        <v>221</v>
      </c>
      <c r="D633" s="0" t="s">
        <v>636</v>
      </c>
      <c r="E633" s="0" t="s">
        <v>534</v>
      </c>
      <c r="F633" s="0" t="n">
        <v>272</v>
      </c>
      <c r="G633" s="0" t="n">
        <v>188.14</v>
      </c>
      <c r="H633" s="0" t="n">
        <v>127.53</v>
      </c>
      <c r="I633" s="0" t="n">
        <v>51174.08</v>
      </c>
      <c r="J633" s="0" t="n">
        <v>34688.16</v>
      </c>
      <c r="K633" s="0" t="n">
        <v>16485.92</v>
      </c>
    </row>
    <row r="634" customFormat="false" ht="15" hidden="false" customHeight="false" outlineLevel="0" collapsed="false">
      <c r="A634" s="0" t="s">
        <v>1220</v>
      </c>
      <c r="B634" s="0" t="s">
        <v>81</v>
      </c>
      <c r="C634" s="0" t="s">
        <v>221</v>
      </c>
      <c r="D634" s="0" t="s">
        <v>638</v>
      </c>
      <c r="E634" s="0" t="s">
        <v>537</v>
      </c>
      <c r="F634" s="0" t="n">
        <v>372</v>
      </c>
      <c r="G634" s="0" t="n">
        <v>233.4</v>
      </c>
      <c r="H634" s="0" t="n">
        <v>160.12</v>
      </c>
      <c r="I634" s="0" t="n">
        <v>86824.8</v>
      </c>
      <c r="J634" s="0" t="n">
        <v>59564.64</v>
      </c>
      <c r="K634" s="0" t="n">
        <v>27260.16</v>
      </c>
    </row>
    <row r="635" customFormat="false" ht="15" hidden="false" customHeight="false" outlineLevel="0" collapsed="false">
      <c r="A635" s="0" t="s">
        <v>1221</v>
      </c>
      <c r="B635" s="0" t="s">
        <v>81</v>
      </c>
      <c r="C635" s="0" t="s">
        <v>221</v>
      </c>
      <c r="D635" s="0" t="s">
        <v>640</v>
      </c>
      <c r="E635" s="0" t="s">
        <v>540</v>
      </c>
      <c r="F635" s="0" t="n">
        <v>122</v>
      </c>
      <c r="G635" s="0" t="n">
        <v>263.26</v>
      </c>
      <c r="H635" s="0" t="n">
        <v>173.4</v>
      </c>
      <c r="I635" s="0" t="n">
        <v>32117.72</v>
      </c>
      <c r="J635" s="0" t="n">
        <v>21154.8</v>
      </c>
      <c r="K635" s="0" t="n">
        <v>10962.92</v>
      </c>
    </row>
    <row r="636" customFormat="false" ht="15" hidden="false" customHeight="false" outlineLevel="0" collapsed="false">
      <c r="A636" s="0" t="s">
        <v>1222</v>
      </c>
      <c r="B636" s="0" t="s">
        <v>81</v>
      </c>
      <c r="C636" s="0" t="s">
        <v>221</v>
      </c>
      <c r="D636" s="0" t="s">
        <v>642</v>
      </c>
      <c r="E636" s="0" t="s">
        <v>543</v>
      </c>
      <c r="F636" s="0" t="n">
        <v>366</v>
      </c>
      <c r="G636" s="0" t="n">
        <v>301.07</v>
      </c>
      <c r="H636" s="0" t="n">
        <v>217.9</v>
      </c>
      <c r="I636" s="0" t="n">
        <v>110191.62</v>
      </c>
      <c r="J636" s="0" t="n">
        <v>79751.4</v>
      </c>
      <c r="K636" s="0" t="n">
        <v>30440.22</v>
      </c>
    </row>
    <row r="637" customFormat="false" ht="15" hidden="false" customHeight="false" outlineLevel="0" collapsed="false">
      <c r="A637" s="0" t="s">
        <v>1223</v>
      </c>
      <c r="B637" s="0" t="s">
        <v>81</v>
      </c>
      <c r="C637" s="0" t="s">
        <v>221</v>
      </c>
      <c r="D637" s="0" t="s">
        <v>644</v>
      </c>
      <c r="E637" s="0" t="s">
        <v>546</v>
      </c>
      <c r="F637" s="0" t="n">
        <v>433</v>
      </c>
      <c r="G637" s="0" t="n">
        <v>106.64</v>
      </c>
      <c r="H637" s="0" t="n">
        <v>65.35</v>
      </c>
      <c r="I637" s="0" t="n">
        <v>46175.12</v>
      </c>
      <c r="J637" s="0" t="n">
        <v>28296.55</v>
      </c>
      <c r="K637" s="0" t="n">
        <v>17878.57</v>
      </c>
    </row>
    <row r="638" customFormat="false" ht="15" hidden="false" customHeight="false" outlineLevel="0" collapsed="false">
      <c r="A638" s="0" t="s">
        <v>1224</v>
      </c>
      <c r="B638" s="0" t="s">
        <v>81</v>
      </c>
      <c r="C638" s="0" t="s">
        <v>221</v>
      </c>
      <c r="D638" s="0" t="s">
        <v>646</v>
      </c>
      <c r="E638" s="0" t="s">
        <v>549</v>
      </c>
      <c r="F638" s="0" t="n">
        <v>134</v>
      </c>
      <c r="G638" s="0" t="n">
        <v>136.48</v>
      </c>
      <c r="H638" s="0" t="n">
        <v>86.54</v>
      </c>
      <c r="I638" s="0" t="n">
        <v>18288.32</v>
      </c>
      <c r="J638" s="0" t="n">
        <v>11596.36</v>
      </c>
      <c r="K638" s="0" t="n">
        <v>6691.96</v>
      </c>
    </row>
    <row r="639" customFormat="false" ht="15" hidden="false" customHeight="false" outlineLevel="0" collapsed="false">
      <c r="A639" s="0" t="s">
        <v>1225</v>
      </c>
      <c r="B639" s="0" t="s">
        <v>81</v>
      </c>
      <c r="C639" s="0" t="s">
        <v>221</v>
      </c>
      <c r="D639" s="0" t="s">
        <v>648</v>
      </c>
      <c r="E639" s="0" t="s">
        <v>552</v>
      </c>
      <c r="F639" s="0" t="n">
        <v>258</v>
      </c>
      <c r="G639" s="0" t="n">
        <v>182.88</v>
      </c>
      <c r="H639" s="0" t="n">
        <v>112.43</v>
      </c>
      <c r="I639" s="0" t="n">
        <v>47183.04</v>
      </c>
      <c r="J639" s="0" t="n">
        <v>29006.94</v>
      </c>
      <c r="K639" s="0" t="n">
        <v>18176.1</v>
      </c>
    </row>
    <row r="640" customFormat="false" ht="15" hidden="false" customHeight="false" outlineLevel="0" collapsed="false">
      <c r="A640" s="0" t="s">
        <v>1226</v>
      </c>
      <c r="B640" s="0" t="s">
        <v>81</v>
      </c>
      <c r="C640" s="0" t="s">
        <v>221</v>
      </c>
      <c r="D640" s="0" t="s">
        <v>650</v>
      </c>
      <c r="E640" s="0" t="s">
        <v>555</v>
      </c>
      <c r="F640" s="0" t="n">
        <v>158</v>
      </c>
      <c r="G640" s="0" t="n">
        <v>160.28</v>
      </c>
      <c r="H640" s="0" t="n">
        <v>98.03</v>
      </c>
      <c r="I640" s="0" t="n">
        <v>25324.24</v>
      </c>
      <c r="J640" s="0" t="n">
        <v>15488.74</v>
      </c>
      <c r="K640" s="0" t="n">
        <v>9835.5</v>
      </c>
    </row>
    <row r="641" customFormat="false" ht="15" hidden="false" customHeight="false" outlineLevel="0" collapsed="false">
      <c r="A641" s="0" t="s">
        <v>1227</v>
      </c>
      <c r="B641" s="0" t="s">
        <v>81</v>
      </c>
      <c r="C641" s="0" t="s">
        <v>221</v>
      </c>
      <c r="D641" s="0" t="s">
        <v>533</v>
      </c>
      <c r="E641" s="0" t="s">
        <v>534</v>
      </c>
      <c r="F641" s="0" t="n">
        <v>341</v>
      </c>
      <c r="G641" s="0" t="n">
        <v>188</v>
      </c>
      <c r="H641" s="0" t="n">
        <v>127.34</v>
      </c>
      <c r="I641" s="0" t="n">
        <v>64108</v>
      </c>
      <c r="J641" s="0" t="n">
        <v>43422.94</v>
      </c>
      <c r="K641" s="0" t="n">
        <v>20685.06</v>
      </c>
    </row>
    <row r="642" customFormat="false" ht="15" hidden="false" customHeight="false" outlineLevel="0" collapsed="false">
      <c r="A642" s="0" t="s">
        <v>1228</v>
      </c>
      <c r="B642" s="0" t="s">
        <v>81</v>
      </c>
      <c r="C642" s="0" t="s">
        <v>221</v>
      </c>
      <c r="D642" s="0" t="s">
        <v>536</v>
      </c>
      <c r="E642" s="0" t="s">
        <v>537</v>
      </c>
      <c r="F642" s="0" t="n">
        <v>450</v>
      </c>
      <c r="G642" s="0" t="n">
        <v>237.99</v>
      </c>
      <c r="H642" s="0" t="n">
        <v>158.63</v>
      </c>
      <c r="I642" s="0" t="n">
        <v>107095.5</v>
      </c>
      <c r="J642" s="0" t="n">
        <v>71383.5</v>
      </c>
      <c r="K642" s="0" t="n">
        <v>35712</v>
      </c>
    </row>
    <row r="643" customFormat="false" ht="15" hidden="false" customHeight="false" outlineLevel="0" collapsed="false">
      <c r="A643" s="0" t="s">
        <v>1229</v>
      </c>
      <c r="B643" s="0" t="s">
        <v>81</v>
      </c>
      <c r="C643" s="0" t="s">
        <v>221</v>
      </c>
      <c r="D643" s="0" t="s">
        <v>539</v>
      </c>
      <c r="E643" s="0" t="s">
        <v>540</v>
      </c>
      <c r="F643" s="0" t="n">
        <v>318</v>
      </c>
      <c r="G643" s="0" t="n">
        <v>254.62</v>
      </c>
      <c r="H643" s="0" t="n">
        <v>182.49</v>
      </c>
      <c r="I643" s="0" t="n">
        <v>80969.16</v>
      </c>
      <c r="J643" s="0" t="n">
        <v>58031.82</v>
      </c>
      <c r="K643" s="0" t="n">
        <v>22937.34</v>
      </c>
    </row>
    <row r="644" customFormat="false" ht="15" hidden="false" customHeight="false" outlineLevel="0" collapsed="false">
      <c r="A644" s="0" t="s">
        <v>1230</v>
      </c>
      <c r="B644" s="0" t="s">
        <v>81</v>
      </c>
      <c r="C644" s="0" t="s">
        <v>221</v>
      </c>
      <c r="D644" s="0" t="s">
        <v>542</v>
      </c>
      <c r="E644" s="0" t="s">
        <v>543</v>
      </c>
      <c r="F644" s="0" t="n">
        <v>156</v>
      </c>
      <c r="G644" s="0" t="n">
        <v>303.11</v>
      </c>
      <c r="H644" s="0" t="n">
        <v>208.78</v>
      </c>
      <c r="I644" s="0" t="n">
        <v>47285.16</v>
      </c>
      <c r="J644" s="0" t="n">
        <v>32569.68</v>
      </c>
      <c r="K644" s="0" t="n">
        <v>14715.48</v>
      </c>
    </row>
    <row r="645" customFormat="false" ht="15" hidden="false" customHeight="false" outlineLevel="0" collapsed="false">
      <c r="A645" s="0" t="s">
        <v>1231</v>
      </c>
      <c r="B645" s="0" t="s">
        <v>81</v>
      </c>
      <c r="C645" s="0" t="s">
        <v>221</v>
      </c>
      <c r="D645" s="0" t="s">
        <v>545</v>
      </c>
      <c r="E645" s="0" t="s">
        <v>546</v>
      </c>
      <c r="F645" s="0" t="n">
        <v>168</v>
      </c>
      <c r="G645" s="0" t="n">
        <v>103.52</v>
      </c>
      <c r="H645" s="0" t="n">
        <v>69.28</v>
      </c>
      <c r="I645" s="0" t="n">
        <v>17391.36</v>
      </c>
      <c r="J645" s="0" t="n">
        <v>11639.04</v>
      </c>
      <c r="K645" s="0" t="n">
        <v>5752.32</v>
      </c>
    </row>
    <row r="646" customFormat="false" ht="15" hidden="false" customHeight="false" outlineLevel="0" collapsed="false">
      <c r="A646" s="0" t="s">
        <v>1232</v>
      </c>
      <c r="B646" s="0" t="s">
        <v>81</v>
      </c>
      <c r="C646" s="0" t="s">
        <v>221</v>
      </c>
      <c r="D646" s="0" t="s">
        <v>548</v>
      </c>
      <c r="E646" s="0" t="s">
        <v>549</v>
      </c>
      <c r="F646" s="0" t="n">
        <v>238</v>
      </c>
      <c r="G646" s="0" t="n">
        <v>140.24</v>
      </c>
      <c r="H646" s="0" t="n">
        <v>83.71</v>
      </c>
      <c r="I646" s="0" t="n">
        <v>33377.12</v>
      </c>
      <c r="J646" s="0" t="n">
        <v>19922.98</v>
      </c>
      <c r="K646" s="0" t="n">
        <v>13454.14</v>
      </c>
    </row>
    <row r="647" customFormat="false" ht="15" hidden="false" customHeight="false" outlineLevel="0" collapsed="false">
      <c r="A647" s="0" t="s">
        <v>1233</v>
      </c>
      <c r="B647" s="0" t="s">
        <v>81</v>
      </c>
      <c r="C647" s="0" t="s">
        <v>221</v>
      </c>
      <c r="D647" s="0" t="s">
        <v>551</v>
      </c>
      <c r="E647" s="0" t="s">
        <v>552</v>
      </c>
      <c r="F647" s="0" t="n">
        <v>345</v>
      </c>
      <c r="G647" s="0" t="n">
        <v>182.25</v>
      </c>
      <c r="H647" s="0" t="n">
        <v>117.05</v>
      </c>
      <c r="I647" s="0" t="n">
        <v>62876.25</v>
      </c>
      <c r="J647" s="0" t="n">
        <v>40382.25</v>
      </c>
      <c r="K647" s="0" t="n">
        <v>22494</v>
      </c>
    </row>
    <row r="648" customFormat="false" ht="15" hidden="false" customHeight="false" outlineLevel="0" collapsed="false">
      <c r="A648" s="0" t="s">
        <v>1234</v>
      </c>
      <c r="B648" s="0" t="s">
        <v>81</v>
      </c>
      <c r="C648" s="0" t="s">
        <v>221</v>
      </c>
      <c r="D648" s="0" t="s">
        <v>554</v>
      </c>
      <c r="E648" s="0" t="s">
        <v>555</v>
      </c>
      <c r="F648" s="0" t="n">
        <v>238</v>
      </c>
      <c r="G648" s="0" t="n">
        <v>166.55</v>
      </c>
      <c r="H648" s="0" t="n">
        <v>92.35</v>
      </c>
      <c r="I648" s="0" t="n">
        <v>39638.9</v>
      </c>
      <c r="J648" s="0" t="n">
        <v>21979.3</v>
      </c>
      <c r="K648" s="0" t="n">
        <v>17659.6</v>
      </c>
    </row>
    <row r="649" customFormat="false" ht="15" hidden="false" customHeight="false" outlineLevel="0" collapsed="false">
      <c r="A649" s="0" t="s">
        <v>1235</v>
      </c>
      <c r="B649" s="0" t="s">
        <v>81</v>
      </c>
      <c r="C649" s="0" t="s">
        <v>221</v>
      </c>
      <c r="D649" s="0" t="s">
        <v>557</v>
      </c>
      <c r="E649" s="0" t="s">
        <v>534</v>
      </c>
      <c r="F649" s="0" t="n">
        <v>254</v>
      </c>
      <c r="G649" s="0" t="n">
        <v>205.29</v>
      </c>
      <c r="H649" s="0" t="n">
        <v>142.24</v>
      </c>
      <c r="I649" s="0" t="n">
        <v>52143.66</v>
      </c>
      <c r="J649" s="0" t="n">
        <v>36128.96</v>
      </c>
      <c r="K649" s="0" t="n">
        <v>16014.7</v>
      </c>
    </row>
    <row r="650" customFormat="false" ht="15" hidden="false" customHeight="false" outlineLevel="0" collapsed="false">
      <c r="A650" s="0" t="s">
        <v>1236</v>
      </c>
      <c r="B650" s="0" t="s">
        <v>82</v>
      </c>
      <c r="C650" s="0" t="s">
        <v>221</v>
      </c>
      <c r="D650" s="0" t="s">
        <v>640</v>
      </c>
      <c r="E650" s="0" t="s">
        <v>540</v>
      </c>
      <c r="F650" s="0" t="n">
        <v>383</v>
      </c>
      <c r="G650" s="0" t="n">
        <v>260.4</v>
      </c>
      <c r="H650" s="0" t="n">
        <v>182.6</v>
      </c>
      <c r="I650" s="0" t="n">
        <v>99733.2</v>
      </c>
      <c r="J650" s="0" t="n">
        <v>69935.8</v>
      </c>
      <c r="K650" s="0" t="n">
        <v>29797.4</v>
      </c>
    </row>
    <row r="651" customFormat="false" ht="15" hidden="false" customHeight="false" outlineLevel="0" collapsed="false">
      <c r="A651" s="0" t="s">
        <v>1237</v>
      </c>
      <c r="B651" s="0" t="s">
        <v>82</v>
      </c>
      <c r="C651" s="0" t="s">
        <v>221</v>
      </c>
      <c r="D651" s="0" t="s">
        <v>642</v>
      </c>
      <c r="E651" s="0" t="s">
        <v>543</v>
      </c>
      <c r="F651" s="0" t="n">
        <v>437</v>
      </c>
      <c r="G651" s="0" t="n">
        <v>315.84</v>
      </c>
      <c r="H651" s="0" t="n">
        <v>208.39</v>
      </c>
      <c r="I651" s="0" t="n">
        <v>138022.08</v>
      </c>
      <c r="J651" s="0" t="n">
        <v>91066.43</v>
      </c>
      <c r="K651" s="0" t="n">
        <v>46955.65</v>
      </c>
    </row>
    <row r="652" customFormat="false" ht="15" hidden="false" customHeight="false" outlineLevel="0" collapsed="false">
      <c r="A652" s="0" t="s">
        <v>1238</v>
      </c>
      <c r="B652" s="0" t="s">
        <v>82</v>
      </c>
      <c r="C652" s="0" t="s">
        <v>221</v>
      </c>
      <c r="D652" s="0" t="s">
        <v>644</v>
      </c>
      <c r="E652" s="0" t="s">
        <v>546</v>
      </c>
      <c r="F652" s="0" t="n">
        <v>220</v>
      </c>
      <c r="G652" s="0" t="n">
        <v>111.73</v>
      </c>
      <c r="H652" s="0" t="n">
        <v>70.61</v>
      </c>
      <c r="I652" s="0" t="n">
        <v>24580.6</v>
      </c>
      <c r="J652" s="0" t="n">
        <v>15534.2</v>
      </c>
      <c r="K652" s="0" t="n">
        <v>9046.4</v>
      </c>
    </row>
    <row r="653" customFormat="false" ht="15" hidden="false" customHeight="false" outlineLevel="0" collapsed="false">
      <c r="A653" s="0" t="s">
        <v>1239</v>
      </c>
      <c r="B653" s="0" t="s">
        <v>82</v>
      </c>
      <c r="C653" s="0" t="s">
        <v>221</v>
      </c>
      <c r="D653" s="0" t="s">
        <v>646</v>
      </c>
      <c r="E653" s="0" t="s">
        <v>549</v>
      </c>
      <c r="F653" s="0" t="n">
        <v>381</v>
      </c>
      <c r="G653" s="0" t="n">
        <v>139.94</v>
      </c>
      <c r="H653" s="0" t="n">
        <v>85.82</v>
      </c>
      <c r="I653" s="0" t="n">
        <v>53317.14</v>
      </c>
      <c r="J653" s="0" t="n">
        <v>32697.42</v>
      </c>
      <c r="K653" s="0" t="n">
        <v>20619.72</v>
      </c>
    </row>
    <row r="654" customFormat="false" ht="15" hidden="false" customHeight="false" outlineLevel="0" collapsed="false">
      <c r="A654" s="0" t="s">
        <v>1240</v>
      </c>
      <c r="B654" s="0" t="s">
        <v>82</v>
      </c>
      <c r="C654" s="0" t="s">
        <v>221</v>
      </c>
      <c r="D654" s="0" t="s">
        <v>648</v>
      </c>
      <c r="E654" s="0" t="s">
        <v>552</v>
      </c>
      <c r="F654" s="0" t="n">
        <v>383</v>
      </c>
      <c r="G654" s="0" t="n">
        <v>180.97</v>
      </c>
      <c r="H654" s="0" t="n">
        <v>114.57</v>
      </c>
      <c r="I654" s="0" t="n">
        <v>69311.51</v>
      </c>
      <c r="J654" s="0" t="n">
        <v>43880.31</v>
      </c>
      <c r="K654" s="0" t="n">
        <v>25431.2</v>
      </c>
    </row>
    <row r="655" customFormat="false" ht="15" hidden="false" customHeight="false" outlineLevel="0" collapsed="false">
      <c r="A655" s="0" t="s">
        <v>1241</v>
      </c>
      <c r="B655" s="0" t="s">
        <v>82</v>
      </c>
      <c r="C655" s="0" t="s">
        <v>221</v>
      </c>
      <c r="D655" s="0" t="s">
        <v>650</v>
      </c>
      <c r="E655" s="0" t="s">
        <v>555</v>
      </c>
      <c r="F655" s="0" t="n">
        <v>454</v>
      </c>
      <c r="G655" s="0" t="n">
        <v>169.85</v>
      </c>
      <c r="H655" s="0" t="n">
        <v>101.85</v>
      </c>
      <c r="I655" s="0" t="n">
        <v>77111.9</v>
      </c>
      <c r="J655" s="0" t="n">
        <v>46239.9</v>
      </c>
      <c r="K655" s="0" t="n">
        <v>30872</v>
      </c>
    </row>
    <row r="656" customFormat="false" ht="15" hidden="false" customHeight="false" outlineLevel="0" collapsed="false">
      <c r="A656" s="0" t="s">
        <v>1242</v>
      </c>
      <c r="B656" s="0" t="s">
        <v>82</v>
      </c>
      <c r="C656" s="0" t="s">
        <v>221</v>
      </c>
      <c r="D656" s="0" t="s">
        <v>533</v>
      </c>
      <c r="E656" s="0" t="s">
        <v>534</v>
      </c>
      <c r="F656" s="0" t="n">
        <v>160</v>
      </c>
      <c r="G656" s="0" t="n">
        <v>209.33</v>
      </c>
      <c r="H656" s="0" t="n">
        <v>130.56</v>
      </c>
      <c r="I656" s="0" t="n">
        <v>33492.8</v>
      </c>
      <c r="J656" s="0" t="n">
        <v>20889.6</v>
      </c>
      <c r="K656" s="0" t="n">
        <v>12603.2</v>
      </c>
    </row>
    <row r="657" customFormat="false" ht="15" hidden="false" customHeight="false" outlineLevel="0" collapsed="false">
      <c r="A657" s="0" t="s">
        <v>1243</v>
      </c>
      <c r="B657" s="0" t="s">
        <v>82</v>
      </c>
      <c r="C657" s="0" t="s">
        <v>221</v>
      </c>
      <c r="D657" s="0" t="s">
        <v>536</v>
      </c>
      <c r="E657" s="0" t="s">
        <v>537</v>
      </c>
      <c r="F657" s="0" t="n">
        <v>378</v>
      </c>
      <c r="G657" s="0" t="n">
        <v>258.38</v>
      </c>
      <c r="H657" s="0" t="n">
        <v>151.82</v>
      </c>
      <c r="I657" s="0" t="n">
        <v>97667.64</v>
      </c>
      <c r="J657" s="0" t="n">
        <v>57387.96</v>
      </c>
      <c r="K657" s="0" t="n">
        <v>40279.68</v>
      </c>
    </row>
    <row r="658" customFormat="false" ht="15" hidden="false" customHeight="false" outlineLevel="0" collapsed="false">
      <c r="A658" s="0" t="s">
        <v>1244</v>
      </c>
      <c r="B658" s="0" t="s">
        <v>82</v>
      </c>
      <c r="C658" s="0" t="s">
        <v>221</v>
      </c>
      <c r="D658" s="0" t="s">
        <v>539</v>
      </c>
      <c r="E658" s="0" t="s">
        <v>540</v>
      </c>
      <c r="F658" s="0" t="n">
        <v>94</v>
      </c>
      <c r="G658" s="0" t="n">
        <v>265.25</v>
      </c>
      <c r="H658" s="0" t="n">
        <v>172.75</v>
      </c>
      <c r="I658" s="0" t="n">
        <v>24933.5</v>
      </c>
      <c r="J658" s="0" t="n">
        <v>16238.5</v>
      </c>
      <c r="K658" s="0" t="n">
        <v>8695</v>
      </c>
    </row>
    <row r="659" customFormat="false" ht="15" hidden="false" customHeight="false" outlineLevel="0" collapsed="false">
      <c r="A659" s="0" t="s">
        <v>1245</v>
      </c>
      <c r="B659" s="0" t="s">
        <v>82</v>
      </c>
      <c r="C659" s="0" t="s">
        <v>221</v>
      </c>
      <c r="D659" s="0" t="s">
        <v>542</v>
      </c>
      <c r="E659" s="0" t="s">
        <v>543</v>
      </c>
      <c r="F659" s="0" t="n">
        <v>296</v>
      </c>
      <c r="G659" s="0" t="n">
        <v>318.42</v>
      </c>
      <c r="H659" s="0" t="n">
        <v>203.87</v>
      </c>
      <c r="I659" s="0" t="n">
        <v>94252.32</v>
      </c>
      <c r="J659" s="0" t="n">
        <v>60345.52</v>
      </c>
      <c r="K659" s="0" t="n">
        <v>33906.8</v>
      </c>
    </row>
    <row r="660" customFormat="false" ht="15" hidden="false" customHeight="false" outlineLevel="0" collapsed="false">
      <c r="A660" s="0" t="s">
        <v>1246</v>
      </c>
      <c r="B660" s="0" t="s">
        <v>82</v>
      </c>
      <c r="C660" s="0" t="s">
        <v>221</v>
      </c>
      <c r="D660" s="0" t="s">
        <v>545</v>
      </c>
      <c r="E660" s="0" t="s">
        <v>546</v>
      </c>
      <c r="F660" s="0" t="n">
        <v>398</v>
      </c>
      <c r="G660" s="0" t="n">
        <v>111.06</v>
      </c>
      <c r="H660" s="0" t="n">
        <v>71.34</v>
      </c>
      <c r="I660" s="0" t="n">
        <v>44201.88</v>
      </c>
      <c r="J660" s="0" t="n">
        <v>28393.32</v>
      </c>
      <c r="K660" s="0" t="n">
        <v>15808.56</v>
      </c>
    </row>
    <row r="661" customFormat="false" ht="15" hidden="false" customHeight="false" outlineLevel="0" collapsed="false">
      <c r="A661" s="0" t="s">
        <v>1247</v>
      </c>
      <c r="B661" s="0" t="s">
        <v>82</v>
      </c>
      <c r="C661" s="0" t="s">
        <v>221</v>
      </c>
      <c r="D661" s="0" t="s">
        <v>548</v>
      </c>
      <c r="E661" s="0" t="s">
        <v>549</v>
      </c>
      <c r="F661" s="0" t="n">
        <v>457</v>
      </c>
      <c r="G661" s="0" t="n">
        <v>130.22</v>
      </c>
      <c r="H661" s="0" t="n">
        <v>80.08</v>
      </c>
      <c r="I661" s="0" t="n">
        <v>59510.54</v>
      </c>
      <c r="J661" s="0" t="n">
        <v>36596.56</v>
      </c>
      <c r="K661" s="0" t="n">
        <v>22913.98</v>
      </c>
    </row>
    <row r="662" customFormat="false" ht="15" hidden="false" customHeight="false" outlineLevel="0" collapsed="false">
      <c r="A662" s="0" t="s">
        <v>1248</v>
      </c>
      <c r="B662" s="0" t="s">
        <v>82</v>
      </c>
      <c r="C662" s="0" t="s">
        <v>221</v>
      </c>
      <c r="D662" s="0" t="s">
        <v>551</v>
      </c>
      <c r="E662" s="0" t="s">
        <v>552</v>
      </c>
      <c r="F662" s="0" t="n">
        <v>191</v>
      </c>
      <c r="G662" s="0" t="n">
        <v>182.95</v>
      </c>
      <c r="H662" s="0" t="n">
        <v>120.93</v>
      </c>
      <c r="I662" s="0" t="n">
        <v>34943.45</v>
      </c>
      <c r="J662" s="0" t="n">
        <v>23097.63</v>
      </c>
      <c r="K662" s="0" t="n">
        <v>11845.82</v>
      </c>
    </row>
    <row r="663" customFormat="false" ht="15" hidden="false" customHeight="false" outlineLevel="0" collapsed="false">
      <c r="A663" s="0" t="s">
        <v>1249</v>
      </c>
      <c r="B663" s="0" t="s">
        <v>82</v>
      </c>
      <c r="C663" s="0" t="s">
        <v>221</v>
      </c>
      <c r="D663" s="0" t="s">
        <v>554</v>
      </c>
      <c r="E663" s="0" t="s">
        <v>555</v>
      </c>
      <c r="F663" s="0" t="n">
        <v>329</v>
      </c>
      <c r="G663" s="0" t="n">
        <v>167.7</v>
      </c>
      <c r="H663" s="0" t="n">
        <v>95.77</v>
      </c>
      <c r="I663" s="0" t="n">
        <v>55173.3</v>
      </c>
      <c r="J663" s="0" t="n">
        <v>31508.33</v>
      </c>
      <c r="K663" s="0" t="n">
        <v>23664.97</v>
      </c>
    </row>
    <row r="664" customFormat="false" ht="15" hidden="false" customHeight="false" outlineLevel="0" collapsed="false">
      <c r="A664" s="0" t="s">
        <v>1250</v>
      </c>
      <c r="B664" s="0" t="s">
        <v>82</v>
      </c>
      <c r="C664" s="0" t="s">
        <v>221</v>
      </c>
      <c r="D664" s="0" t="s">
        <v>557</v>
      </c>
      <c r="E664" s="0" t="s">
        <v>534</v>
      </c>
      <c r="F664" s="0" t="n">
        <v>173</v>
      </c>
      <c r="G664" s="0" t="n">
        <v>199.45</v>
      </c>
      <c r="H664" s="0" t="n">
        <v>135.16</v>
      </c>
      <c r="I664" s="0" t="n">
        <v>34504.85</v>
      </c>
      <c r="J664" s="0" t="n">
        <v>23382.68</v>
      </c>
      <c r="K664" s="0" t="n">
        <v>11122.17</v>
      </c>
    </row>
    <row r="665" customFormat="false" ht="15" hidden="false" customHeight="false" outlineLevel="0" collapsed="false">
      <c r="A665" s="0" t="s">
        <v>1251</v>
      </c>
      <c r="B665" s="0" t="s">
        <v>82</v>
      </c>
      <c r="C665" s="0" t="s">
        <v>221</v>
      </c>
      <c r="D665" s="0" t="s">
        <v>559</v>
      </c>
      <c r="E665" s="0" t="s">
        <v>537</v>
      </c>
      <c r="F665" s="0" t="n">
        <v>364</v>
      </c>
      <c r="G665" s="0" t="n">
        <v>238.69</v>
      </c>
      <c r="H665" s="0" t="n">
        <v>164.21</v>
      </c>
      <c r="I665" s="0" t="n">
        <v>86883.16</v>
      </c>
      <c r="J665" s="0" t="n">
        <v>59772.44</v>
      </c>
      <c r="K665" s="0" t="n">
        <v>27110.72</v>
      </c>
    </row>
    <row r="666" customFormat="false" ht="15" hidden="false" customHeight="false" outlineLevel="0" collapsed="false">
      <c r="A666" s="0" t="s">
        <v>1252</v>
      </c>
      <c r="B666" s="0" t="s">
        <v>82</v>
      </c>
      <c r="C666" s="0" t="s">
        <v>221</v>
      </c>
      <c r="D666" s="0" t="s">
        <v>561</v>
      </c>
      <c r="E666" s="0" t="s">
        <v>540</v>
      </c>
      <c r="F666" s="0" t="n">
        <v>454</v>
      </c>
      <c r="G666" s="0" t="n">
        <v>273.98</v>
      </c>
      <c r="H666" s="0" t="n">
        <v>180.65</v>
      </c>
      <c r="I666" s="0" t="n">
        <v>124386.92</v>
      </c>
      <c r="J666" s="0" t="n">
        <v>82015.1</v>
      </c>
      <c r="K666" s="0" t="n">
        <v>42371.82</v>
      </c>
    </row>
    <row r="667" customFormat="false" ht="15" hidden="false" customHeight="false" outlineLevel="0" collapsed="false">
      <c r="A667" s="0" t="s">
        <v>1253</v>
      </c>
      <c r="B667" s="0" t="s">
        <v>82</v>
      </c>
      <c r="C667" s="0" t="s">
        <v>221</v>
      </c>
      <c r="D667" s="0" t="s">
        <v>563</v>
      </c>
      <c r="E667" s="0" t="s">
        <v>543</v>
      </c>
      <c r="F667" s="0" t="n">
        <v>220</v>
      </c>
      <c r="G667" s="0" t="n">
        <v>315.03</v>
      </c>
      <c r="H667" s="0" t="n">
        <v>198.58</v>
      </c>
      <c r="I667" s="0" t="n">
        <v>69306.6</v>
      </c>
      <c r="J667" s="0" t="n">
        <v>43687.6</v>
      </c>
      <c r="K667" s="0" t="n">
        <v>25619</v>
      </c>
    </row>
    <row r="668" customFormat="false" ht="15" hidden="false" customHeight="false" outlineLevel="0" collapsed="false">
      <c r="A668" s="0" t="s">
        <v>1254</v>
      </c>
      <c r="B668" s="0" t="s">
        <v>82</v>
      </c>
      <c r="C668" s="0" t="s">
        <v>221</v>
      </c>
      <c r="D668" s="0" t="s">
        <v>565</v>
      </c>
      <c r="E668" s="0" t="s">
        <v>546</v>
      </c>
      <c r="F668" s="0" t="n">
        <v>211</v>
      </c>
      <c r="G668" s="0" t="n">
        <v>101.89</v>
      </c>
      <c r="H668" s="0" t="n">
        <v>66.72</v>
      </c>
      <c r="I668" s="0" t="n">
        <v>21498.79</v>
      </c>
      <c r="J668" s="0" t="n">
        <v>14077.92</v>
      </c>
      <c r="K668" s="0" t="n">
        <v>7420.87</v>
      </c>
    </row>
    <row r="669" customFormat="false" ht="15" hidden="false" customHeight="false" outlineLevel="0" collapsed="false">
      <c r="A669" s="0" t="s">
        <v>1255</v>
      </c>
      <c r="B669" s="0" t="s">
        <v>82</v>
      </c>
      <c r="C669" s="0" t="s">
        <v>221</v>
      </c>
      <c r="D669" s="0" t="s">
        <v>567</v>
      </c>
      <c r="E669" s="0" t="s">
        <v>549</v>
      </c>
      <c r="F669" s="0" t="n">
        <v>237</v>
      </c>
      <c r="G669" s="0" t="n">
        <v>143.59</v>
      </c>
      <c r="H669" s="0" t="n">
        <v>85.66</v>
      </c>
      <c r="I669" s="0" t="n">
        <v>34030.83</v>
      </c>
      <c r="J669" s="0" t="n">
        <v>20301.42</v>
      </c>
      <c r="K669" s="0" t="n">
        <v>13729.41</v>
      </c>
    </row>
    <row r="670" customFormat="false" ht="15" hidden="false" customHeight="false" outlineLevel="0" collapsed="false">
      <c r="A670" s="0" t="s">
        <v>1256</v>
      </c>
      <c r="B670" s="0" t="s">
        <v>82</v>
      </c>
      <c r="C670" s="0" t="s">
        <v>221</v>
      </c>
      <c r="D670" s="0" t="s">
        <v>569</v>
      </c>
      <c r="E670" s="0" t="s">
        <v>552</v>
      </c>
      <c r="F670" s="0" t="n">
        <v>438</v>
      </c>
      <c r="G670" s="0" t="n">
        <v>186.51</v>
      </c>
      <c r="H670" s="0" t="n">
        <v>111.78</v>
      </c>
      <c r="I670" s="0" t="n">
        <v>81691.38</v>
      </c>
      <c r="J670" s="0" t="n">
        <v>48959.64</v>
      </c>
      <c r="K670" s="0" t="n">
        <v>32731.74</v>
      </c>
    </row>
    <row r="671" customFormat="false" ht="15" hidden="false" customHeight="false" outlineLevel="0" collapsed="false">
      <c r="A671" s="0" t="s">
        <v>1257</v>
      </c>
      <c r="B671" s="0" t="s">
        <v>82</v>
      </c>
      <c r="C671" s="0" t="s">
        <v>221</v>
      </c>
      <c r="D671" s="0" t="s">
        <v>571</v>
      </c>
      <c r="E671" s="0" t="s">
        <v>555</v>
      </c>
      <c r="F671" s="0" t="n">
        <v>263</v>
      </c>
      <c r="G671" s="0" t="n">
        <v>168.5</v>
      </c>
      <c r="H671" s="0" t="n">
        <v>102.93</v>
      </c>
      <c r="I671" s="0" t="n">
        <v>44315.5</v>
      </c>
      <c r="J671" s="0" t="n">
        <v>27070.59</v>
      </c>
      <c r="K671" s="0" t="n">
        <v>17244.91</v>
      </c>
    </row>
    <row r="672" customFormat="false" ht="15" hidden="false" customHeight="false" outlineLevel="0" collapsed="false">
      <c r="A672" s="0" t="s">
        <v>1258</v>
      </c>
      <c r="B672" s="0" t="s">
        <v>82</v>
      </c>
      <c r="C672" s="0" t="s">
        <v>221</v>
      </c>
      <c r="D672" s="0" t="s">
        <v>573</v>
      </c>
      <c r="E672" s="0" t="s">
        <v>534</v>
      </c>
      <c r="F672" s="0" t="n">
        <v>454</v>
      </c>
      <c r="G672" s="0" t="n">
        <v>194.37</v>
      </c>
      <c r="H672" s="0" t="n">
        <v>128.65</v>
      </c>
      <c r="I672" s="0" t="n">
        <v>88243.98</v>
      </c>
      <c r="J672" s="0" t="n">
        <v>58407.1</v>
      </c>
      <c r="K672" s="0" t="n">
        <v>29836.88</v>
      </c>
    </row>
    <row r="673" customFormat="false" ht="15" hidden="false" customHeight="false" outlineLevel="0" collapsed="false">
      <c r="A673" s="0" t="s">
        <v>1259</v>
      </c>
      <c r="B673" s="0" t="s">
        <v>82</v>
      </c>
      <c r="C673" s="0" t="s">
        <v>221</v>
      </c>
      <c r="D673" s="0" t="s">
        <v>575</v>
      </c>
      <c r="E673" s="0" t="s">
        <v>537</v>
      </c>
      <c r="F673" s="0" t="n">
        <v>431</v>
      </c>
      <c r="G673" s="0" t="n">
        <v>244.96</v>
      </c>
      <c r="H673" s="0" t="n">
        <v>166.53</v>
      </c>
      <c r="I673" s="0" t="n">
        <v>105577.76</v>
      </c>
      <c r="J673" s="0" t="n">
        <v>71774.43</v>
      </c>
      <c r="K673" s="0" t="n">
        <v>33803.33</v>
      </c>
    </row>
    <row r="674" customFormat="false" ht="15" hidden="false" customHeight="false" outlineLevel="0" collapsed="false">
      <c r="A674" s="0" t="s">
        <v>1260</v>
      </c>
      <c r="B674" s="0" t="s">
        <v>82</v>
      </c>
      <c r="C674" s="0" t="s">
        <v>221</v>
      </c>
      <c r="D674" s="0" t="s">
        <v>577</v>
      </c>
      <c r="E674" s="0" t="s">
        <v>540</v>
      </c>
      <c r="F674" s="0" t="n">
        <v>287</v>
      </c>
      <c r="G674" s="0" t="n">
        <v>278.99</v>
      </c>
      <c r="H674" s="0" t="n">
        <v>183.75</v>
      </c>
      <c r="I674" s="0" t="n">
        <v>80070.13</v>
      </c>
      <c r="J674" s="0" t="n">
        <v>52736.25</v>
      </c>
      <c r="K674" s="0" t="n">
        <v>27333.88</v>
      </c>
    </row>
    <row r="675" customFormat="false" ht="15" hidden="false" customHeight="false" outlineLevel="0" collapsed="false">
      <c r="A675" s="0" t="s">
        <v>1261</v>
      </c>
      <c r="B675" s="0" t="s">
        <v>82</v>
      </c>
      <c r="C675" s="0" t="s">
        <v>221</v>
      </c>
      <c r="D675" s="0" t="s">
        <v>579</v>
      </c>
      <c r="E675" s="0" t="s">
        <v>543</v>
      </c>
      <c r="F675" s="0" t="n">
        <v>159</v>
      </c>
      <c r="G675" s="0" t="n">
        <v>301.52</v>
      </c>
      <c r="H675" s="0" t="n">
        <v>200.89</v>
      </c>
      <c r="I675" s="0" t="n">
        <v>47941.68</v>
      </c>
      <c r="J675" s="0" t="n">
        <v>31941.51</v>
      </c>
      <c r="K675" s="0" t="n">
        <v>16000.17</v>
      </c>
    </row>
    <row r="676" customFormat="false" ht="15" hidden="false" customHeight="false" outlineLevel="0" collapsed="false">
      <c r="A676" s="0" t="s">
        <v>1262</v>
      </c>
      <c r="B676" s="0" t="s">
        <v>82</v>
      </c>
      <c r="C676" s="0" t="s">
        <v>221</v>
      </c>
      <c r="D676" s="0" t="s">
        <v>581</v>
      </c>
      <c r="E676" s="0" t="s">
        <v>546</v>
      </c>
      <c r="F676" s="0" t="n">
        <v>450</v>
      </c>
      <c r="G676" s="0" t="n">
        <v>99.03</v>
      </c>
      <c r="H676" s="0" t="n">
        <v>71.75</v>
      </c>
      <c r="I676" s="0" t="n">
        <v>44563.5</v>
      </c>
      <c r="J676" s="0" t="n">
        <v>32287.5</v>
      </c>
      <c r="K676" s="0" t="n">
        <v>12276</v>
      </c>
    </row>
    <row r="677" customFormat="false" ht="15" hidden="false" customHeight="false" outlineLevel="0" collapsed="false">
      <c r="A677" s="0" t="s">
        <v>1263</v>
      </c>
      <c r="B677" s="0" t="s">
        <v>82</v>
      </c>
      <c r="C677" s="0" t="s">
        <v>221</v>
      </c>
      <c r="D677" s="0" t="s">
        <v>583</v>
      </c>
      <c r="E677" s="0" t="s">
        <v>549</v>
      </c>
      <c r="F677" s="0" t="n">
        <v>420</v>
      </c>
      <c r="G677" s="0" t="n">
        <v>133.88</v>
      </c>
      <c r="H677" s="0" t="n">
        <v>83.43</v>
      </c>
      <c r="I677" s="0" t="n">
        <v>56229.6</v>
      </c>
      <c r="J677" s="0" t="n">
        <v>35040.6</v>
      </c>
      <c r="K677" s="0" t="n">
        <v>21189</v>
      </c>
    </row>
    <row r="678" customFormat="false" ht="15" hidden="false" customHeight="false" outlineLevel="0" collapsed="false">
      <c r="A678" s="0" t="s">
        <v>1264</v>
      </c>
      <c r="B678" s="0" t="s">
        <v>82</v>
      </c>
      <c r="C678" s="0" t="s">
        <v>221</v>
      </c>
      <c r="D678" s="0" t="s">
        <v>585</v>
      </c>
      <c r="E678" s="0" t="s">
        <v>552</v>
      </c>
      <c r="F678" s="0" t="n">
        <v>188</v>
      </c>
      <c r="G678" s="0" t="n">
        <v>189.55</v>
      </c>
      <c r="H678" s="0" t="n">
        <v>111.16</v>
      </c>
      <c r="I678" s="0" t="n">
        <v>35635.4</v>
      </c>
      <c r="J678" s="0" t="n">
        <v>20898.08</v>
      </c>
      <c r="K678" s="0" t="n">
        <v>14737.32</v>
      </c>
    </row>
    <row r="679" customFormat="false" ht="15" hidden="false" customHeight="false" outlineLevel="0" collapsed="false">
      <c r="A679" s="0" t="s">
        <v>1265</v>
      </c>
      <c r="B679" s="0" t="s">
        <v>82</v>
      </c>
      <c r="C679" s="0" t="s">
        <v>221</v>
      </c>
      <c r="D679" s="0" t="s">
        <v>587</v>
      </c>
      <c r="E679" s="0" t="s">
        <v>555</v>
      </c>
      <c r="F679" s="0" t="n">
        <v>372</v>
      </c>
      <c r="G679" s="0" t="n">
        <v>171.59</v>
      </c>
      <c r="H679" s="0" t="n">
        <v>93.74</v>
      </c>
      <c r="I679" s="0" t="n">
        <v>63831.48</v>
      </c>
      <c r="J679" s="0" t="n">
        <v>34871.28</v>
      </c>
      <c r="K679" s="0" t="n">
        <v>28960.2</v>
      </c>
    </row>
    <row r="680" customFormat="false" ht="15" hidden="false" customHeight="false" outlineLevel="0" collapsed="false">
      <c r="A680" s="0" t="s">
        <v>1266</v>
      </c>
      <c r="B680" s="0" t="s">
        <v>82</v>
      </c>
      <c r="C680" s="0" t="s">
        <v>221</v>
      </c>
      <c r="D680" s="0" t="s">
        <v>589</v>
      </c>
      <c r="E680" s="0" t="s">
        <v>534</v>
      </c>
      <c r="F680" s="0" t="n">
        <v>400</v>
      </c>
      <c r="G680" s="0" t="n">
        <v>207.13</v>
      </c>
      <c r="H680" s="0" t="n">
        <v>130.51</v>
      </c>
      <c r="I680" s="0" t="n">
        <v>82852</v>
      </c>
      <c r="J680" s="0" t="n">
        <v>52204</v>
      </c>
      <c r="K680" s="0" t="n">
        <v>30648</v>
      </c>
    </row>
    <row r="681" customFormat="false" ht="15" hidden="false" customHeight="false" outlineLevel="0" collapsed="false">
      <c r="A681" s="0" t="s">
        <v>1267</v>
      </c>
      <c r="B681" s="0" t="s">
        <v>82</v>
      </c>
      <c r="C681" s="0" t="s">
        <v>221</v>
      </c>
      <c r="D681" s="0" t="s">
        <v>591</v>
      </c>
      <c r="E681" s="0" t="s">
        <v>537</v>
      </c>
      <c r="F681" s="0" t="n">
        <v>110</v>
      </c>
      <c r="G681" s="0" t="n">
        <v>249.15</v>
      </c>
      <c r="H681" s="0" t="n">
        <v>159.7</v>
      </c>
      <c r="I681" s="0" t="n">
        <v>27406.5</v>
      </c>
      <c r="J681" s="0" t="n">
        <v>17567</v>
      </c>
      <c r="K681" s="0" t="n">
        <v>9839.5</v>
      </c>
    </row>
    <row r="682" customFormat="false" ht="15" hidden="false" customHeight="false" outlineLevel="0" collapsed="false">
      <c r="A682" s="0" t="s">
        <v>1268</v>
      </c>
      <c r="B682" s="0" t="s">
        <v>82</v>
      </c>
      <c r="C682" s="0" t="s">
        <v>221</v>
      </c>
      <c r="D682" s="0" t="s">
        <v>593</v>
      </c>
      <c r="E682" s="0" t="s">
        <v>540</v>
      </c>
      <c r="F682" s="0" t="n">
        <v>411</v>
      </c>
      <c r="G682" s="0" t="n">
        <v>257.68</v>
      </c>
      <c r="H682" s="0" t="n">
        <v>166.22</v>
      </c>
      <c r="I682" s="0" t="n">
        <v>105906.48</v>
      </c>
      <c r="J682" s="0" t="n">
        <v>68316.42</v>
      </c>
      <c r="K682" s="0" t="n">
        <v>37590.06</v>
      </c>
    </row>
    <row r="683" customFormat="false" ht="15" hidden="false" customHeight="false" outlineLevel="0" collapsed="false">
      <c r="A683" s="0" t="s">
        <v>1269</v>
      </c>
      <c r="B683" s="0" t="s">
        <v>82</v>
      </c>
      <c r="C683" s="0" t="s">
        <v>221</v>
      </c>
      <c r="D683" s="0" t="s">
        <v>595</v>
      </c>
      <c r="E683" s="0" t="s">
        <v>543</v>
      </c>
      <c r="F683" s="0" t="n">
        <v>254</v>
      </c>
      <c r="G683" s="0" t="n">
        <v>319.56</v>
      </c>
      <c r="H683" s="0" t="n">
        <v>196.36</v>
      </c>
      <c r="I683" s="0" t="n">
        <v>81168.24</v>
      </c>
      <c r="J683" s="0" t="n">
        <v>49875.44</v>
      </c>
      <c r="K683" s="0" t="n">
        <v>31292.8</v>
      </c>
    </row>
    <row r="684" customFormat="false" ht="15" hidden="false" customHeight="false" outlineLevel="0" collapsed="false">
      <c r="A684" s="0" t="s">
        <v>1270</v>
      </c>
      <c r="B684" s="0" t="s">
        <v>82</v>
      </c>
      <c r="C684" s="0" t="s">
        <v>221</v>
      </c>
      <c r="D684" s="0" t="s">
        <v>597</v>
      </c>
      <c r="E684" s="0" t="s">
        <v>546</v>
      </c>
      <c r="F684" s="0" t="n">
        <v>155</v>
      </c>
      <c r="G684" s="0" t="n">
        <v>97.97</v>
      </c>
      <c r="H684" s="0" t="n">
        <v>68.74</v>
      </c>
      <c r="I684" s="0" t="n">
        <v>15185.35</v>
      </c>
      <c r="J684" s="0" t="n">
        <v>10654.7</v>
      </c>
      <c r="K684" s="0" t="n">
        <v>4530.65</v>
      </c>
    </row>
    <row r="685" customFormat="false" ht="15" hidden="false" customHeight="false" outlineLevel="0" collapsed="false">
      <c r="A685" s="0" t="s">
        <v>1271</v>
      </c>
      <c r="B685" s="0" t="s">
        <v>82</v>
      </c>
      <c r="C685" s="0" t="s">
        <v>221</v>
      </c>
      <c r="D685" s="0" t="s">
        <v>599</v>
      </c>
      <c r="E685" s="0" t="s">
        <v>549</v>
      </c>
      <c r="F685" s="0" t="n">
        <v>165</v>
      </c>
      <c r="G685" s="0" t="n">
        <v>136.72</v>
      </c>
      <c r="H685" s="0" t="n">
        <v>87.92</v>
      </c>
      <c r="I685" s="0" t="n">
        <v>22558.8</v>
      </c>
      <c r="J685" s="0" t="n">
        <v>14506.8</v>
      </c>
      <c r="K685" s="0" t="n">
        <v>8052</v>
      </c>
    </row>
    <row r="686" customFormat="false" ht="15" hidden="false" customHeight="false" outlineLevel="0" collapsed="false">
      <c r="A686" s="0" t="s">
        <v>1272</v>
      </c>
      <c r="B686" s="0" t="s">
        <v>83</v>
      </c>
      <c r="C686" s="0" t="s">
        <v>221</v>
      </c>
      <c r="D686" s="0" t="s">
        <v>571</v>
      </c>
      <c r="E686" s="0" t="s">
        <v>555</v>
      </c>
      <c r="F686" s="0" t="n">
        <v>328</v>
      </c>
      <c r="G686" s="0" t="n">
        <v>166.61</v>
      </c>
      <c r="H686" s="0" t="n">
        <v>94.46</v>
      </c>
      <c r="I686" s="0" t="n">
        <v>54648.08</v>
      </c>
      <c r="J686" s="0" t="n">
        <v>30982.88</v>
      </c>
      <c r="K686" s="0" t="n">
        <v>23665.2</v>
      </c>
    </row>
    <row r="687" customFormat="false" ht="15" hidden="false" customHeight="false" outlineLevel="0" collapsed="false">
      <c r="A687" s="0" t="s">
        <v>1273</v>
      </c>
      <c r="B687" s="0" t="s">
        <v>83</v>
      </c>
      <c r="C687" s="0" t="s">
        <v>221</v>
      </c>
      <c r="D687" s="0" t="s">
        <v>573</v>
      </c>
      <c r="E687" s="0" t="s">
        <v>534</v>
      </c>
      <c r="F687" s="0" t="n">
        <v>232</v>
      </c>
      <c r="G687" s="0" t="n">
        <v>195.67</v>
      </c>
      <c r="H687" s="0" t="n">
        <v>136.95</v>
      </c>
      <c r="I687" s="0" t="n">
        <v>45395.44</v>
      </c>
      <c r="J687" s="0" t="n">
        <v>31772.4</v>
      </c>
      <c r="K687" s="0" t="n">
        <v>13623.04</v>
      </c>
    </row>
    <row r="688" customFormat="false" ht="15" hidden="false" customHeight="false" outlineLevel="0" collapsed="false">
      <c r="A688" s="0" t="s">
        <v>1274</v>
      </c>
      <c r="B688" s="0" t="s">
        <v>83</v>
      </c>
      <c r="C688" s="0" t="s">
        <v>221</v>
      </c>
      <c r="D688" s="0" t="s">
        <v>575</v>
      </c>
      <c r="E688" s="0" t="s">
        <v>537</v>
      </c>
      <c r="F688" s="0" t="n">
        <v>130</v>
      </c>
      <c r="G688" s="0" t="n">
        <v>248.57</v>
      </c>
      <c r="H688" s="0" t="n">
        <v>154.11</v>
      </c>
      <c r="I688" s="0" t="n">
        <v>32314.1</v>
      </c>
      <c r="J688" s="0" t="n">
        <v>20034.3</v>
      </c>
      <c r="K688" s="0" t="n">
        <v>12279.8</v>
      </c>
    </row>
    <row r="689" customFormat="false" ht="15" hidden="false" customHeight="false" outlineLevel="0" collapsed="false">
      <c r="A689" s="0" t="s">
        <v>1275</v>
      </c>
      <c r="B689" s="0" t="s">
        <v>83</v>
      </c>
      <c r="C689" s="0" t="s">
        <v>221</v>
      </c>
      <c r="D689" s="0" t="s">
        <v>577</v>
      </c>
      <c r="E689" s="0" t="s">
        <v>540</v>
      </c>
      <c r="F689" s="0" t="n">
        <v>455</v>
      </c>
      <c r="G689" s="0" t="n">
        <v>280.15</v>
      </c>
      <c r="H689" s="0" t="n">
        <v>164.93</v>
      </c>
      <c r="I689" s="0" t="n">
        <v>127468.25</v>
      </c>
      <c r="J689" s="0" t="n">
        <v>75043.15</v>
      </c>
      <c r="K689" s="0" t="n">
        <v>52425.1</v>
      </c>
    </row>
    <row r="690" customFormat="false" ht="15" hidden="false" customHeight="false" outlineLevel="0" collapsed="false">
      <c r="A690" s="0" t="s">
        <v>1276</v>
      </c>
      <c r="B690" s="0" t="s">
        <v>83</v>
      </c>
      <c r="C690" s="0" t="s">
        <v>221</v>
      </c>
      <c r="D690" s="0" t="s">
        <v>579</v>
      </c>
      <c r="E690" s="0" t="s">
        <v>543</v>
      </c>
      <c r="F690" s="0" t="n">
        <v>174</v>
      </c>
      <c r="G690" s="0" t="n">
        <v>306.91</v>
      </c>
      <c r="H690" s="0" t="n">
        <v>214.22</v>
      </c>
      <c r="I690" s="0" t="n">
        <v>53402.34</v>
      </c>
      <c r="J690" s="0" t="n">
        <v>37274.28</v>
      </c>
      <c r="K690" s="0" t="n">
        <v>16128.06</v>
      </c>
    </row>
    <row r="691" customFormat="false" ht="15" hidden="false" customHeight="false" outlineLevel="0" collapsed="false">
      <c r="A691" s="0" t="s">
        <v>1277</v>
      </c>
      <c r="B691" s="0" t="s">
        <v>83</v>
      </c>
      <c r="C691" s="0" t="s">
        <v>221</v>
      </c>
      <c r="D691" s="0" t="s">
        <v>581</v>
      </c>
      <c r="E691" s="0" t="s">
        <v>546</v>
      </c>
      <c r="F691" s="0" t="n">
        <v>103</v>
      </c>
      <c r="G691" s="0" t="n">
        <v>112.16</v>
      </c>
      <c r="H691" s="0" t="n">
        <v>67.51</v>
      </c>
      <c r="I691" s="0" t="n">
        <v>11552.48</v>
      </c>
      <c r="J691" s="0" t="n">
        <v>6953.53</v>
      </c>
      <c r="K691" s="0" t="n">
        <v>4598.95</v>
      </c>
    </row>
    <row r="692" customFormat="false" ht="15" hidden="false" customHeight="false" outlineLevel="0" collapsed="false">
      <c r="A692" s="0" t="s">
        <v>1278</v>
      </c>
      <c r="B692" s="0" t="s">
        <v>83</v>
      </c>
      <c r="C692" s="0" t="s">
        <v>221</v>
      </c>
      <c r="D692" s="0" t="s">
        <v>583</v>
      </c>
      <c r="E692" s="0" t="s">
        <v>549</v>
      </c>
      <c r="F692" s="0" t="n">
        <v>338</v>
      </c>
      <c r="G692" s="0" t="n">
        <v>132.56</v>
      </c>
      <c r="H692" s="0" t="n">
        <v>86.09</v>
      </c>
      <c r="I692" s="0" t="n">
        <v>44805.28</v>
      </c>
      <c r="J692" s="0" t="n">
        <v>29098.42</v>
      </c>
      <c r="K692" s="0" t="n">
        <v>15706.86</v>
      </c>
    </row>
    <row r="693" customFormat="false" ht="15" hidden="false" customHeight="false" outlineLevel="0" collapsed="false">
      <c r="A693" s="0" t="s">
        <v>1279</v>
      </c>
      <c r="B693" s="0" t="s">
        <v>83</v>
      </c>
      <c r="C693" s="0" t="s">
        <v>221</v>
      </c>
      <c r="D693" s="0" t="s">
        <v>585</v>
      </c>
      <c r="E693" s="0" t="s">
        <v>552</v>
      </c>
      <c r="F693" s="0" t="n">
        <v>233</v>
      </c>
      <c r="G693" s="0" t="n">
        <v>190.76</v>
      </c>
      <c r="H693" s="0" t="n">
        <v>107.64</v>
      </c>
      <c r="I693" s="0" t="n">
        <v>44447.08</v>
      </c>
      <c r="J693" s="0" t="n">
        <v>25080.12</v>
      </c>
      <c r="K693" s="0" t="n">
        <v>19366.96</v>
      </c>
    </row>
    <row r="694" customFormat="false" ht="15" hidden="false" customHeight="false" outlineLevel="0" collapsed="false">
      <c r="A694" s="0" t="s">
        <v>1280</v>
      </c>
      <c r="B694" s="0" t="s">
        <v>83</v>
      </c>
      <c r="C694" s="0" t="s">
        <v>221</v>
      </c>
      <c r="D694" s="0" t="s">
        <v>587</v>
      </c>
      <c r="E694" s="0" t="s">
        <v>555</v>
      </c>
      <c r="F694" s="0" t="n">
        <v>375</v>
      </c>
      <c r="G694" s="0" t="n">
        <v>169.46</v>
      </c>
      <c r="H694" s="0" t="n">
        <v>102.86</v>
      </c>
      <c r="I694" s="0" t="n">
        <v>63547.5</v>
      </c>
      <c r="J694" s="0" t="n">
        <v>38572.5</v>
      </c>
      <c r="K694" s="0" t="n">
        <v>24975</v>
      </c>
    </row>
    <row r="695" customFormat="false" ht="15" hidden="false" customHeight="false" outlineLevel="0" collapsed="false">
      <c r="A695" s="0" t="s">
        <v>1281</v>
      </c>
      <c r="B695" s="0" t="s">
        <v>83</v>
      </c>
      <c r="C695" s="0" t="s">
        <v>221</v>
      </c>
      <c r="D695" s="0" t="s">
        <v>589</v>
      </c>
      <c r="E695" s="0" t="s">
        <v>534</v>
      </c>
      <c r="F695" s="0" t="n">
        <v>256</v>
      </c>
      <c r="G695" s="0" t="n">
        <v>194.67</v>
      </c>
      <c r="H695" s="0" t="n">
        <v>142.39</v>
      </c>
      <c r="I695" s="0" t="n">
        <v>49835.52</v>
      </c>
      <c r="J695" s="0" t="n">
        <v>36451.84</v>
      </c>
      <c r="K695" s="0" t="n">
        <v>13383.68</v>
      </c>
    </row>
    <row r="696" customFormat="false" ht="15" hidden="false" customHeight="false" outlineLevel="0" collapsed="false">
      <c r="A696" s="0" t="s">
        <v>1282</v>
      </c>
      <c r="B696" s="0" t="s">
        <v>83</v>
      </c>
      <c r="C696" s="0" t="s">
        <v>221</v>
      </c>
      <c r="D696" s="0" t="s">
        <v>591</v>
      </c>
      <c r="E696" s="0" t="s">
        <v>537</v>
      </c>
      <c r="F696" s="0" t="n">
        <v>363</v>
      </c>
      <c r="G696" s="0" t="n">
        <v>244.33</v>
      </c>
      <c r="H696" s="0" t="n">
        <v>166.41</v>
      </c>
      <c r="I696" s="0" t="n">
        <v>88691.79</v>
      </c>
      <c r="J696" s="0" t="n">
        <v>60406.83</v>
      </c>
      <c r="K696" s="0" t="n">
        <v>28284.96</v>
      </c>
    </row>
    <row r="697" customFormat="false" ht="15" hidden="false" customHeight="false" outlineLevel="0" collapsed="false">
      <c r="A697" s="0" t="s">
        <v>1283</v>
      </c>
      <c r="B697" s="0" t="s">
        <v>83</v>
      </c>
      <c r="C697" s="0" t="s">
        <v>221</v>
      </c>
      <c r="D697" s="0" t="s">
        <v>593</v>
      </c>
      <c r="E697" s="0" t="s">
        <v>540</v>
      </c>
      <c r="F697" s="0" t="n">
        <v>153</v>
      </c>
      <c r="G697" s="0" t="n">
        <v>280.18</v>
      </c>
      <c r="H697" s="0" t="n">
        <v>173.76</v>
      </c>
      <c r="I697" s="0" t="n">
        <v>42867.54</v>
      </c>
      <c r="J697" s="0" t="n">
        <v>26585.28</v>
      </c>
      <c r="K697" s="0" t="n">
        <v>16282.26</v>
      </c>
    </row>
    <row r="698" customFormat="false" ht="15" hidden="false" customHeight="false" outlineLevel="0" collapsed="false">
      <c r="A698" s="0" t="s">
        <v>1284</v>
      </c>
      <c r="B698" s="0" t="s">
        <v>83</v>
      </c>
      <c r="C698" s="0" t="s">
        <v>221</v>
      </c>
      <c r="D698" s="0" t="s">
        <v>595</v>
      </c>
      <c r="E698" s="0" t="s">
        <v>543</v>
      </c>
      <c r="F698" s="0" t="n">
        <v>183</v>
      </c>
      <c r="G698" s="0" t="n">
        <v>323.42</v>
      </c>
      <c r="H698" s="0" t="n">
        <v>201.94</v>
      </c>
      <c r="I698" s="0" t="n">
        <v>59185.86</v>
      </c>
      <c r="J698" s="0" t="n">
        <v>36955.02</v>
      </c>
      <c r="K698" s="0" t="n">
        <v>22230.84</v>
      </c>
    </row>
    <row r="699" customFormat="false" ht="15" hidden="false" customHeight="false" outlineLevel="0" collapsed="false">
      <c r="A699" s="0" t="s">
        <v>1285</v>
      </c>
      <c r="B699" s="0" t="s">
        <v>83</v>
      </c>
      <c r="C699" s="0" t="s">
        <v>221</v>
      </c>
      <c r="D699" s="0" t="s">
        <v>597</v>
      </c>
      <c r="E699" s="0" t="s">
        <v>546</v>
      </c>
      <c r="F699" s="0" t="n">
        <v>459</v>
      </c>
      <c r="G699" s="0" t="n">
        <v>104.46</v>
      </c>
      <c r="H699" s="0" t="n">
        <v>66.39</v>
      </c>
      <c r="I699" s="0" t="n">
        <v>47947.14</v>
      </c>
      <c r="J699" s="0" t="n">
        <v>30473.01</v>
      </c>
      <c r="K699" s="0" t="n">
        <v>17474.13</v>
      </c>
    </row>
    <row r="700" customFormat="false" ht="15" hidden="false" customHeight="false" outlineLevel="0" collapsed="false">
      <c r="A700" s="0" t="s">
        <v>1286</v>
      </c>
      <c r="B700" s="0" t="s">
        <v>83</v>
      </c>
      <c r="C700" s="0" t="s">
        <v>221</v>
      </c>
      <c r="D700" s="0" t="s">
        <v>599</v>
      </c>
      <c r="E700" s="0" t="s">
        <v>549</v>
      </c>
      <c r="F700" s="0" t="n">
        <v>180</v>
      </c>
      <c r="G700" s="0" t="n">
        <v>129.32</v>
      </c>
      <c r="H700" s="0" t="n">
        <v>82.04</v>
      </c>
      <c r="I700" s="0" t="n">
        <v>23277.6</v>
      </c>
      <c r="J700" s="0" t="n">
        <v>14767.2</v>
      </c>
      <c r="K700" s="0" t="n">
        <v>8510.4</v>
      </c>
    </row>
    <row r="701" customFormat="false" ht="15" hidden="false" customHeight="false" outlineLevel="0" collapsed="false">
      <c r="A701" s="0" t="s">
        <v>1287</v>
      </c>
      <c r="B701" s="0" t="s">
        <v>83</v>
      </c>
      <c r="C701" s="0" t="s">
        <v>221</v>
      </c>
      <c r="D701" s="0" t="s">
        <v>601</v>
      </c>
      <c r="E701" s="0" t="s">
        <v>552</v>
      </c>
      <c r="F701" s="0" t="n">
        <v>236</v>
      </c>
      <c r="G701" s="0" t="n">
        <v>183.12</v>
      </c>
      <c r="H701" s="0" t="n">
        <v>117.7</v>
      </c>
      <c r="I701" s="0" t="n">
        <v>43216.32</v>
      </c>
      <c r="J701" s="0" t="n">
        <v>27777.2</v>
      </c>
      <c r="K701" s="0" t="n">
        <v>15439.12</v>
      </c>
    </row>
    <row r="702" customFormat="false" ht="15" hidden="false" customHeight="false" outlineLevel="0" collapsed="false">
      <c r="A702" s="0" t="s">
        <v>1288</v>
      </c>
      <c r="B702" s="0" t="s">
        <v>83</v>
      </c>
      <c r="C702" s="0" t="s">
        <v>221</v>
      </c>
      <c r="D702" s="0" t="s">
        <v>603</v>
      </c>
      <c r="E702" s="0" t="s">
        <v>555</v>
      </c>
      <c r="F702" s="0" t="n">
        <v>174</v>
      </c>
      <c r="G702" s="0" t="n">
        <v>169.65</v>
      </c>
      <c r="H702" s="0" t="n">
        <v>99.52</v>
      </c>
      <c r="I702" s="0" t="n">
        <v>29519.1</v>
      </c>
      <c r="J702" s="0" t="n">
        <v>17316.48</v>
      </c>
      <c r="K702" s="0" t="n">
        <v>12202.62</v>
      </c>
    </row>
    <row r="703" customFormat="false" ht="15" hidden="false" customHeight="false" outlineLevel="0" collapsed="false">
      <c r="A703" s="0" t="s">
        <v>1289</v>
      </c>
      <c r="B703" s="0" t="s">
        <v>83</v>
      </c>
      <c r="C703" s="0" t="s">
        <v>221</v>
      </c>
      <c r="D703" s="0" t="s">
        <v>605</v>
      </c>
      <c r="E703" s="0" t="s">
        <v>534</v>
      </c>
      <c r="F703" s="0" t="n">
        <v>292</v>
      </c>
      <c r="G703" s="0" t="n">
        <v>209.48</v>
      </c>
      <c r="H703" s="0" t="n">
        <v>134.88</v>
      </c>
      <c r="I703" s="0" t="n">
        <v>61168.16</v>
      </c>
      <c r="J703" s="0" t="n">
        <v>39384.96</v>
      </c>
      <c r="K703" s="0" t="n">
        <v>21783.2</v>
      </c>
    </row>
    <row r="704" customFormat="false" ht="15" hidden="false" customHeight="false" outlineLevel="0" collapsed="false">
      <c r="A704" s="0" t="s">
        <v>1290</v>
      </c>
      <c r="B704" s="0" t="s">
        <v>83</v>
      </c>
      <c r="C704" s="0" t="s">
        <v>221</v>
      </c>
      <c r="D704" s="0" t="s">
        <v>607</v>
      </c>
      <c r="E704" s="0" t="s">
        <v>537</v>
      </c>
      <c r="F704" s="0" t="n">
        <v>129</v>
      </c>
      <c r="G704" s="0" t="n">
        <v>240.24</v>
      </c>
      <c r="H704" s="0" t="n">
        <v>151.55</v>
      </c>
      <c r="I704" s="0" t="n">
        <v>30990.96</v>
      </c>
      <c r="J704" s="0" t="n">
        <v>19549.95</v>
      </c>
      <c r="K704" s="0" t="n">
        <v>11441.01</v>
      </c>
    </row>
    <row r="705" customFormat="false" ht="15" hidden="false" customHeight="false" outlineLevel="0" collapsed="false">
      <c r="A705" s="0" t="s">
        <v>1291</v>
      </c>
      <c r="B705" s="0" t="s">
        <v>83</v>
      </c>
      <c r="C705" s="0" t="s">
        <v>221</v>
      </c>
      <c r="D705" s="0" t="s">
        <v>609</v>
      </c>
      <c r="E705" s="0" t="s">
        <v>540</v>
      </c>
      <c r="F705" s="0" t="n">
        <v>156</v>
      </c>
      <c r="G705" s="0" t="n">
        <v>266.58</v>
      </c>
      <c r="H705" s="0" t="n">
        <v>183.36</v>
      </c>
      <c r="I705" s="0" t="n">
        <v>41586.48</v>
      </c>
      <c r="J705" s="0" t="n">
        <v>28604.16</v>
      </c>
      <c r="K705" s="0" t="n">
        <v>12982.32</v>
      </c>
    </row>
    <row r="706" customFormat="false" ht="15" hidden="false" customHeight="false" outlineLevel="0" collapsed="false">
      <c r="A706" s="0" t="s">
        <v>1292</v>
      </c>
      <c r="B706" s="0" t="s">
        <v>83</v>
      </c>
      <c r="C706" s="0" t="s">
        <v>221</v>
      </c>
      <c r="D706" s="0" t="s">
        <v>611</v>
      </c>
      <c r="E706" s="0" t="s">
        <v>543</v>
      </c>
      <c r="F706" s="0" t="n">
        <v>88</v>
      </c>
      <c r="G706" s="0" t="n">
        <v>300.27</v>
      </c>
      <c r="H706" s="0" t="n">
        <v>199.63</v>
      </c>
      <c r="I706" s="0" t="n">
        <v>26423.76</v>
      </c>
      <c r="J706" s="0" t="n">
        <v>17567.44</v>
      </c>
      <c r="K706" s="0" t="n">
        <v>8856.32</v>
      </c>
    </row>
    <row r="707" customFormat="false" ht="15" hidden="false" customHeight="false" outlineLevel="0" collapsed="false">
      <c r="A707" s="0" t="s">
        <v>1293</v>
      </c>
      <c r="B707" s="0" t="s">
        <v>83</v>
      </c>
      <c r="C707" s="0" t="s">
        <v>221</v>
      </c>
      <c r="D707" s="0" t="s">
        <v>628</v>
      </c>
      <c r="E707" s="0" t="s">
        <v>546</v>
      </c>
      <c r="F707" s="0" t="n">
        <v>221</v>
      </c>
      <c r="G707" s="0" t="n">
        <v>111.54</v>
      </c>
      <c r="H707" s="0" t="n">
        <v>66.75</v>
      </c>
      <c r="I707" s="0" t="n">
        <v>24650.34</v>
      </c>
      <c r="J707" s="0" t="n">
        <v>14751.75</v>
      </c>
      <c r="K707" s="0" t="n">
        <v>9898.59</v>
      </c>
    </row>
    <row r="708" customFormat="false" ht="15" hidden="false" customHeight="false" outlineLevel="0" collapsed="false">
      <c r="A708" s="0" t="s">
        <v>1294</v>
      </c>
      <c r="B708" s="0" t="s">
        <v>83</v>
      </c>
      <c r="C708" s="0" t="s">
        <v>221</v>
      </c>
      <c r="D708" s="0" t="s">
        <v>630</v>
      </c>
      <c r="E708" s="0" t="s">
        <v>549</v>
      </c>
      <c r="F708" s="0" t="n">
        <v>455</v>
      </c>
      <c r="G708" s="0" t="n">
        <v>139.85</v>
      </c>
      <c r="H708" s="0" t="n">
        <v>81.29</v>
      </c>
      <c r="I708" s="0" t="n">
        <v>63631.75</v>
      </c>
      <c r="J708" s="0" t="n">
        <v>36986.95</v>
      </c>
      <c r="K708" s="0" t="n">
        <v>26644.8</v>
      </c>
    </row>
    <row r="709" customFormat="false" ht="15" hidden="false" customHeight="false" outlineLevel="0" collapsed="false">
      <c r="A709" s="0" t="s">
        <v>1295</v>
      </c>
      <c r="B709" s="0" t="s">
        <v>83</v>
      </c>
      <c r="C709" s="0" t="s">
        <v>221</v>
      </c>
      <c r="D709" s="0" t="s">
        <v>632</v>
      </c>
      <c r="E709" s="0" t="s">
        <v>552</v>
      </c>
      <c r="F709" s="0" t="n">
        <v>269</v>
      </c>
      <c r="G709" s="0" t="n">
        <v>186.21</v>
      </c>
      <c r="H709" s="0" t="n">
        <v>108.35</v>
      </c>
      <c r="I709" s="0" t="n">
        <v>50090.49</v>
      </c>
      <c r="J709" s="0" t="n">
        <v>29146.15</v>
      </c>
      <c r="K709" s="0" t="n">
        <v>20944.34</v>
      </c>
    </row>
    <row r="710" customFormat="false" ht="15" hidden="false" customHeight="false" outlineLevel="0" collapsed="false">
      <c r="A710" s="0" t="s">
        <v>1296</v>
      </c>
      <c r="B710" s="0" t="s">
        <v>83</v>
      </c>
      <c r="C710" s="0" t="s">
        <v>221</v>
      </c>
      <c r="D710" s="0" t="s">
        <v>634</v>
      </c>
      <c r="E710" s="0" t="s">
        <v>555</v>
      </c>
      <c r="F710" s="0" t="n">
        <v>145</v>
      </c>
      <c r="G710" s="0" t="n">
        <v>166.34</v>
      </c>
      <c r="H710" s="0" t="n">
        <v>94</v>
      </c>
      <c r="I710" s="0" t="n">
        <v>24119.3</v>
      </c>
      <c r="J710" s="0" t="n">
        <v>13630</v>
      </c>
      <c r="K710" s="0" t="n">
        <v>10489.3</v>
      </c>
    </row>
    <row r="711" customFormat="false" ht="15" hidden="false" customHeight="false" outlineLevel="0" collapsed="false">
      <c r="A711" s="0" t="s">
        <v>1297</v>
      </c>
      <c r="B711" s="0" t="s">
        <v>83</v>
      </c>
      <c r="C711" s="0" t="s">
        <v>221</v>
      </c>
      <c r="D711" s="0" t="s">
        <v>636</v>
      </c>
      <c r="E711" s="0" t="s">
        <v>534</v>
      </c>
      <c r="F711" s="0" t="n">
        <v>436</v>
      </c>
      <c r="G711" s="0" t="n">
        <v>200.62</v>
      </c>
      <c r="H711" s="0" t="n">
        <v>140.9</v>
      </c>
      <c r="I711" s="0" t="n">
        <v>87470.32</v>
      </c>
      <c r="J711" s="0" t="n">
        <v>61432.4</v>
      </c>
      <c r="K711" s="0" t="n">
        <v>26037.92</v>
      </c>
    </row>
    <row r="712" customFormat="false" ht="15" hidden="false" customHeight="false" outlineLevel="0" collapsed="false">
      <c r="A712" s="0" t="s">
        <v>1298</v>
      </c>
      <c r="B712" s="0" t="s">
        <v>83</v>
      </c>
      <c r="C712" s="0" t="s">
        <v>221</v>
      </c>
      <c r="D712" s="0" t="s">
        <v>638</v>
      </c>
      <c r="E712" s="0" t="s">
        <v>537</v>
      </c>
      <c r="F712" s="0" t="n">
        <v>445</v>
      </c>
      <c r="G712" s="0" t="n">
        <v>252.47</v>
      </c>
      <c r="H712" s="0" t="n">
        <v>162.68</v>
      </c>
      <c r="I712" s="0" t="n">
        <v>112349.15</v>
      </c>
      <c r="J712" s="0" t="n">
        <v>72392.6</v>
      </c>
      <c r="K712" s="0" t="n">
        <v>39956.55</v>
      </c>
    </row>
    <row r="713" customFormat="false" ht="15" hidden="false" customHeight="false" outlineLevel="0" collapsed="false">
      <c r="A713" s="0" t="s">
        <v>1299</v>
      </c>
      <c r="B713" s="0" t="s">
        <v>83</v>
      </c>
      <c r="C713" s="0" t="s">
        <v>221</v>
      </c>
      <c r="D713" s="0" t="s">
        <v>640</v>
      </c>
      <c r="E713" s="0" t="s">
        <v>540</v>
      </c>
      <c r="F713" s="0" t="n">
        <v>412</v>
      </c>
      <c r="G713" s="0" t="n">
        <v>282.55</v>
      </c>
      <c r="H713" s="0" t="n">
        <v>170.21</v>
      </c>
      <c r="I713" s="0" t="n">
        <v>116410.6</v>
      </c>
      <c r="J713" s="0" t="n">
        <v>70126.52</v>
      </c>
      <c r="K713" s="0" t="n">
        <v>46284.08</v>
      </c>
    </row>
    <row r="714" customFormat="false" ht="15" hidden="false" customHeight="false" outlineLevel="0" collapsed="false">
      <c r="A714" s="0" t="s">
        <v>1300</v>
      </c>
      <c r="B714" s="0" t="s">
        <v>83</v>
      </c>
      <c r="C714" s="0" t="s">
        <v>221</v>
      </c>
      <c r="D714" s="0" t="s">
        <v>642</v>
      </c>
      <c r="E714" s="0" t="s">
        <v>543</v>
      </c>
      <c r="F714" s="0" t="n">
        <v>399</v>
      </c>
      <c r="G714" s="0" t="n">
        <v>298.58</v>
      </c>
      <c r="H714" s="0" t="n">
        <v>217.13</v>
      </c>
      <c r="I714" s="0" t="n">
        <v>119133.42</v>
      </c>
      <c r="J714" s="0" t="n">
        <v>86634.87</v>
      </c>
      <c r="K714" s="0" t="n">
        <v>32498.55</v>
      </c>
    </row>
    <row r="715" customFormat="false" ht="15" hidden="false" customHeight="false" outlineLevel="0" collapsed="false">
      <c r="A715" s="0" t="s">
        <v>1301</v>
      </c>
      <c r="B715" s="0" t="s">
        <v>83</v>
      </c>
      <c r="C715" s="0" t="s">
        <v>221</v>
      </c>
      <c r="D715" s="0" t="s">
        <v>644</v>
      </c>
      <c r="E715" s="0" t="s">
        <v>546</v>
      </c>
      <c r="F715" s="0" t="n">
        <v>329</v>
      </c>
      <c r="G715" s="0" t="n">
        <v>100.09</v>
      </c>
      <c r="H715" s="0" t="n">
        <v>70.33</v>
      </c>
      <c r="I715" s="0" t="n">
        <v>32929.61</v>
      </c>
      <c r="J715" s="0" t="n">
        <v>23138.57</v>
      </c>
      <c r="K715" s="0" t="n">
        <v>9791.04</v>
      </c>
    </row>
    <row r="716" customFormat="false" ht="15" hidden="false" customHeight="false" outlineLevel="0" collapsed="false">
      <c r="A716" s="0" t="s">
        <v>1302</v>
      </c>
      <c r="B716" s="0" t="s">
        <v>83</v>
      </c>
      <c r="C716" s="0" t="s">
        <v>221</v>
      </c>
      <c r="D716" s="0" t="s">
        <v>646</v>
      </c>
      <c r="E716" s="0" t="s">
        <v>549</v>
      </c>
      <c r="F716" s="0" t="n">
        <v>395</v>
      </c>
      <c r="G716" s="0" t="n">
        <v>136.09</v>
      </c>
      <c r="H716" s="0" t="n">
        <v>85.63</v>
      </c>
      <c r="I716" s="0" t="n">
        <v>53755.55</v>
      </c>
      <c r="J716" s="0" t="n">
        <v>33823.85</v>
      </c>
      <c r="K716" s="0" t="n">
        <v>19931.7</v>
      </c>
    </row>
    <row r="717" customFormat="false" ht="15" hidden="false" customHeight="false" outlineLevel="0" collapsed="false">
      <c r="A717" s="0" t="s">
        <v>1303</v>
      </c>
      <c r="B717" s="0" t="s">
        <v>83</v>
      </c>
      <c r="C717" s="0" t="s">
        <v>221</v>
      </c>
      <c r="D717" s="0" t="s">
        <v>648</v>
      </c>
      <c r="E717" s="0" t="s">
        <v>552</v>
      </c>
      <c r="F717" s="0" t="n">
        <v>326</v>
      </c>
      <c r="G717" s="0" t="n">
        <v>187.81</v>
      </c>
      <c r="H717" s="0" t="n">
        <v>118.3</v>
      </c>
      <c r="I717" s="0" t="n">
        <v>61226.06</v>
      </c>
      <c r="J717" s="0" t="n">
        <v>38565.8</v>
      </c>
      <c r="K717" s="0" t="n">
        <v>22660.26</v>
      </c>
    </row>
    <row r="718" customFormat="false" ht="15" hidden="false" customHeight="false" outlineLevel="0" collapsed="false">
      <c r="A718" s="0" t="s">
        <v>1304</v>
      </c>
      <c r="B718" s="0" t="s">
        <v>83</v>
      </c>
      <c r="C718" s="0" t="s">
        <v>221</v>
      </c>
      <c r="D718" s="0" t="s">
        <v>650</v>
      </c>
      <c r="E718" s="0" t="s">
        <v>555</v>
      </c>
      <c r="F718" s="0" t="n">
        <v>196</v>
      </c>
      <c r="G718" s="0" t="n">
        <v>173.08</v>
      </c>
      <c r="H718" s="0" t="n">
        <v>100</v>
      </c>
      <c r="I718" s="0" t="n">
        <v>33923.68</v>
      </c>
      <c r="J718" s="0" t="n">
        <v>19600</v>
      </c>
      <c r="K718" s="0" t="n">
        <v>14323.68</v>
      </c>
    </row>
    <row r="719" customFormat="false" ht="15" hidden="false" customHeight="false" outlineLevel="0" collapsed="false">
      <c r="A719" s="0" t="s">
        <v>1305</v>
      </c>
      <c r="B719" s="0" t="s">
        <v>83</v>
      </c>
      <c r="C719" s="0" t="s">
        <v>221</v>
      </c>
      <c r="D719" s="0" t="s">
        <v>533</v>
      </c>
      <c r="E719" s="0" t="s">
        <v>534</v>
      </c>
      <c r="F719" s="0" t="n">
        <v>390</v>
      </c>
      <c r="G719" s="0" t="n">
        <v>210.74</v>
      </c>
      <c r="H719" s="0" t="n">
        <v>128.02</v>
      </c>
      <c r="I719" s="0" t="n">
        <v>82188.6</v>
      </c>
      <c r="J719" s="0" t="n">
        <v>49927.8</v>
      </c>
      <c r="K719" s="0" t="n">
        <v>32260.8</v>
      </c>
    </row>
    <row r="720" customFormat="false" ht="15" hidden="false" customHeight="false" outlineLevel="0" collapsed="false">
      <c r="A720" s="0" t="s">
        <v>1306</v>
      </c>
      <c r="B720" s="0" t="s">
        <v>83</v>
      </c>
      <c r="C720" s="0" t="s">
        <v>221</v>
      </c>
      <c r="D720" s="0" t="s">
        <v>536</v>
      </c>
      <c r="E720" s="0" t="s">
        <v>537</v>
      </c>
      <c r="F720" s="0" t="n">
        <v>313</v>
      </c>
      <c r="G720" s="0" t="n">
        <v>244.46</v>
      </c>
      <c r="H720" s="0" t="n">
        <v>156.53</v>
      </c>
      <c r="I720" s="0" t="n">
        <v>76515.98</v>
      </c>
      <c r="J720" s="0" t="n">
        <v>48993.89</v>
      </c>
      <c r="K720" s="0" t="n">
        <v>27522.09</v>
      </c>
    </row>
    <row r="721" customFormat="false" ht="15" hidden="false" customHeight="false" outlineLevel="0" collapsed="false">
      <c r="A721" s="0" t="s">
        <v>1307</v>
      </c>
      <c r="B721" s="0" t="s">
        <v>83</v>
      </c>
      <c r="C721" s="0" t="s">
        <v>221</v>
      </c>
      <c r="D721" s="0" t="s">
        <v>539</v>
      </c>
      <c r="E721" s="0" t="s">
        <v>540</v>
      </c>
      <c r="F721" s="0" t="n">
        <v>373</v>
      </c>
      <c r="G721" s="0" t="n">
        <v>253.28</v>
      </c>
      <c r="H721" s="0" t="n">
        <v>181.17</v>
      </c>
      <c r="I721" s="0" t="n">
        <v>94473.44</v>
      </c>
      <c r="J721" s="0" t="n">
        <v>67576.41</v>
      </c>
      <c r="K721" s="0" t="n">
        <v>26897.03</v>
      </c>
    </row>
    <row r="722" customFormat="false" ht="15" hidden="false" customHeight="false" outlineLevel="0" collapsed="false">
      <c r="A722" s="0" t="s">
        <v>1308</v>
      </c>
      <c r="B722" s="0" t="s">
        <v>84</v>
      </c>
      <c r="C722" s="0" t="s">
        <v>221</v>
      </c>
      <c r="D722" s="0" t="s">
        <v>628</v>
      </c>
      <c r="E722" s="0" t="s">
        <v>546</v>
      </c>
      <c r="F722" s="0" t="n">
        <v>343</v>
      </c>
      <c r="G722" s="0" t="n">
        <v>100.79</v>
      </c>
      <c r="H722" s="0" t="n">
        <v>68.63</v>
      </c>
      <c r="I722" s="0" t="n">
        <v>34570.97</v>
      </c>
      <c r="J722" s="0" t="n">
        <v>23540.09</v>
      </c>
      <c r="K722" s="0" t="n">
        <v>11030.88</v>
      </c>
    </row>
    <row r="723" customFormat="false" ht="15" hidden="false" customHeight="false" outlineLevel="0" collapsed="false">
      <c r="A723" s="0" t="s">
        <v>1309</v>
      </c>
      <c r="B723" s="0" t="s">
        <v>84</v>
      </c>
      <c r="C723" s="0" t="s">
        <v>221</v>
      </c>
      <c r="D723" s="0" t="s">
        <v>630</v>
      </c>
      <c r="E723" s="0" t="s">
        <v>549</v>
      </c>
      <c r="F723" s="0" t="n">
        <v>169</v>
      </c>
      <c r="G723" s="0" t="n">
        <v>135.24</v>
      </c>
      <c r="H723" s="0" t="n">
        <v>83.84</v>
      </c>
      <c r="I723" s="0" t="n">
        <v>22855.56</v>
      </c>
      <c r="J723" s="0" t="n">
        <v>14168.96</v>
      </c>
      <c r="K723" s="0" t="n">
        <v>8686.6</v>
      </c>
    </row>
    <row r="724" customFormat="false" ht="15" hidden="false" customHeight="false" outlineLevel="0" collapsed="false">
      <c r="A724" s="0" t="s">
        <v>1310</v>
      </c>
      <c r="B724" s="0" t="s">
        <v>84</v>
      </c>
      <c r="C724" s="0" t="s">
        <v>221</v>
      </c>
      <c r="D724" s="0" t="s">
        <v>632</v>
      </c>
      <c r="E724" s="0" t="s">
        <v>552</v>
      </c>
      <c r="F724" s="0" t="n">
        <v>144</v>
      </c>
      <c r="G724" s="0" t="n">
        <v>185.9</v>
      </c>
      <c r="H724" s="0" t="n">
        <v>117.16</v>
      </c>
      <c r="I724" s="0" t="n">
        <v>26769.6</v>
      </c>
      <c r="J724" s="0" t="n">
        <v>16871.04</v>
      </c>
      <c r="K724" s="0" t="n">
        <v>9898.56</v>
      </c>
    </row>
    <row r="725" customFormat="false" ht="15" hidden="false" customHeight="false" outlineLevel="0" collapsed="false">
      <c r="A725" s="0" t="s">
        <v>1311</v>
      </c>
      <c r="B725" s="0" t="s">
        <v>84</v>
      </c>
      <c r="C725" s="0" t="s">
        <v>221</v>
      </c>
      <c r="D725" s="0" t="s">
        <v>634</v>
      </c>
      <c r="E725" s="0" t="s">
        <v>555</v>
      </c>
      <c r="F725" s="0" t="n">
        <v>335</v>
      </c>
      <c r="G725" s="0" t="n">
        <v>157.82</v>
      </c>
      <c r="H725" s="0" t="n">
        <v>98.04</v>
      </c>
      <c r="I725" s="0" t="n">
        <v>52869.7</v>
      </c>
      <c r="J725" s="0" t="n">
        <v>32843.4</v>
      </c>
      <c r="K725" s="0" t="n">
        <v>20026.3</v>
      </c>
    </row>
    <row r="726" customFormat="false" ht="15" hidden="false" customHeight="false" outlineLevel="0" collapsed="false">
      <c r="A726" s="0" t="s">
        <v>1312</v>
      </c>
      <c r="B726" s="0" t="s">
        <v>84</v>
      </c>
      <c r="C726" s="0" t="s">
        <v>221</v>
      </c>
      <c r="D726" s="0" t="s">
        <v>636</v>
      </c>
      <c r="E726" s="0" t="s">
        <v>534</v>
      </c>
      <c r="F726" s="0" t="n">
        <v>113</v>
      </c>
      <c r="G726" s="0" t="n">
        <v>199.28</v>
      </c>
      <c r="H726" s="0" t="n">
        <v>134.85</v>
      </c>
      <c r="I726" s="0" t="n">
        <v>22518.64</v>
      </c>
      <c r="J726" s="0" t="n">
        <v>15238.05</v>
      </c>
      <c r="K726" s="0" t="n">
        <v>7280.59</v>
      </c>
    </row>
    <row r="727" customFormat="false" ht="15" hidden="false" customHeight="false" outlineLevel="0" collapsed="false">
      <c r="A727" s="0" t="s">
        <v>1313</v>
      </c>
      <c r="B727" s="0" t="s">
        <v>84</v>
      </c>
      <c r="C727" s="0" t="s">
        <v>221</v>
      </c>
      <c r="D727" s="0" t="s">
        <v>638</v>
      </c>
      <c r="E727" s="0" t="s">
        <v>537</v>
      </c>
      <c r="F727" s="0" t="n">
        <v>318</v>
      </c>
      <c r="G727" s="0" t="n">
        <v>245.64</v>
      </c>
      <c r="H727" s="0" t="n">
        <v>160.22</v>
      </c>
      <c r="I727" s="0" t="n">
        <v>78113.52</v>
      </c>
      <c r="J727" s="0" t="n">
        <v>50949.96</v>
      </c>
      <c r="K727" s="0" t="n">
        <v>27163.56</v>
      </c>
    </row>
    <row r="728" customFormat="false" ht="15" hidden="false" customHeight="false" outlineLevel="0" collapsed="false">
      <c r="A728" s="0" t="s">
        <v>1314</v>
      </c>
      <c r="B728" s="0" t="s">
        <v>84</v>
      </c>
      <c r="C728" s="0" t="s">
        <v>221</v>
      </c>
      <c r="D728" s="0" t="s">
        <v>640</v>
      </c>
      <c r="E728" s="0" t="s">
        <v>540</v>
      </c>
      <c r="F728" s="0" t="n">
        <v>429</v>
      </c>
      <c r="G728" s="0" t="n">
        <v>278.57</v>
      </c>
      <c r="H728" s="0" t="n">
        <v>179</v>
      </c>
      <c r="I728" s="0" t="n">
        <v>119506.53</v>
      </c>
      <c r="J728" s="0" t="n">
        <v>76791</v>
      </c>
      <c r="K728" s="0" t="n">
        <v>42715.53</v>
      </c>
    </row>
    <row r="729" customFormat="false" ht="15" hidden="false" customHeight="false" outlineLevel="0" collapsed="false">
      <c r="A729" s="0" t="s">
        <v>1315</v>
      </c>
      <c r="B729" s="0" t="s">
        <v>84</v>
      </c>
      <c r="C729" s="0" t="s">
        <v>221</v>
      </c>
      <c r="D729" s="0" t="s">
        <v>642</v>
      </c>
      <c r="E729" s="0" t="s">
        <v>543</v>
      </c>
      <c r="F729" s="0" t="n">
        <v>287</v>
      </c>
      <c r="G729" s="0" t="n">
        <v>300</v>
      </c>
      <c r="H729" s="0" t="n">
        <v>193.99</v>
      </c>
      <c r="I729" s="0" t="n">
        <v>86100</v>
      </c>
      <c r="J729" s="0" t="n">
        <v>55675.13</v>
      </c>
      <c r="K729" s="0" t="n">
        <v>30424.87</v>
      </c>
    </row>
    <row r="730" customFormat="false" ht="15" hidden="false" customHeight="false" outlineLevel="0" collapsed="false">
      <c r="A730" s="0" t="s">
        <v>1316</v>
      </c>
      <c r="B730" s="0" t="s">
        <v>84</v>
      </c>
      <c r="C730" s="0" t="s">
        <v>221</v>
      </c>
      <c r="D730" s="0" t="s">
        <v>644</v>
      </c>
      <c r="E730" s="0" t="s">
        <v>546</v>
      </c>
      <c r="F730" s="0" t="n">
        <v>196</v>
      </c>
      <c r="G730" s="0" t="n">
        <v>106.17</v>
      </c>
      <c r="H730" s="0" t="n">
        <v>64.68</v>
      </c>
      <c r="I730" s="0" t="n">
        <v>20809.32</v>
      </c>
      <c r="J730" s="0" t="n">
        <v>12677.28</v>
      </c>
      <c r="K730" s="0" t="n">
        <v>8132.04</v>
      </c>
    </row>
    <row r="731" customFormat="false" ht="15" hidden="false" customHeight="false" outlineLevel="0" collapsed="false">
      <c r="A731" s="0" t="s">
        <v>1317</v>
      </c>
      <c r="B731" s="0" t="s">
        <v>84</v>
      </c>
      <c r="C731" s="0" t="s">
        <v>221</v>
      </c>
      <c r="D731" s="0" t="s">
        <v>646</v>
      </c>
      <c r="E731" s="0" t="s">
        <v>549</v>
      </c>
      <c r="F731" s="0" t="n">
        <v>261</v>
      </c>
      <c r="G731" s="0" t="n">
        <v>142.25</v>
      </c>
      <c r="H731" s="0" t="n">
        <v>84.05</v>
      </c>
      <c r="I731" s="0" t="n">
        <v>37127.25</v>
      </c>
      <c r="J731" s="0" t="n">
        <v>21937.05</v>
      </c>
      <c r="K731" s="0" t="n">
        <v>15190.2</v>
      </c>
    </row>
    <row r="732" customFormat="false" ht="15" hidden="false" customHeight="false" outlineLevel="0" collapsed="false">
      <c r="A732" s="0" t="s">
        <v>1318</v>
      </c>
      <c r="B732" s="0" t="s">
        <v>84</v>
      </c>
      <c r="C732" s="0" t="s">
        <v>221</v>
      </c>
      <c r="D732" s="0" t="s">
        <v>648</v>
      </c>
      <c r="E732" s="0" t="s">
        <v>552</v>
      </c>
      <c r="F732" s="0" t="n">
        <v>115</v>
      </c>
      <c r="G732" s="0" t="n">
        <v>192.18</v>
      </c>
      <c r="H732" s="0" t="n">
        <v>108.45</v>
      </c>
      <c r="I732" s="0" t="n">
        <v>22100.7</v>
      </c>
      <c r="J732" s="0" t="n">
        <v>12471.75</v>
      </c>
      <c r="K732" s="0" t="n">
        <v>9628.95</v>
      </c>
    </row>
    <row r="733" customFormat="false" ht="15" hidden="false" customHeight="false" outlineLevel="0" collapsed="false">
      <c r="A733" s="0" t="s">
        <v>1319</v>
      </c>
      <c r="B733" s="0" t="s">
        <v>84</v>
      </c>
      <c r="C733" s="0" t="s">
        <v>221</v>
      </c>
      <c r="D733" s="0" t="s">
        <v>650</v>
      </c>
      <c r="E733" s="0" t="s">
        <v>555</v>
      </c>
      <c r="F733" s="0" t="n">
        <v>326</v>
      </c>
      <c r="G733" s="0" t="n">
        <v>156.47</v>
      </c>
      <c r="H733" s="0" t="n">
        <v>96.87</v>
      </c>
      <c r="I733" s="0" t="n">
        <v>51009.22</v>
      </c>
      <c r="J733" s="0" t="n">
        <v>31579.62</v>
      </c>
      <c r="K733" s="0" t="n">
        <v>19429.6</v>
      </c>
    </row>
    <row r="734" customFormat="false" ht="15" hidden="false" customHeight="false" outlineLevel="0" collapsed="false">
      <c r="A734" s="0" t="s">
        <v>1320</v>
      </c>
      <c r="B734" s="0" t="s">
        <v>84</v>
      </c>
      <c r="C734" s="0" t="s">
        <v>221</v>
      </c>
      <c r="D734" s="0" t="s">
        <v>533</v>
      </c>
      <c r="E734" s="0" t="s">
        <v>534</v>
      </c>
      <c r="F734" s="0" t="n">
        <v>154</v>
      </c>
      <c r="G734" s="0" t="n">
        <v>207.81</v>
      </c>
      <c r="H734" s="0" t="n">
        <v>142.22</v>
      </c>
      <c r="I734" s="0" t="n">
        <v>32002.74</v>
      </c>
      <c r="J734" s="0" t="n">
        <v>21901.88</v>
      </c>
      <c r="K734" s="0" t="n">
        <v>10100.86</v>
      </c>
    </row>
    <row r="735" customFormat="false" ht="15" hidden="false" customHeight="false" outlineLevel="0" collapsed="false">
      <c r="A735" s="0" t="s">
        <v>1321</v>
      </c>
      <c r="B735" s="0" t="s">
        <v>84</v>
      </c>
      <c r="C735" s="0" t="s">
        <v>221</v>
      </c>
      <c r="D735" s="0" t="s">
        <v>536</v>
      </c>
      <c r="E735" s="0" t="s">
        <v>537</v>
      </c>
      <c r="F735" s="0" t="n">
        <v>415</v>
      </c>
      <c r="G735" s="0" t="n">
        <v>258.9</v>
      </c>
      <c r="H735" s="0" t="n">
        <v>156.77</v>
      </c>
      <c r="I735" s="0" t="n">
        <v>107443.5</v>
      </c>
      <c r="J735" s="0" t="n">
        <v>65059.55</v>
      </c>
      <c r="K735" s="0" t="n">
        <v>42383.95</v>
      </c>
    </row>
    <row r="736" customFormat="false" ht="15" hidden="false" customHeight="false" outlineLevel="0" collapsed="false">
      <c r="A736" s="0" t="s">
        <v>1322</v>
      </c>
      <c r="B736" s="0" t="s">
        <v>84</v>
      </c>
      <c r="C736" s="0" t="s">
        <v>221</v>
      </c>
      <c r="D736" s="0" t="s">
        <v>539</v>
      </c>
      <c r="E736" s="0" t="s">
        <v>540</v>
      </c>
      <c r="F736" s="0" t="n">
        <v>280</v>
      </c>
      <c r="G736" s="0" t="n">
        <v>265.53</v>
      </c>
      <c r="H736" s="0" t="n">
        <v>182.98</v>
      </c>
      <c r="I736" s="0" t="n">
        <v>74348.4</v>
      </c>
      <c r="J736" s="0" t="n">
        <v>51234.4</v>
      </c>
      <c r="K736" s="0" t="n">
        <v>23114</v>
      </c>
    </row>
    <row r="737" customFormat="false" ht="15" hidden="false" customHeight="false" outlineLevel="0" collapsed="false">
      <c r="A737" s="0" t="s">
        <v>1323</v>
      </c>
      <c r="B737" s="0" t="s">
        <v>84</v>
      </c>
      <c r="C737" s="0" t="s">
        <v>221</v>
      </c>
      <c r="D737" s="0" t="s">
        <v>542</v>
      </c>
      <c r="E737" s="0" t="s">
        <v>543</v>
      </c>
      <c r="F737" s="0" t="n">
        <v>278</v>
      </c>
      <c r="G737" s="0" t="n">
        <v>305.12</v>
      </c>
      <c r="H737" s="0" t="n">
        <v>210.47</v>
      </c>
      <c r="I737" s="0" t="n">
        <v>84823.36</v>
      </c>
      <c r="J737" s="0" t="n">
        <v>58510.66</v>
      </c>
      <c r="K737" s="0" t="n">
        <v>26312.7</v>
      </c>
    </row>
    <row r="738" customFormat="false" ht="15" hidden="false" customHeight="false" outlineLevel="0" collapsed="false">
      <c r="A738" s="0" t="s">
        <v>1324</v>
      </c>
      <c r="B738" s="0" t="s">
        <v>84</v>
      </c>
      <c r="C738" s="0" t="s">
        <v>221</v>
      </c>
      <c r="D738" s="0" t="s">
        <v>545</v>
      </c>
      <c r="E738" s="0" t="s">
        <v>546</v>
      </c>
      <c r="F738" s="0" t="n">
        <v>423</v>
      </c>
      <c r="G738" s="0" t="n">
        <v>110.41</v>
      </c>
      <c r="H738" s="0" t="n">
        <v>65.39</v>
      </c>
      <c r="I738" s="0" t="n">
        <v>46703.43</v>
      </c>
      <c r="J738" s="0" t="n">
        <v>27659.97</v>
      </c>
      <c r="K738" s="0" t="n">
        <v>19043.46</v>
      </c>
    </row>
    <row r="739" customFormat="false" ht="15" hidden="false" customHeight="false" outlineLevel="0" collapsed="false">
      <c r="A739" s="0" t="s">
        <v>1325</v>
      </c>
      <c r="B739" s="0" t="s">
        <v>84</v>
      </c>
      <c r="C739" s="0" t="s">
        <v>221</v>
      </c>
      <c r="D739" s="0" t="s">
        <v>548</v>
      </c>
      <c r="E739" s="0" t="s">
        <v>549</v>
      </c>
      <c r="F739" s="0" t="n">
        <v>263</v>
      </c>
      <c r="G739" s="0" t="n">
        <v>131.29</v>
      </c>
      <c r="H739" s="0" t="n">
        <v>88.49</v>
      </c>
      <c r="I739" s="0" t="n">
        <v>34529.27</v>
      </c>
      <c r="J739" s="0" t="n">
        <v>23272.87</v>
      </c>
      <c r="K739" s="0" t="n">
        <v>11256.4</v>
      </c>
    </row>
    <row r="740" customFormat="false" ht="15" hidden="false" customHeight="false" outlineLevel="0" collapsed="false">
      <c r="A740" s="0" t="s">
        <v>1326</v>
      </c>
      <c r="B740" s="0" t="s">
        <v>84</v>
      </c>
      <c r="C740" s="0" t="s">
        <v>221</v>
      </c>
      <c r="D740" s="0" t="s">
        <v>551</v>
      </c>
      <c r="E740" s="0" t="s">
        <v>552</v>
      </c>
      <c r="F740" s="0" t="n">
        <v>286</v>
      </c>
      <c r="G740" s="0" t="n">
        <v>182.16</v>
      </c>
      <c r="H740" s="0" t="n">
        <v>117.3</v>
      </c>
      <c r="I740" s="0" t="n">
        <v>52097.76</v>
      </c>
      <c r="J740" s="0" t="n">
        <v>33547.8</v>
      </c>
      <c r="K740" s="0" t="n">
        <v>18549.96</v>
      </c>
    </row>
    <row r="741" customFormat="false" ht="15" hidden="false" customHeight="false" outlineLevel="0" collapsed="false">
      <c r="A741" s="0" t="s">
        <v>1327</v>
      </c>
      <c r="B741" s="0" t="s">
        <v>84</v>
      </c>
      <c r="C741" s="0" t="s">
        <v>221</v>
      </c>
      <c r="D741" s="0" t="s">
        <v>554</v>
      </c>
      <c r="E741" s="0" t="s">
        <v>555</v>
      </c>
      <c r="F741" s="0" t="n">
        <v>199</v>
      </c>
      <c r="G741" s="0" t="n">
        <v>174.74</v>
      </c>
      <c r="H741" s="0" t="n">
        <v>100.87</v>
      </c>
      <c r="I741" s="0" t="n">
        <v>34773.26</v>
      </c>
      <c r="J741" s="0" t="n">
        <v>20073.13</v>
      </c>
      <c r="K741" s="0" t="n">
        <v>14700.13</v>
      </c>
    </row>
    <row r="742" customFormat="false" ht="15" hidden="false" customHeight="false" outlineLevel="0" collapsed="false">
      <c r="A742" s="0" t="s">
        <v>1328</v>
      </c>
      <c r="B742" s="0" t="s">
        <v>84</v>
      </c>
      <c r="C742" s="0" t="s">
        <v>221</v>
      </c>
      <c r="D742" s="0" t="s">
        <v>557</v>
      </c>
      <c r="E742" s="0" t="s">
        <v>534</v>
      </c>
      <c r="F742" s="0" t="n">
        <v>237</v>
      </c>
      <c r="G742" s="0" t="n">
        <v>199.54</v>
      </c>
      <c r="H742" s="0" t="n">
        <v>138.11</v>
      </c>
      <c r="I742" s="0" t="n">
        <v>47290.98</v>
      </c>
      <c r="J742" s="0" t="n">
        <v>32732.07</v>
      </c>
      <c r="K742" s="0" t="n">
        <v>14558.91</v>
      </c>
    </row>
    <row r="743" customFormat="false" ht="15" hidden="false" customHeight="false" outlineLevel="0" collapsed="false">
      <c r="A743" s="0" t="s">
        <v>1329</v>
      </c>
      <c r="B743" s="0" t="s">
        <v>84</v>
      </c>
      <c r="C743" s="0" t="s">
        <v>221</v>
      </c>
      <c r="D743" s="0" t="s">
        <v>559</v>
      </c>
      <c r="E743" s="0" t="s">
        <v>537</v>
      </c>
      <c r="F743" s="0" t="n">
        <v>302</v>
      </c>
      <c r="G743" s="0" t="n">
        <v>244.58</v>
      </c>
      <c r="H743" s="0" t="n">
        <v>165.17</v>
      </c>
      <c r="I743" s="0" t="n">
        <v>73863.16</v>
      </c>
      <c r="J743" s="0" t="n">
        <v>49881.34</v>
      </c>
      <c r="K743" s="0" t="n">
        <v>23981.82</v>
      </c>
    </row>
    <row r="744" customFormat="false" ht="15" hidden="false" customHeight="false" outlineLevel="0" collapsed="false">
      <c r="A744" s="0" t="s">
        <v>1330</v>
      </c>
      <c r="B744" s="0" t="s">
        <v>84</v>
      </c>
      <c r="C744" s="0" t="s">
        <v>221</v>
      </c>
      <c r="D744" s="0" t="s">
        <v>561</v>
      </c>
      <c r="E744" s="0" t="s">
        <v>540</v>
      </c>
      <c r="F744" s="0" t="n">
        <v>211</v>
      </c>
      <c r="G744" s="0" t="n">
        <v>265.97</v>
      </c>
      <c r="H744" s="0" t="n">
        <v>167.34</v>
      </c>
      <c r="I744" s="0" t="n">
        <v>56119.67</v>
      </c>
      <c r="J744" s="0" t="n">
        <v>35308.74</v>
      </c>
      <c r="K744" s="0" t="n">
        <v>20810.93</v>
      </c>
    </row>
    <row r="745" customFormat="false" ht="15" hidden="false" customHeight="false" outlineLevel="0" collapsed="false">
      <c r="A745" s="0" t="s">
        <v>1331</v>
      </c>
      <c r="B745" s="0" t="s">
        <v>84</v>
      </c>
      <c r="C745" s="0" t="s">
        <v>221</v>
      </c>
      <c r="D745" s="0" t="s">
        <v>563</v>
      </c>
      <c r="E745" s="0" t="s">
        <v>543</v>
      </c>
      <c r="F745" s="0" t="n">
        <v>181</v>
      </c>
      <c r="G745" s="0" t="n">
        <v>328.86</v>
      </c>
      <c r="H745" s="0" t="n">
        <v>211.49</v>
      </c>
      <c r="I745" s="0" t="n">
        <v>59523.66</v>
      </c>
      <c r="J745" s="0" t="n">
        <v>38279.69</v>
      </c>
      <c r="K745" s="0" t="n">
        <v>21243.97</v>
      </c>
    </row>
    <row r="746" customFormat="false" ht="15" hidden="false" customHeight="false" outlineLevel="0" collapsed="false">
      <c r="A746" s="0" t="s">
        <v>1332</v>
      </c>
      <c r="B746" s="0" t="s">
        <v>84</v>
      </c>
      <c r="C746" s="0" t="s">
        <v>221</v>
      </c>
      <c r="D746" s="0" t="s">
        <v>565</v>
      </c>
      <c r="E746" s="0" t="s">
        <v>546</v>
      </c>
      <c r="F746" s="0" t="n">
        <v>142</v>
      </c>
      <c r="G746" s="0" t="n">
        <v>98.36</v>
      </c>
      <c r="H746" s="0" t="n">
        <v>69.63</v>
      </c>
      <c r="I746" s="0" t="n">
        <v>13967.12</v>
      </c>
      <c r="J746" s="0" t="n">
        <v>9887.46</v>
      </c>
      <c r="K746" s="0" t="n">
        <v>4079.66</v>
      </c>
    </row>
    <row r="747" customFormat="false" ht="15" hidden="false" customHeight="false" outlineLevel="0" collapsed="false">
      <c r="A747" s="0" t="s">
        <v>1333</v>
      </c>
      <c r="B747" s="0" t="s">
        <v>84</v>
      </c>
      <c r="C747" s="0" t="s">
        <v>221</v>
      </c>
      <c r="D747" s="0" t="s">
        <v>567</v>
      </c>
      <c r="E747" s="0" t="s">
        <v>549</v>
      </c>
      <c r="F747" s="0" t="n">
        <v>399</v>
      </c>
      <c r="G747" s="0" t="n">
        <v>143.49</v>
      </c>
      <c r="H747" s="0" t="n">
        <v>87.42</v>
      </c>
      <c r="I747" s="0" t="n">
        <v>57252.51</v>
      </c>
      <c r="J747" s="0" t="n">
        <v>34880.58</v>
      </c>
      <c r="K747" s="0" t="n">
        <v>22371.93</v>
      </c>
    </row>
    <row r="748" customFormat="false" ht="15" hidden="false" customHeight="false" outlineLevel="0" collapsed="false">
      <c r="A748" s="0" t="s">
        <v>1334</v>
      </c>
      <c r="B748" s="0" t="s">
        <v>84</v>
      </c>
      <c r="C748" s="0" t="s">
        <v>221</v>
      </c>
      <c r="D748" s="0" t="s">
        <v>569</v>
      </c>
      <c r="E748" s="0" t="s">
        <v>552</v>
      </c>
      <c r="F748" s="0" t="n">
        <v>93</v>
      </c>
      <c r="G748" s="0" t="n">
        <v>175.04</v>
      </c>
      <c r="H748" s="0" t="n">
        <v>108.42</v>
      </c>
      <c r="I748" s="0" t="n">
        <v>16278.72</v>
      </c>
      <c r="J748" s="0" t="n">
        <v>10083.06</v>
      </c>
      <c r="K748" s="0" t="n">
        <v>6195.66</v>
      </c>
    </row>
    <row r="749" customFormat="false" ht="15" hidden="false" customHeight="false" outlineLevel="0" collapsed="false">
      <c r="A749" s="0" t="s">
        <v>1335</v>
      </c>
      <c r="B749" s="0" t="s">
        <v>84</v>
      </c>
      <c r="C749" s="0" t="s">
        <v>221</v>
      </c>
      <c r="D749" s="0" t="s">
        <v>571</v>
      </c>
      <c r="E749" s="0" t="s">
        <v>555</v>
      </c>
      <c r="F749" s="0" t="n">
        <v>389</v>
      </c>
      <c r="G749" s="0" t="n">
        <v>156.51</v>
      </c>
      <c r="H749" s="0" t="n">
        <v>99.05</v>
      </c>
      <c r="I749" s="0" t="n">
        <v>60882.39</v>
      </c>
      <c r="J749" s="0" t="n">
        <v>38530.45</v>
      </c>
      <c r="K749" s="0" t="n">
        <v>22351.94</v>
      </c>
    </row>
    <row r="750" customFormat="false" ht="15" hidden="false" customHeight="false" outlineLevel="0" collapsed="false">
      <c r="A750" s="0" t="s">
        <v>1336</v>
      </c>
      <c r="B750" s="0" t="s">
        <v>84</v>
      </c>
      <c r="C750" s="0" t="s">
        <v>221</v>
      </c>
      <c r="D750" s="0" t="s">
        <v>573</v>
      </c>
      <c r="E750" s="0" t="s">
        <v>534</v>
      </c>
      <c r="F750" s="0" t="n">
        <v>445</v>
      </c>
      <c r="G750" s="0" t="n">
        <v>210.71</v>
      </c>
      <c r="H750" s="0" t="n">
        <v>130.6</v>
      </c>
      <c r="I750" s="0" t="n">
        <v>93765.95</v>
      </c>
      <c r="J750" s="0" t="n">
        <v>58117</v>
      </c>
      <c r="K750" s="0" t="n">
        <v>35648.95</v>
      </c>
    </row>
    <row r="751" customFormat="false" ht="15" hidden="false" customHeight="false" outlineLevel="0" collapsed="false">
      <c r="A751" s="0" t="s">
        <v>1337</v>
      </c>
      <c r="B751" s="0" t="s">
        <v>84</v>
      </c>
      <c r="C751" s="0" t="s">
        <v>221</v>
      </c>
      <c r="D751" s="0" t="s">
        <v>575</v>
      </c>
      <c r="E751" s="0" t="s">
        <v>537</v>
      </c>
      <c r="F751" s="0" t="n">
        <v>107</v>
      </c>
      <c r="G751" s="0" t="n">
        <v>240.29</v>
      </c>
      <c r="H751" s="0" t="n">
        <v>154.15</v>
      </c>
      <c r="I751" s="0" t="n">
        <v>25711.03</v>
      </c>
      <c r="J751" s="0" t="n">
        <v>16494.05</v>
      </c>
      <c r="K751" s="0" t="n">
        <v>9216.98</v>
      </c>
    </row>
    <row r="752" customFormat="false" ht="15" hidden="false" customHeight="false" outlineLevel="0" collapsed="false">
      <c r="A752" s="0" t="s">
        <v>1338</v>
      </c>
      <c r="B752" s="0" t="s">
        <v>84</v>
      </c>
      <c r="C752" s="0" t="s">
        <v>221</v>
      </c>
      <c r="D752" s="0" t="s">
        <v>577</v>
      </c>
      <c r="E752" s="0" t="s">
        <v>540</v>
      </c>
      <c r="F752" s="0" t="n">
        <v>196</v>
      </c>
      <c r="G752" s="0" t="n">
        <v>276.66</v>
      </c>
      <c r="H752" s="0" t="n">
        <v>180.08</v>
      </c>
      <c r="I752" s="0" t="n">
        <v>54225.36</v>
      </c>
      <c r="J752" s="0" t="n">
        <v>35295.68</v>
      </c>
      <c r="K752" s="0" t="n">
        <v>18929.68</v>
      </c>
    </row>
    <row r="753" customFormat="false" ht="15" hidden="false" customHeight="false" outlineLevel="0" collapsed="false">
      <c r="A753" s="0" t="s">
        <v>1339</v>
      </c>
      <c r="B753" s="0" t="s">
        <v>84</v>
      </c>
      <c r="C753" s="0" t="s">
        <v>221</v>
      </c>
      <c r="D753" s="0" t="s">
        <v>579</v>
      </c>
      <c r="E753" s="0" t="s">
        <v>543</v>
      </c>
      <c r="F753" s="0" t="n">
        <v>156</v>
      </c>
      <c r="G753" s="0" t="n">
        <v>310.54</v>
      </c>
      <c r="H753" s="0" t="n">
        <v>200.93</v>
      </c>
      <c r="I753" s="0" t="n">
        <v>48444.24</v>
      </c>
      <c r="J753" s="0" t="n">
        <v>31345.08</v>
      </c>
      <c r="K753" s="0" t="n">
        <v>17099.16</v>
      </c>
    </row>
    <row r="754" customFormat="false" ht="15" hidden="false" customHeight="false" outlineLevel="0" collapsed="false">
      <c r="A754" s="0" t="s">
        <v>1340</v>
      </c>
      <c r="B754" s="0" t="s">
        <v>84</v>
      </c>
      <c r="C754" s="0" t="s">
        <v>221</v>
      </c>
      <c r="D754" s="0" t="s">
        <v>581</v>
      </c>
      <c r="E754" s="0" t="s">
        <v>546</v>
      </c>
      <c r="F754" s="0" t="n">
        <v>459</v>
      </c>
      <c r="G754" s="0" t="n">
        <v>106.14</v>
      </c>
      <c r="H754" s="0" t="n">
        <v>68.96</v>
      </c>
      <c r="I754" s="0" t="n">
        <v>48718.26</v>
      </c>
      <c r="J754" s="0" t="n">
        <v>31652.64</v>
      </c>
      <c r="K754" s="0" t="n">
        <v>17065.62</v>
      </c>
    </row>
    <row r="755" customFormat="false" ht="15" hidden="false" customHeight="false" outlineLevel="0" collapsed="false">
      <c r="A755" s="0" t="s">
        <v>1341</v>
      </c>
      <c r="B755" s="0" t="s">
        <v>84</v>
      </c>
      <c r="C755" s="0" t="s">
        <v>221</v>
      </c>
      <c r="D755" s="0" t="s">
        <v>583</v>
      </c>
      <c r="E755" s="0" t="s">
        <v>549</v>
      </c>
      <c r="F755" s="0" t="n">
        <v>429</v>
      </c>
      <c r="G755" s="0" t="n">
        <v>144.48</v>
      </c>
      <c r="H755" s="0" t="n">
        <v>81.05</v>
      </c>
      <c r="I755" s="0" t="n">
        <v>61981.92</v>
      </c>
      <c r="J755" s="0" t="n">
        <v>34770.45</v>
      </c>
      <c r="K755" s="0" t="n">
        <v>27211.47</v>
      </c>
    </row>
    <row r="756" customFormat="false" ht="15" hidden="false" customHeight="false" outlineLevel="0" collapsed="false">
      <c r="A756" s="0" t="s">
        <v>1342</v>
      </c>
      <c r="B756" s="0" t="s">
        <v>84</v>
      </c>
      <c r="C756" s="0" t="s">
        <v>221</v>
      </c>
      <c r="D756" s="0" t="s">
        <v>585</v>
      </c>
      <c r="E756" s="0" t="s">
        <v>552</v>
      </c>
      <c r="F756" s="0" t="n">
        <v>158</v>
      </c>
      <c r="G756" s="0" t="n">
        <v>193.45</v>
      </c>
      <c r="H756" s="0" t="n">
        <v>114.53</v>
      </c>
      <c r="I756" s="0" t="n">
        <v>30565.1</v>
      </c>
      <c r="J756" s="0" t="n">
        <v>18095.74</v>
      </c>
      <c r="K756" s="0" t="n">
        <v>12469.36</v>
      </c>
    </row>
    <row r="757" customFormat="false" ht="15" hidden="false" customHeight="false" outlineLevel="0" collapsed="false">
      <c r="A757" s="0" t="s">
        <v>1343</v>
      </c>
      <c r="B757" s="0" t="s">
        <v>84</v>
      </c>
      <c r="C757" s="0" t="s">
        <v>221</v>
      </c>
      <c r="D757" s="0" t="s">
        <v>587</v>
      </c>
      <c r="E757" s="0" t="s">
        <v>555</v>
      </c>
      <c r="F757" s="0" t="n">
        <v>296</v>
      </c>
      <c r="G757" s="0" t="n">
        <v>162.59</v>
      </c>
      <c r="H757" s="0" t="n">
        <v>92.86</v>
      </c>
      <c r="I757" s="0" t="n">
        <v>48126.64</v>
      </c>
      <c r="J757" s="0" t="n">
        <v>27486.56</v>
      </c>
      <c r="K757" s="0" t="n">
        <v>20640.08</v>
      </c>
    </row>
    <row r="758" customFormat="false" ht="15" hidden="false" customHeight="false" outlineLevel="0" collapsed="false">
      <c r="A758" s="0" t="s">
        <v>1344</v>
      </c>
      <c r="B758" s="0" t="s">
        <v>1345</v>
      </c>
      <c r="C758" s="0" t="s">
        <v>1346</v>
      </c>
      <c r="D758" s="0" t="s">
        <v>559</v>
      </c>
      <c r="E758" s="0" t="s">
        <v>537</v>
      </c>
      <c r="F758" s="0" t="n">
        <v>387</v>
      </c>
      <c r="G758" s="0" t="n">
        <v>256.11</v>
      </c>
      <c r="H758" s="0" t="n">
        <v>166.82</v>
      </c>
      <c r="I758" s="0" t="n">
        <v>99114.57</v>
      </c>
      <c r="J758" s="0" t="n">
        <v>64559.34</v>
      </c>
      <c r="K758" s="0" t="n">
        <v>34555.23</v>
      </c>
    </row>
    <row r="759" customFormat="false" ht="15" hidden="false" customHeight="false" outlineLevel="0" collapsed="false">
      <c r="A759" s="0" t="s">
        <v>1347</v>
      </c>
      <c r="B759" s="0" t="s">
        <v>1345</v>
      </c>
      <c r="C759" s="0" t="s">
        <v>1346</v>
      </c>
      <c r="D759" s="0" t="s">
        <v>561</v>
      </c>
      <c r="E759" s="0" t="s">
        <v>540</v>
      </c>
      <c r="F759" s="0" t="n">
        <v>405</v>
      </c>
      <c r="G759" s="0" t="n">
        <v>273.91</v>
      </c>
      <c r="H759" s="0" t="n">
        <v>175.57</v>
      </c>
      <c r="I759" s="0" t="n">
        <v>110933.55</v>
      </c>
      <c r="J759" s="0" t="n">
        <v>71105.85</v>
      </c>
      <c r="K759" s="0" t="n">
        <v>39827.7</v>
      </c>
    </row>
    <row r="760" customFormat="false" ht="15" hidden="false" customHeight="false" outlineLevel="0" collapsed="false">
      <c r="A760" s="0" t="s">
        <v>1348</v>
      </c>
      <c r="B760" s="0" t="s">
        <v>1345</v>
      </c>
      <c r="C760" s="0" t="s">
        <v>1346</v>
      </c>
      <c r="D760" s="0" t="s">
        <v>563</v>
      </c>
      <c r="E760" s="0" t="s">
        <v>543</v>
      </c>
      <c r="F760" s="0" t="n">
        <v>109</v>
      </c>
      <c r="G760" s="0" t="n">
        <v>330.33</v>
      </c>
      <c r="H760" s="0" t="n">
        <v>216.74</v>
      </c>
      <c r="I760" s="0" t="n">
        <v>36005.97</v>
      </c>
      <c r="J760" s="0" t="n">
        <v>23624.66</v>
      </c>
      <c r="K760" s="0" t="n">
        <v>12381.31</v>
      </c>
    </row>
    <row r="761" customFormat="false" ht="15" hidden="false" customHeight="false" outlineLevel="0" collapsed="false">
      <c r="A761" s="0" t="s">
        <v>1349</v>
      </c>
      <c r="B761" s="0" t="s">
        <v>1345</v>
      </c>
      <c r="C761" s="0" t="s">
        <v>1346</v>
      </c>
      <c r="D761" s="0" t="s">
        <v>565</v>
      </c>
      <c r="E761" s="0" t="s">
        <v>546</v>
      </c>
      <c r="F761" s="0" t="n">
        <v>428</v>
      </c>
      <c r="G761" s="0" t="n">
        <v>103.35</v>
      </c>
      <c r="H761" s="0" t="n">
        <v>68.54</v>
      </c>
      <c r="I761" s="0" t="n">
        <v>44233.8</v>
      </c>
      <c r="J761" s="0" t="n">
        <v>29335.12</v>
      </c>
      <c r="K761" s="0" t="n">
        <v>14898.68</v>
      </c>
    </row>
    <row r="762" customFormat="false" ht="15" hidden="false" customHeight="false" outlineLevel="0" collapsed="false">
      <c r="A762" s="0" t="s">
        <v>1350</v>
      </c>
      <c r="B762" s="0" t="s">
        <v>1345</v>
      </c>
      <c r="C762" s="0" t="s">
        <v>1346</v>
      </c>
      <c r="D762" s="0" t="s">
        <v>567</v>
      </c>
      <c r="E762" s="0" t="s">
        <v>549</v>
      </c>
      <c r="F762" s="0" t="n">
        <v>441</v>
      </c>
      <c r="G762" s="0" t="n">
        <v>136.9</v>
      </c>
      <c r="H762" s="0" t="n">
        <v>80.19</v>
      </c>
      <c r="I762" s="0" t="n">
        <v>60372.9</v>
      </c>
      <c r="J762" s="0" t="n">
        <v>35363.79</v>
      </c>
      <c r="K762" s="0" t="n">
        <v>25009.11</v>
      </c>
    </row>
    <row r="763" customFormat="false" ht="15" hidden="false" customHeight="false" outlineLevel="0" collapsed="false">
      <c r="A763" s="0" t="s">
        <v>1351</v>
      </c>
      <c r="B763" s="0" t="s">
        <v>1345</v>
      </c>
      <c r="C763" s="0" t="s">
        <v>1346</v>
      </c>
      <c r="D763" s="0" t="s">
        <v>569</v>
      </c>
      <c r="E763" s="0" t="s">
        <v>552</v>
      </c>
      <c r="F763" s="0" t="n">
        <v>277</v>
      </c>
      <c r="G763" s="0" t="n">
        <v>173.64</v>
      </c>
      <c r="H763" s="0" t="n">
        <v>114.75</v>
      </c>
      <c r="I763" s="0" t="n">
        <v>48098.28</v>
      </c>
      <c r="J763" s="0" t="n">
        <v>31785.75</v>
      </c>
      <c r="K763" s="0" t="n">
        <v>16312.53</v>
      </c>
    </row>
    <row r="764" customFormat="false" ht="15" hidden="false" customHeight="false" outlineLevel="0" collapsed="false">
      <c r="A764" s="0" t="s">
        <v>1352</v>
      </c>
      <c r="B764" s="0" t="s">
        <v>1345</v>
      </c>
      <c r="C764" s="0" t="s">
        <v>1346</v>
      </c>
      <c r="D764" s="0" t="s">
        <v>571</v>
      </c>
      <c r="E764" s="0" t="s">
        <v>555</v>
      </c>
      <c r="F764" s="0" t="n">
        <v>208</v>
      </c>
      <c r="G764" s="0" t="n">
        <v>175.07</v>
      </c>
      <c r="H764" s="0" t="n">
        <v>95.62</v>
      </c>
      <c r="I764" s="0" t="n">
        <v>36414.56</v>
      </c>
      <c r="J764" s="0" t="n">
        <v>19888.96</v>
      </c>
      <c r="K764" s="0" t="n">
        <v>16525.6</v>
      </c>
    </row>
    <row r="765" customFormat="false" ht="15" hidden="false" customHeight="false" outlineLevel="0" collapsed="false">
      <c r="A765" s="0" t="s">
        <v>1353</v>
      </c>
      <c r="B765" s="0" t="s">
        <v>1345</v>
      </c>
      <c r="C765" s="0" t="s">
        <v>1346</v>
      </c>
      <c r="D765" s="0" t="s">
        <v>573</v>
      </c>
      <c r="E765" s="0" t="s">
        <v>534</v>
      </c>
      <c r="F765" s="0" t="n">
        <v>447</v>
      </c>
      <c r="G765" s="0" t="n">
        <v>190.84</v>
      </c>
      <c r="H765" s="0" t="n">
        <v>134.05</v>
      </c>
      <c r="I765" s="0" t="n">
        <v>85305.48</v>
      </c>
      <c r="J765" s="0" t="n">
        <v>59920.35</v>
      </c>
      <c r="K765" s="0" t="n">
        <v>25385.13</v>
      </c>
    </row>
    <row r="766" customFormat="false" ht="15" hidden="false" customHeight="false" outlineLevel="0" collapsed="false">
      <c r="A766" s="0" t="s">
        <v>1354</v>
      </c>
      <c r="B766" s="0" t="s">
        <v>1345</v>
      </c>
      <c r="C766" s="0" t="s">
        <v>1346</v>
      </c>
      <c r="D766" s="0" t="s">
        <v>575</v>
      </c>
      <c r="E766" s="0" t="s">
        <v>537</v>
      </c>
      <c r="F766" s="0" t="n">
        <v>114</v>
      </c>
      <c r="G766" s="0" t="n">
        <v>245.59</v>
      </c>
      <c r="H766" s="0" t="n">
        <v>167.88</v>
      </c>
      <c r="I766" s="0" t="n">
        <v>27997.26</v>
      </c>
      <c r="J766" s="0" t="n">
        <v>19138.32</v>
      </c>
      <c r="K766" s="0" t="n">
        <v>8858.94</v>
      </c>
    </row>
    <row r="767" customFormat="false" ht="15" hidden="false" customHeight="false" outlineLevel="0" collapsed="false">
      <c r="A767" s="0" t="s">
        <v>1355</v>
      </c>
      <c r="B767" s="0" t="s">
        <v>1345</v>
      </c>
      <c r="C767" s="0" t="s">
        <v>1346</v>
      </c>
      <c r="D767" s="0" t="s">
        <v>577</v>
      </c>
      <c r="E767" s="0" t="s">
        <v>540</v>
      </c>
      <c r="F767" s="0" t="n">
        <v>370</v>
      </c>
      <c r="G767" s="0" t="n">
        <v>268.49</v>
      </c>
      <c r="H767" s="0" t="n">
        <v>172.13</v>
      </c>
      <c r="I767" s="0" t="n">
        <v>99341.3</v>
      </c>
      <c r="J767" s="0" t="n">
        <v>63688.1</v>
      </c>
      <c r="K767" s="0" t="n">
        <v>35653.2</v>
      </c>
    </row>
    <row r="768" customFormat="false" ht="15" hidden="false" customHeight="false" outlineLevel="0" collapsed="false">
      <c r="A768" s="0" t="s">
        <v>1356</v>
      </c>
      <c r="B768" s="0" t="s">
        <v>1345</v>
      </c>
      <c r="C768" s="0" t="s">
        <v>1346</v>
      </c>
      <c r="D768" s="0" t="s">
        <v>579</v>
      </c>
      <c r="E768" s="0" t="s">
        <v>543</v>
      </c>
      <c r="F768" s="0" t="n">
        <v>215</v>
      </c>
      <c r="G768" s="0" t="n">
        <v>297.84</v>
      </c>
      <c r="H768" s="0" t="n">
        <v>209.6</v>
      </c>
      <c r="I768" s="0" t="n">
        <v>64035.6</v>
      </c>
      <c r="J768" s="0" t="n">
        <v>45064</v>
      </c>
      <c r="K768" s="0" t="n">
        <v>18971.6</v>
      </c>
    </row>
    <row r="769" customFormat="false" ht="15" hidden="false" customHeight="false" outlineLevel="0" collapsed="false">
      <c r="A769" s="0" t="s">
        <v>1357</v>
      </c>
      <c r="B769" s="0" t="s">
        <v>1345</v>
      </c>
      <c r="C769" s="0" t="s">
        <v>1346</v>
      </c>
      <c r="D769" s="0" t="s">
        <v>581</v>
      </c>
      <c r="E769" s="0" t="s">
        <v>546</v>
      </c>
      <c r="F769" s="0" t="n">
        <v>315</v>
      </c>
      <c r="G769" s="0" t="n">
        <v>110.01</v>
      </c>
      <c r="H769" s="0" t="n">
        <v>65.06</v>
      </c>
      <c r="I769" s="0" t="n">
        <v>34653.15</v>
      </c>
      <c r="J769" s="0" t="n">
        <v>20493.9</v>
      </c>
      <c r="K769" s="0" t="n">
        <v>14159.25</v>
      </c>
    </row>
    <row r="770" customFormat="false" ht="15" hidden="false" customHeight="false" outlineLevel="0" collapsed="false">
      <c r="A770" s="0" t="s">
        <v>1358</v>
      </c>
      <c r="B770" s="0" t="s">
        <v>1345</v>
      </c>
      <c r="C770" s="0" t="s">
        <v>1346</v>
      </c>
      <c r="D770" s="0" t="s">
        <v>583</v>
      </c>
      <c r="E770" s="0" t="s">
        <v>549</v>
      </c>
      <c r="F770" s="0" t="n">
        <v>455</v>
      </c>
      <c r="G770" s="0" t="n">
        <v>144.68</v>
      </c>
      <c r="H770" s="0" t="n">
        <v>79.23</v>
      </c>
      <c r="I770" s="0" t="n">
        <v>65829.4</v>
      </c>
      <c r="J770" s="0" t="n">
        <v>36049.65</v>
      </c>
      <c r="K770" s="0" t="n">
        <v>29779.75</v>
      </c>
    </row>
    <row r="771" customFormat="false" ht="15" hidden="false" customHeight="false" outlineLevel="0" collapsed="false">
      <c r="A771" s="0" t="s">
        <v>1359</v>
      </c>
      <c r="B771" s="0" t="s">
        <v>1345</v>
      </c>
      <c r="C771" s="0" t="s">
        <v>1346</v>
      </c>
      <c r="D771" s="0" t="s">
        <v>585</v>
      </c>
      <c r="E771" s="0" t="s">
        <v>552</v>
      </c>
      <c r="F771" s="0" t="n">
        <v>278</v>
      </c>
      <c r="G771" s="0" t="n">
        <v>185.74</v>
      </c>
      <c r="H771" s="0" t="n">
        <v>115.62</v>
      </c>
      <c r="I771" s="0" t="n">
        <v>51635.72</v>
      </c>
      <c r="J771" s="0" t="n">
        <v>32142.36</v>
      </c>
      <c r="K771" s="0" t="n">
        <v>19493.36</v>
      </c>
    </row>
    <row r="772" customFormat="false" ht="15" hidden="false" customHeight="false" outlineLevel="0" collapsed="false">
      <c r="A772" s="0" t="s">
        <v>1360</v>
      </c>
      <c r="B772" s="0" t="s">
        <v>1345</v>
      </c>
      <c r="C772" s="0" t="s">
        <v>1346</v>
      </c>
      <c r="D772" s="0" t="s">
        <v>587</v>
      </c>
      <c r="E772" s="0" t="s">
        <v>555</v>
      </c>
      <c r="F772" s="0" t="n">
        <v>122</v>
      </c>
      <c r="G772" s="0" t="n">
        <v>160.03</v>
      </c>
      <c r="H772" s="0" t="n">
        <v>100.93</v>
      </c>
      <c r="I772" s="0" t="n">
        <v>19523.66</v>
      </c>
      <c r="J772" s="0" t="n">
        <v>12313.46</v>
      </c>
      <c r="K772" s="0" t="n">
        <v>7210.2</v>
      </c>
    </row>
    <row r="773" customFormat="false" ht="15" hidden="false" customHeight="false" outlineLevel="0" collapsed="false">
      <c r="A773" s="0" t="s">
        <v>1361</v>
      </c>
      <c r="B773" s="0" t="s">
        <v>1345</v>
      </c>
      <c r="C773" s="0" t="s">
        <v>1346</v>
      </c>
      <c r="D773" s="0" t="s">
        <v>589</v>
      </c>
      <c r="E773" s="0" t="s">
        <v>534</v>
      </c>
      <c r="F773" s="0" t="n">
        <v>455</v>
      </c>
      <c r="G773" s="0" t="n">
        <v>205.23</v>
      </c>
      <c r="H773" s="0" t="n">
        <v>130.16</v>
      </c>
      <c r="I773" s="0" t="n">
        <v>93379.65</v>
      </c>
      <c r="J773" s="0" t="n">
        <v>59222.8</v>
      </c>
      <c r="K773" s="0" t="n">
        <v>34156.85</v>
      </c>
    </row>
    <row r="774" customFormat="false" ht="15" hidden="false" customHeight="false" outlineLevel="0" collapsed="false">
      <c r="A774" s="0" t="s">
        <v>1362</v>
      </c>
      <c r="B774" s="0" t="s">
        <v>1345</v>
      </c>
      <c r="C774" s="0" t="s">
        <v>1346</v>
      </c>
      <c r="D774" s="0" t="s">
        <v>591</v>
      </c>
      <c r="E774" s="0" t="s">
        <v>537</v>
      </c>
      <c r="F774" s="0" t="n">
        <v>191</v>
      </c>
      <c r="G774" s="0" t="n">
        <v>255.77</v>
      </c>
      <c r="H774" s="0" t="n">
        <v>155.99</v>
      </c>
      <c r="I774" s="0" t="n">
        <v>48852.07</v>
      </c>
      <c r="J774" s="0" t="n">
        <v>29794.09</v>
      </c>
      <c r="K774" s="0" t="n">
        <v>19057.98</v>
      </c>
    </row>
    <row r="775" customFormat="false" ht="15" hidden="false" customHeight="false" outlineLevel="0" collapsed="false">
      <c r="A775" s="0" t="s">
        <v>1363</v>
      </c>
      <c r="B775" s="0" t="s">
        <v>1345</v>
      </c>
      <c r="C775" s="0" t="s">
        <v>1346</v>
      </c>
      <c r="D775" s="0" t="s">
        <v>593</v>
      </c>
      <c r="E775" s="0" t="s">
        <v>540</v>
      </c>
      <c r="F775" s="0" t="n">
        <v>92</v>
      </c>
      <c r="G775" s="0" t="n">
        <v>256.91</v>
      </c>
      <c r="H775" s="0" t="n">
        <v>168.06</v>
      </c>
      <c r="I775" s="0" t="n">
        <v>23635.72</v>
      </c>
      <c r="J775" s="0" t="n">
        <v>15461.52</v>
      </c>
      <c r="K775" s="0" t="n">
        <v>8174.2</v>
      </c>
    </row>
    <row r="776" customFormat="false" ht="15" hidden="false" customHeight="false" outlineLevel="0" collapsed="false">
      <c r="A776" s="0" t="s">
        <v>1364</v>
      </c>
      <c r="B776" s="0" t="s">
        <v>1345</v>
      </c>
      <c r="C776" s="0" t="s">
        <v>1346</v>
      </c>
      <c r="D776" s="0" t="s">
        <v>595</v>
      </c>
      <c r="E776" s="0" t="s">
        <v>543</v>
      </c>
      <c r="F776" s="0" t="n">
        <v>145</v>
      </c>
      <c r="G776" s="0" t="n">
        <v>320.81</v>
      </c>
      <c r="H776" s="0" t="n">
        <v>212.2</v>
      </c>
      <c r="I776" s="0" t="n">
        <v>46517.45</v>
      </c>
      <c r="J776" s="0" t="n">
        <v>30769</v>
      </c>
      <c r="K776" s="0" t="n">
        <v>15748.45</v>
      </c>
    </row>
    <row r="777" customFormat="false" ht="15" hidden="false" customHeight="false" outlineLevel="0" collapsed="false">
      <c r="A777" s="0" t="s">
        <v>1365</v>
      </c>
      <c r="B777" s="0" t="s">
        <v>1345</v>
      </c>
      <c r="C777" s="0" t="s">
        <v>1346</v>
      </c>
      <c r="D777" s="0" t="s">
        <v>597</v>
      </c>
      <c r="E777" s="0" t="s">
        <v>546</v>
      </c>
      <c r="F777" s="0" t="n">
        <v>209</v>
      </c>
      <c r="G777" s="0" t="n">
        <v>107.85</v>
      </c>
      <c r="H777" s="0" t="n">
        <v>69.98</v>
      </c>
      <c r="I777" s="0" t="n">
        <v>22540.65</v>
      </c>
      <c r="J777" s="0" t="n">
        <v>14625.82</v>
      </c>
      <c r="K777" s="0" t="n">
        <v>7914.83</v>
      </c>
    </row>
    <row r="778" customFormat="false" ht="15" hidden="false" customHeight="false" outlineLevel="0" collapsed="false">
      <c r="A778" s="0" t="s">
        <v>1366</v>
      </c>
      <c r="B778" s="0" t="s">
        <v>1345</v>
      </c>
      <c r="C778" s="0" t="s">
        <v>1346</v>
      </c>
      <c r="D778" s="0" t="s">
        <v>599</v>
      </c>
      <c r="E778" s="0" t="s">
        <v>549</v>
      </c>
      <c r="F778" s="0" t="n">
        <v>288</v>
      </c>
      <c r="G778" s="0" t="n">
        <v>146.3</v>
      </c>
      <c r="H778" s="0" t="n">
        <v>84.15</v>
      </c>
      <c r="I778" s="0" t="n">
        <v>42134.4</v>
      </c>
      <c r="J778" s="0" t="n">
        <v>24235.2</v>
      </c>
      <c r="K778" s="0" t="n">
        <v>17899.2</v>
      </c>
    </row>
    <row r="779" customFormat="false" ht="15" hidden="false" customHeight="false" outlineLevel="0" collapsed="false">
      <c r="A779" s="0" t="s">
        <v>1367</v>
      </c>
      <c r="B779" s="0" t="s">
        <v>1345</v>
      </c>
      <c r="C779" s="0" t="s">
        <v>1346</v>
      </c>
      <c r="D779" s="0" t="s">
        <v>601</v>
      </c>
      <c r="E779" s="0" t="s">
        <v>552</v>
      </c>
      <c r="F779" s="0" t="n">
        <v>229</v>
      </c>
      <c r="G779" s="0" t="n">
        <v>178.5</v>
      </c>
      <c r="H779" s="0" t="n">
        <v>114.69</v>
      </c>
      <c r="I779" s="0" t="n">
        <v>40876.5</v>
      </c>
      <c r="J779" s="0" t="n">
        <v>26264.01</v>
      </c>
      <c r="K779" s="0" t="n">
        <v>14612.49</v>
      </c>
    </row>
    <row r="780" customFormat="false" ht="15" hidden="false" customHeight="false" outlineLevel="0" collapsed="false">
      <c r="A780" s="0" t="s">
        <v>1368</v>
      </c>
      <c r="B780" s="0" t="s">
        <v>1345</v>
      </c>
      <c r="C780" s="0" t="s">
        <v>1346</v>
      </c>
      <c r="D780" s="0" t="s">
        <v>603</v>
      </c>
      <c r="E780" s="0" t="s">
        <v>555</v>
      </c>
      <c r="F780" s="0" t="n">
        <v>268</v>
      </c>
      <c r="G780" s="0" t="n">
        <v>162.77</v>
      </c>
      <c r="H780" s="0" t="n">
        <v>96.3</v>
      </c>
      <c r="I780" s="0" t="n">
        <v>43622.36</v>
      </c>
      <c r="J780" s="0" t="n">
        <v>25808.4</v>
      </c>
      <c r="K780" s="0" t="n">
        <v>17813.96</v>
      </c>
    </row>
    <row r="781" customFormat="false" ht="15" hidden="false" customHeight="false" outlineLevel="0" collapsed="false">
      <c r="A781" s="0" t="s">
        <v>1369</v>
      </c>
      <c r="B781" s="0" t="s">
        <v>1345</v>
      </c>
      <c r="C781" s="0" t="s">
        <v>1346</v>
      </c>
      <c r="D781" s="0" t="s">
        <v>605</v>
      </c>
      <c r="E781" s="0" t="s">
        <v>534</v>
      </c>
      <c r="F781" s="0" t="n">
        <v>339</v>
      </c>
      <c r="G781" s="0" t="n">
        <v>199.62</v>
      </c>
      <c r="H781" s="0" t="n">
        <v>139.44</v>
      </c>
      <c r="I781" s="0" t="n">
        <v>67671.18</v>
      </c>
      <c r="J781" s="0" t="n">
        <v>47270.16</v>
      </c>
      <c r="K781" s="0" t="n">
        <v>20401.02</v>
      </c>
    </row>
    <row r="782" customFormat="false" ht="15" hidden="false" customHeight="false" outlineLevel="0" collapsed="false">
      <c r="A782" s="0" t="s">
        <v>1370</v>
      </c>
      <c r="B782" s="0" t="s">
        <v>1345</v>
      </c>
      <c r="C782" s="0" t="s">
        <v>1346</v>
      </c>
      <c r="D782" s="0" t="s">
        <v>607</v>
      </c>
      <c r="E782" s="0" t="s">
        <v>537</v>
      </c>
      <c r="F782" s="0" t="n">
        <v>454</v>
      </c>
      <c r="G782" s="0" t="n">
        <v>242.51</v>
      </c>
      <c r="H782" s="0" t="n">
        <v>165.48</v>
      </c>
      <c r="I782" s="0" t="n">
        <v>110099.54</v>
      </c>
      <c r="J782" s="0" t="n">
        <v>75127.92</v>
      </c>
      <c r="K782" s="0" t="n">
        <v>34971.62</v>
      </c>
    </row>
    <row r="783" customFormat="false" ht="15" hidden="false" customHeight="false" outlineLevel="0" collapsed="false">
      <c r="A783" s="0" t="s">
        <v>1371</v>
      </c>
      <c r="B783" s="0" t="s">
        <v>1345</v>
      </c>
      <c r="C783" s="0" t="s">
        <v>1346</v>
      </c>
      <c r="D783" s="0" t="s">
        <v>609</v>
      </c>
      <c r="E783" s="0" t="s">
        <v>540</v>
      </c>
      <c r="F783" s="0" t="n">
        <v>189</v>
      </c>
      <c r="G783" s="0" t="n">
        <v>262.69</v>
      </c>
      <c r="H783" s="0" t="n">
        <v>172.65</v>
      </c>
      <c r="I783" s="0" t="n">
        <v>49648.41</v>
      </c>
      <c r="J783" s="0" t="n">
        <v>32630.85</v>
      </c>
      <c r="K783" s="0" t="n">
        <v>17017.56</v>
      </c>
    </row>
    <row r="784" customFormat="false" ht="15" hidden="false" customHeight="false" outlineLevel="0" collapsed="false">
      <c r="A784" s="0" t="s">
        <v>1372</v>
      </c>
      <c r="B784" s="0" t="s">
        <v>1345</v>
      </c>
      <c r="C784" s="0" t="s">
        <v>1346</v>
      </c>
      <c r="D784" s="0" t="s">
        <v>611</v>
      </c>
      <c r="E784" s="0" t="s">
        <v>543</v>
      </c>
      <c r="F784" s="0" t="n">
        <v>373</v>
      </c>
      <c r="G784" s="0" t="n">
        <v>325.76</v>
      </c>
      <c r="H784" s="0" t="n">
        <v>211.89</v>
      </c>
      <c r="I784" s="0" t="n">
        <v>121508.48</v>
      </c>
      <c r="J784" s="0" t="n">
        <v>79034.97</v>
      </c>
      <c r="K784" s="0" t="n">
        <v>42473.51</v>
      </c>
    </row>
    <row r="785" customFormat="false" ht="15" hidden="false" customHeight="false" outlineLevel="0" collapsed="false">
      <c r="A785" s="0" t="s">
        <v>1373</v>
      </c>
      <c r="B785" s="0" t="s">
        <v>1345</v>
      </c>
      <c r="C785" s="0" t="s">
        <v>1346</v>
      </c>
      <c r="D785" s="0" t="s">
        <v>628</v>
      </c>
      <c r="E785" s="0" t="s">
        <v>546</v>
      </c>
      <c r="F785" s="0" t="n">
        <v>93</v>
      </c>
      <c r="G785" s="0" t="n">
        <v>101.63</v>
      </c>
      <c r="H785" s="0" t="n">
        <v>71.84</v>
      </c>
      <c r="I785" s="0" t="n">
        <v>9451.59</v>
      </c>
      <c r="J785" s="0" t="n">
        <v>6681.12</v>
      </c>
      <c r="K785" s="0" t="n">
        <v>2770.47</v>
      </c>
    </row>
    <row r="786" customFormat="false" ht="15" hidden="false" customHeight="false" outlineLevel="0" collapsed="false">
      <c r="A786" s="0" t="s">
        <v>1374</v>
      </c>
      <c r="B786" s="0" t="s">
        <v>1345</v>
      </c>
      <c r="C786" s="0" t="s">
        <v>1346</v>
      </c>
      <c r="D786" s="0" t="s">
        <v>630</v>
      </c>
      <c r="E786" s="0" t="s">
        <v>549</v>
      </c>
      <c r="F786" s="0" t="n">
        <v>381</v>
      </c>
      <c r="G786" s="0" t="n">
        <v>142.62</v>
      </c>
      <c r="H786" s="0" t="n">
        <v>81.62</v>
      </c>
      <c r="I786" s="0" t="n">
        <v>54338.22</v>
      </c>
      <c r="J786" s="0" t="n">
        <v>31097.22</v>
      </c>
      <c r="K786" s="0" t="n">
        <v>23241</v>
      </c>
    </row>
    <row r="787" customFormat="false" ht="15" hidden="false" customHeight="false" outlineLevel="0" collapsed="false">
      <c r="A787" s="0" t="s">
        <v>1375</v>
      </c>
      <c r="B787" s="0" t="s">
        <v>1345</v>
      </c>
      <c r="C787" s="0" t="s">
        <v>1346</v>
      </c>
      <c r="D787" s="0" t="s">
        <v>632</v>
      </c>
      <c r="E787" s="0" t="s">
        <v>552</v>
      </c>
      <c r="F787" s="0" t="n">
        <v>185</v>
      </c>
      <c r="G787" s="0" t="n">
        <v>177.25</v>
      </c>
      <c r="H787" s="0" t="n">
        <v>112.63</v>
      </c>
      <c r="I787" s="0" t="n">
        <v>32791.25</v>
      </c>
      <c r="J787" s="0" t="n">
        <v>20836.55</v>
      </c>
      <c r="K787" s="0" t="n">
        <v>11954.7</v>
      </c>
    </row>
    <row r="788" customFormat="false" ht="15" hidden="false" customHeight="false" outlineLevel="0" collapsed="false">
      <c r="A788" s="0" t="s">
        <v>1376</v>
      </c>
      <c r="B788" s="0" t="s">
        <v>1345</v>
      </c>
      <c r="C788" s="0" t="s">
        <v>1346</v>
      </c>
      <c r="D788" s="0" t="s">
        <v>634</v>
      </c>
      <c r="E788" s="0" t="s">
        <v>555</v>
      </c>
      <c r="F788" s="0" t="n">
        <v>210</v>
      </c>
      <c r="G788" s="0" t="n">
        <v>167.11</v>
      </c>
      <c r="H788" s="0" t="n">
        <v>99.7</v>
      </c>
      <c r="I788" s="0" t="n">
        <v>35093.1</v>
      </c>
      <c r="J788" s="0" t="n">
        <v>20937</v>
      </c>
      <c r="K788" s="0" t="n">
        <v>14156.1</v>
      </c>
    </row>
    <row r="789" customFormat="false" ht="15" hidden="false" customHeight="false" outlineLevel="0" collapsed="false">
      <c r="A789" s="0" t="s">
        <v>1377</v>
      </c>
      <c r="B789" s="0" t="s">
        <v>1345</v>
      </c>
      <c r="C789" s="0" t="s">
        <v>1346</v>
      </c>
      <c r="D789" s="0" t="s">
        <v>636</v>
      </c>
      <c r="E789" s="0" t="s">
        <v>534</v>
      </c>
      <c r="F789" s="0" t="n">
        <v>435</v>
      </c>
      <c r="G789" s="0" t="n">
        <v>196.12</v>
      </c>
      <c r="H789" s="0" t="n">
        <v>138.81</v>
      </c>
      <c r="I789" s="0" t="n">
        <v>85312.2</v>
      </c>
      <c r="J789" s="0" t="n">
        <v>60382.35</v>
      </c>
      <c r="K789" s="0" t="n">
        <v>24929.85</v>
      </c>
    </row>
    <row r="790" customFormat="false" ht="15" hidden="false" customHeight="false" outlineLevel="0" collapsed="false">
      <c r="A790" s="0" t="s">
        <v>1378</v>
      </c>
      <c r="B790" s="0" t="s">
        <v>1345</v>
      </c>
      <c r="C790" s="0" t="s">
        <v>1346</v>
      </c>
      <c r="D790" s="0" t="s">
        <v>638</v>
      </c>
      <c r="E790" s="0" t="s">
        <v>537</v>
      </c>
      <c r="F790" s="0" t="n">
        <v>335</v>
      </c>
      <c r="G790" s="0" t="n">
        <v>258.99</v>
      </c>
      <c r="H790" s="0" t="n">
        <v>161.77</v>
      </c>
      <c r="I790" s="0" t="n">
        <v>86761.65</v>
      </c>
      <c r="J790" s="0" t="n">
        <v>54192.95</v>
      </c>
      <c r="K790" s="0" t="n">
        <v>32568.7</v>
      </c>
    </row>
    <row r="791" customFormat="false" ht="15" hidden="false" customHeight="false" outlineLevel="0" collapsed="false">
      <c r="A791" s="0" t="s">
        <v>1379</v>
      </c>
      <c r="B791" s="0" t="s">
        <v>1345</v>
      </c>
      <c r="C791" s="0" t="s">
        <v>1346</v>
      </c>
      <c r="D791" s="0" t="s">
        <v>640</v>
      </c>
      <c r="E791" s="0" t="s">
        <v>540</v>
      </c>
      <c r="F791" s="0" t="n">
        <v>336</v>
      </c>
      <c r="G791" s="0" t="n">
        <v>265.97</v>
      </c>
      <c r="H791" s="0" t="n">
        <v>179.2</v>
      </c>
      <c r="I791" s="0" t="n">
        <v>89365.92</v>
      </c>
      <c r="J791" s="0" t="n">
        <v>60211.2</v>
      </c>
      <c r="K791" s="0" t="n">
        <v>29154.72</v>
      </c>
    </row>
    <row r="792" customFormat="false" ht="15" hidden="false" customHeight="false" outlineLevel="0" collapsed="false">
      <c r="A792" s="0" t="s">
        <v>1380</v>
      </c>
      <c r="B792" s="0" t="s">
        <v>1345</v>
      </c>
      <c r="C792" s="0" t="s">
        <v>1346</v>
      </c>
      <c r="D792" s="0" t="s">
        <v>642</v>
      </c>
      <c r="E792" s="0" t="s">
        <v>543</v>
      </c>
      <c r="F792" s="0" t="n">
        <v>265</v>
      </c>
      <c r="G792" s="0" t="n">
        <v>296.4</v>
      </c>
      <c r="H792" s="0" t="n">
        <v>211.38</v>
      </c>
      <c r="I792" s="0" t="n">
        <v>78546</v>
      </c>
      <c r="J792" s="0" t="n">
        <v>56015.7</v>
      </c>
      <c r="K792" s="0" t="n">
        <v>22530.3</v>
      </c>
    </row>
    <row r="793" customFormat="false" ht="15" hidden="false" customHeight="false" outlineLevel="0" collapsed="false">
      <c r="A793" s="0" t="s">
        <v>1381</v>
      </c>
      <c r="B793" s="0" t="s">
        <v>1345</v>
      </c>
      <c r="C793" s="0" t="s">
        <v>1346</v>
      </c>
      <c r="D793" s="0" t="s">
        <v>644</v>
      </c>
      <c r="E793" s="0" t="s">
        <v>546</v>
      </c>
      <c r="F793" s="0" t="n">
        <v>335</v>
      </c>
      <c r="G793" s="0" t="n">
        <v>100.53</v>
      </c>
      <c r="H793" s="0" t="n">
        <v>71.47</v>
      </c>
      <c r="I793" s="0" t="n">
        <v>33677.55</v>
      </c>
      <c r="J793" s="0" t="n">
        <v>23942.45</v>
      </c>
      <c r="K793" s="0" t="n">
        <v>9735.1</v>
      </c>
    </row>
    <row r="794" customFormat="false" ht="15" hidden="false" customHeight="false" outlineLevel="0" collapsed="false">
      <c r="A794" s="0" t="s">
        <v>1382</v>
      </c>
      <c r="B794" s="0" t="s">
        <v>1383</v>
      </c>
      <c r="C794" s="0" t="s">
        <v>1346</v>
      </c>
      <c r="D794" s="0" t="s">
        <v>601</v>
      </c>
      <c r="E794" s="0" t="s">
        <v>552</v>
      </c>
      <c r="F794" s="0" t="n">
        <v>413</v>
      </c>
      <c r="G794" s="0" t="n">
        <v>192.74</v>
      </c>
      <c r="H794" s="0" t="n">
        <v>114.56</v>
      </c>
      <c r="I794" s="0" t="n">
        <v>79601.62</v>
      </c>
      <c r="J794" s="0" t="n">
        <v>47313.28</v>
      </c>
      <c r="K794" s="0" t="n">
        <v>32288.34</v>
      </c>
    </row>
    <row r="795" customFormat="false" ht="15" hidden="false" customHeight="false" outlineLevel="0" collapsed="false">
      <c r="A795" s="0" t="s">
        <v>1384</v>
      </c>
      <c r="B795" s="0" t="s">
        <v>1383</v>
      </c>
      <c r="C795" s="0" t="s">
        <v>1346</v>
      </c>
      <c r="D795" s="0" t="s">
        <v>603</v>
      </c>
      <c r="E795" s="0" t="s">
        <v>555</v>
      </c>
      <c r="F795" s="0" t="n">
        <v>123</v>
      </c>
      <c r="G795" s="0" t="n">
        <v>177.25</v>
      </c>
      <c r="H795" s="0" t="n">
        <v>99.86</v>
      </c>
      <c r="I795" s="0" t="n">
        <v>21801.75</v>
      </c>
      <c r="J795" s="0" t="n">
        <v>12282.78</v>
      </c>
      <c r="K795" s="0" t="n">
        <v>9518.97</v>
      </c>
    </row>
    <row r="796" customFormat="false" ht="15" hidden="false" customHeight="false" outlineLevel="0" collapsed="false">
      <c r="A796" s="0" t="s">
        <v>1385</v>
      </c>
      <c r="B796" s="0" t="s">
        <v>1383</v>
      </c>
      <c r="C796" s="0" t="s">
        <v>1346</v>
      </c>
      <c r="D796" s="0" t="s">
        <v>605</v>
      </c>
      <c r="E796" s="0" t="s">
        <v>534</v>
      </c>
      <c r="F796" s="0" t="n">
        <v>88</v>
      </c>
      <c r="G796" s="0" t="n">
        <v>198.16</v>
      </c>
      <c r="H796" s="0" t="n">
        <v>140.07</v>
      </c>
      <c r="I796" s="0" t="n">
        <v>17438.08</v>
      </c>
      <c r="J796" s="0" t="n">
        <v>12326.16</v>
      </c>
      <c r="K796" s="0" t="n">
        <v>5111.92</v>
      </c>
    </row>
    <row r="797" customFormat="false" ht="15" hidden="false" customHeight="false" outlineLevel="0" collapsed="false">
      <c r="A797" s="0" t="s">
        <v>1386</v>
      </c>
      <c r="B797" s="0" t="s">
        <v>1383</v>
      </c>
      <c r="C797" s="0" t="s">
        <v>1346</v>
      </c>
      <c r="D797" s="0" t="s">
        <v>607</v>
      </c>
      <c r="E797" s="0" t="s">
        <v>537</v>
      </c>
      <c r="F797" s="0" t="n">
        <v>203</v>
      </c>
      <c r="G797" s="0" t="n">
        <v>229.2</v>
      </c>
      <c r="H797" s="0" t="n">
        <v>152.59</v>
      </c>
      <c r="I797" s="0" t="n">
        <v>46527.6</v>
      </c>
      <c r="J797" s="0" t="n">
        <v>30975.77</v>
      </c>
      <c r="K797" s="0" t="n">
        <v>15551.83</v>
      </c>
    </row>
    <row r="798" customFormat="false" ht="15" hidden="false" customHeight="false" outlineLevel="0" collapsed="false">
      <c r="A798" s="0" t="s">
        <v>1387</v>
      </c>
      <c r="B798" s="0" t="s">
        <v>1383</v>
      </c>
      <c r="C798" s="0" t="s">
        <v>1346</v>
      </c>
      <c r="D798" s="0" t="s">
        <v>609</v>
      </c>
      <c r="E798" s="0" t="s">
        <v>540</v>
      </c>
      <c r="F798" s="0" t="n">
        <v>196</v>
      </c>
      <c r="G798" s="0" t="n">
        <v>267.61</v>
      </c>
      <c r="H798" s="0" t="n">
        <v>171.82</v>
      </c>
      <c r="I798" s="0" t="n">
        <v>52451.56</v>
      </c>
      <c r="J798" s="0" t="n">
        <v>33676.72</v>
      </c>
      <c r="K798" s="0" t="n">
        <v>18774.84</v>
      </c>
    </row>
    <row r="799" customFormat="false" ht="15" hidden="false" customHeight="false" outlineLevel="0" collapsed="false">
      <c r="A799" s="0" t="s">
        <v>1388</v>
      </c>
      <c r="B799" s="0" t="s">
        <v>1383</v>
      </c>
      <c r="C799" s="0" t="s">
        <v>1346</v>
      </c>
      <c r="D799" s="0" t="s">
        <v>611</v>
      </c>
      <c r="E799" s="0" t="s">
        <v>543</v>
      </c>
      <c r="F799" s="0" t="n">
        <v>401</v>
      </c>
      <c r="G799" s="0" t="n">
        <v>316.19</v>
      </c>
      <c r="H799" s="0" t="n">
        <v>216.56</v>
      </c>
      <c r="I799" s="0" t="n">
        <v>126792.19</v>
      </c>
      <c r="J799" s="0" t="n">
        <v>86840.56</v>
      </c>
      <c r="K799" s="0" t="n">
        <v>39951.63</v>
      </c>
    </row>
    <row r="800" customFormat="false" ht="15" hidden="false" customHeight="false" outlineLevel="0" collapsed="false">
      <c r="A800" s="0" t="s">
        <v>1389</v>
      </c>
      <c r="B800" s="0" t="s">
        <v>1383</v>
      </c>
      <c r="C800" s="0" t="s">
        <v>1346</v>
      </c>
      <c r="D800" s="0" t="s">
        <v>628</v>
      </c>
      <c r="E800" s="0" t="s">
        <v>546</v>
      </c>
      <c r="F800" s="0" t="n">
        <v>332</v>
      </c>
      <c r="G800" s="0" t="n">
        <v>107.33</v>
      </c>
      <c r="H800" s="0" t="n">
        <v>64.45</v>
      </c>
      <c r="I800" s="0" t="n">
        <v>35633.56</v>
      </c>
      <c r="J800" s="0" t="n">
        <v>21397.4</v>
      </c>
      <c r="K800" s="0" t="n">
        <v>14236.16</v>
      </c>
    </row>
    <row r="801" customFormat="false" ht="15" hidden="false" customHeight="false" outlineLevel="0" collapsed="false">
      <c r="A801" s="0" t="s">
        <v>1390</v>
      </c>
      <c r="B801" s="0" t="s">
        <v>1383</v>
      </c>
      <c r="C801" s="0" t="s">
        <v>1346</v>
      </c>
      <c r="D801" s="0" t="s">
        <v>630</v>
      </c>
      <c r="E801" s="0" t="s">
        <v>549</v>
      </c>
      <c r="F801" s="0" t="n">
        <v>357</v>
      </c>
      <c r="G801" s="0" t="n">
        <v>139.45</v>
      </c>
      <c r="H801" s="0" t="n">
        <v>78.84</v>
      </c>
      <c r="I801" s="0" t="n">
        <v>49783.65</v>
      </c>
      <c r="J801" s="0" t="n">
        <v>28145.88</v>
      </c>
      <c r="K801" s="0" t="n">
        <v>21637.77</v>
      </c>
    </row>
    <row r="802" customFormat="false" ht="15" hidden="false" customHeight="false" outlineLevel="0" collapsed="false">
      <c r="A802" s="0" t="s">
        <v>1391</v>
      </c>
      <c r="B802" s="0" t="s">
        <v>1383</v>
      </c>
      <c r="C802" s="0" t="s">
        <v>1346</v>
      </c>
      <c r="D802" s="0" t="s">
        <v>632</v>
      </c>
      <c r="E802" s="0" t="s">
        <v>552</v>
      </c>
      <c r="F802" s="0" t="n">
        <v>356</v>
      </c>
      <c r="G802" s="0" t="n">
        <v>186.94</v>
      </c>
      <c r="H802" s="0" t="n">
        <v>114.72</v>
      </c>
      <c r="I802" s="0" t="n">
        <v>66550.64</v>
      </c>
      <c r="J802" s="0" t="n">
        <v>40840.32</v>
      </c>
      <c r="K802" s="0" t="n">
        <v>25710.32</v>
      </c>
    </row>
    <row r="803" customFormat="false" ht="15" hidden="false" customHeight="false" outlineLevel="0" collapsed="false">
      <c r="A803" s="0" t="s">
        <v>1392</v>
      </c>
      <c r="B803" s="0" t="s">
        <v>1383</v>
      </c>
      <c r="C803" s="0" t="s">
        <v>1346</v>
      </c>
      <c r="D803" s="0" t="s">
        <v>634</v>
      </c>
      <c r="E803" s="0" t="s">
        <v>555</v>
      </c>
      <c r="F803" s="0" t="n">
        <v>231</v>
      </c>
      <c r="G803" s="0" t="n">
        <v>156.14</v>
      </c>
      <c r="H803" s="0" t="n">
        <v>101.53</v>
      </c>
      <c r="I803" s="0" t="n">
        <v>36068.34</v>
      </c>
      <c r="J803" s="0" t="n">
        <v>23453.43</v>
      </c>
      <c r="K803" s="0" t="n">
        <v>12614.91</v>
      </c>
    </row>
    <row r="804" customFormat="false" ht="15" hidden="false" customHeight="false" outlineLevel="0" collapsed="false">
      <c r="A804" s="0" t="s">
        <v>1393</v>
      </c>
      <c r="B804" s="0" t="s">
        <v>1383</v>
      </c>
      <c r="C804" s="0" t="s">
        <v>1346</v>
      </c>
      <c r="D804" s="0" t="s">
        <v>636</v>
      </c>
      <c r="E804" s="0" t="s">
        <v>534</v>
      </c>
      <c r="F804" s="0" t="n">
        <v>430</v>
      </c>
      <c r="G804" s="0" t="n">
        <v>198.65</v>
      </c>
      <c r="H804" s="0" t="n">
        <v>141.61</v>
      </c>
      <c r="I804" s="0" t="n">
        <v>85419.5</v>
      </c>
      <c r="J804" s="0" t="n">
        <v>60892.3</v>
      </c>
      <c r="K804" s="0" t="n">
        <v>24527.2</v>
      </c>
    </row>
    <row r="805" customFormat="false" ht="15" hidden="false" customHeight="false" outlineLevel="0" collapsed="false">
      <c r="A805" s="0" t="s">
        <v>1394</v>
      </c>
      <c r="B805" s="0" t="s">
        <v>1383</v>
      </c>
      <c r="C805" s="0" t="s">
        <v>1346</v>
      </c>
      <c r="D805" s="0" t="s">
        <v>638</v>
      </c>
      <c r="E805" s="0" t="s">
        <v>537</v>
      </c>
      <c r="F805" s="0" t="n">
        <v>176</v>
      </c>
      <c r="G805" s="0" t="n">
        <v>230.5</v>
      </c>
      <c r="H805" s="0" t="n">
        <v>151.56</v>
      </c>
      <c r="I805" s="0" t="n">
        <v>40568</v>
      </c>
      <c r="J805" s="0" t="n">
        <v>26674.56</v>
      </c>
      <c r="K805" s="0" t="n">
        <v>13893.44</v>
      </c>
    </row>
    <row r="806" customFormat="false" ht="15" hidden="false" customHeight="false" outlineLevel="0" collapsed="false">
      <c r="A806" s="0" t="s">
        <v>1395</v>
      </c>
      <c r="B806" s="0" t="s">
        <v>1383</v>
      </c>
      <c r="C806" s="0" t="s">
        <v>1346</v>
      </c>
      <c r="D806" s="0" t="s">
        <v>640</v>
      </c>
      <c r="E806" s="0" t="s">
        <v>540</v>
      </c>
      <c r="F806" s="0" t="n">
        <v>161</v>
      </c>
      <c r="G806" s="0" t="n">
        <v>257.97</v>
      </c>
      <c r="H806" s="0" t="n">
        <v>176.88</v>
      </c>
      <c r="I806" s="0" t="n">
        <v>41533.17</v>
      </c>
      <c r="J806" s="0" t="n">
        <v>28477.68</v>
      </c>
      <c r="K806" s="0" t="n">
        <v>13055.49</v>
      </c>
    </row>
    <row r="807" customFormat="false" ht="15" hidden="false" customHeight="false" outlineLevel="0" collapsed="false">
      <c r="A807" s="0" t="s">
        <v>1396</v>
      </c>
      <c r="B807" s="0" t="s">
        <v>1383</v>
      </c>
      <c r="C807" s="0" t="s">
        <v>1346</v>
      </c>
      <c r="D807" s="0" t="s">
        <v>642</v>
      </c>
      <c r="E807" s="0" t="s">
        <v>543</v>
      </c>
      <c r="F807" s="0" t="n">
        <v>214</v>
      </c>
      <c r="G807" s="0" t="n">
        <v>323.69</v>
      </c>
      <c r="H807" s="0" t="n">
        <v>200.4</v>
      </c>
      <c r="I807" s="0" t="n">
        <v>69269.66</v>
      </c>
      <c r="J807" s="0" t="n">
        <v>42885.6</v>
      </c>
      <c r="K807" s="0" t="n">
        <v>26384.06</v>
      </c>
    </row>
    <row r="808" customFormat="false" ht="15" hidden="false" customHeight="false" outlineLevel="0" collapsed="false">
      <c r="A808" s="0" t="s">
        <v>1397</v>
      </c>
      <c r="B808" s="0" t="s">
        <v>1383</v>
      </c>
      <c r="C808" s="0" t="s">
        <v>1346</v>
      </c>
      <c r="D808" s="0" t="s">
        <v>644</v>
      </c>
      <c r="E808" s="0" t="s">
        <v>546</v>
      </c>
      <c r="F808" s="0" t="n">
        <v>288</v>
      </c>
      <c r="G808" s="0" t="n">
        <v>99.03</v>
      </c>
      <c r="H808" s="0" t="n">
        <v>72.03</v>
      </c>
      <c r="I808" s="0" t="n">
        <v>28520.64</v>
      </c>
      <c r="J808" s="0" t="n">
        <v>20744.64</v>
      </c>
      <c r="K808" s="0" t="n">
        <v>7776</v>
      </c>
    </row>
    <row r="809" customFormat="false" ht="15" hidden="false" customHeight="false" outlineLevel="0" collapsed="false">
      <c r="A809" s="0" t="s">
        <v>1398</v>
      </c>
      <c r="B809" s="0" t="s">
        <v>1383</v>
      </c>
      <c r="C809" s="0" t="s">
        <v>1346</v>
      </c>
      <c r="D809" s="0" t="s">
        <v>646</v>
      </c>
      <c r="E809" s="0" t="s">
        <v>549</v>
      </c>
      <c r="F809" s="0" t="n">
        <v>320</v>
      </c>
      <c r="G809" s="0" t="n">
        <v>139.7</v>
      </c>
      <c r="H809" s="0" t="n">
        <v>88.46</v>
      </c>
      <c r="I809" s="0" t="n">
        <v>44704</v>
      </c>
      <c r="J809" s="0" t="n">
        <v>28307.2</v>
      </c>
      <c r="K809" s="0" t="n">
        <v>16396.8</v>
      </c>
    </row>
    <row r="810" customFormat="false" ht="15" hidden="false" customHeight="false" outlineLevel="0" collapsed="false">
      <c r="A810" s="0" t="s">
        <v>1399</v>
      </c>
      <c r="B810" s="0" t="s">
        <v>1383</v>
      </c>
      <c r="C810" s="0" t="s">
        <v>1346</v>
      </c>
      <c r="D810" s="0" t="s">
        <v>648</v>
      </c>
      <c r="E810" s="0" t="s">
        <v>552</v>
      </c>
      <c r="F810" s="0" t="n">
        <v>200</v>
      </c>
      <c r="G810" s="0" t="n">
        <v>176.51</v>
      </c>
      <c r="H810" s="0" t="n">
        <v>118.65</v>
      </c>
      <c r="I810" s="0" t="n">
        <v>35302</v>
      </c>
      <c r="J810" s="0" t="n">
        <v>23730</v>
      </c>
      <c r="K810" s="0" t="n">
        <v>11572</v>
      </c>
    </row>
    <row r="811" customFormat="false" ht="15" hidden="false" customHeight="false" outlineLevel="0" collapsed="false">
      <c r="A811" s="0" t="s">
        <v>1400</v>
      </c>
      <c r="B811" s="0" t="s">
        <v>1383</v>
      </c>
      <c r="C811" s="0" t="s">
        <v>1346</v>
      </c>
      <c r="D811" s="0" t="s">
        <v>650</v>
      </c>
      <c r="E811" s="0" t="s">
        <v>555</v>
      </c>
      <c r="F811" s="0" t="n">
        <v>126</v>
      </c>
      <c r="G811" s="0" t="n">
        <v>170.62</v>
      </c>
      <c r="H811" s="0" t="n">
        <v>102.05</v>
      </c>
      <c r="I811" s="0" t="n">
        <v>21498.12</v>
      </c>
      <c r="J811" s="0" t="n">
        <v>12858.3</v>
      </c>
      <c r="K811" s="0" t="n">
        <v>8639.82</v>
      </c>
    </row>
    <row r="812" customFormat="false" ht="15" hidden="false" customHeight="false" outlineLevel="0" collapsed="false">
      <c r="A812" s="0" t="s">
        <v>1401</v>
      </c>
      <c r="B812" s="0" t="s">
        <v>1383</v>
      </c>
      <c r="C812" s="0" t="s">
        <v>1346</v>
      </c>
      <c r="D812" s="0" t="s">
        <v>533</v>
      </c>
      <c r="E812" s="0" t="s">
        <v>534</v>
      </c>
      <c r="F812" s="0" t="n">
        <v>101</v>
      </c>
      <c r="G812" s="0" t="n">
        <v>189.45</v>
      </c>
      <c r="H812" s="0" t="n">
        <v>132.73</v>
      </c>
      <c r="I812" s="0" t="n">
        <v>19134.45</v>
      </c>
      <c r="J812" s="0" t="n">
        <v>13405.73</v>
      </c>
      <c r="K812" s="0" t="n">
        <v>5728.72</v>
      </c>
    </row>
    <row r="813" customFormat="false" ht="15" hidden="false" customHeight="false" outlineLevel="0" collapsed="false">
      <c r="A813" s="0" t="s">
        <v>1402</v>
      </c>
      <c r="B813" s="0" t="s">
        <v>1383</v>
      </c>
      <c r="C813" s="0" t="s">
        <v>1346</v>
      </c>
      <c r="D813" s="0" t="s">
        <v>536</v>
      </c>
      <c r="E813" s="0" t="s">
        <v>537</v>
      </c>
      <c r="F813" s="0" t="n">
        <v>367</v>
      </c>
      <c r="G813" s="0" t="n">
        <v>242.73</v>
      </c>
      <c r="H813" s="0" t="n">
        <v>161.68</v>
      </c>
      <c r="I813" s="0" t="n">
        <v>89081.91</v>
      </c>
      <c r="J813" s="0" t="n">
        <v>59336.56</v>
      </c>
      <c r="K813" s="0" t="n">
        <v>29745.35</v>
      </c>
    </row>
    <row r="814" customFormat="false" ht="15" hidden="false" customHeight="false" outlineLevel="0" collapsed="false">
      <c r="A814" s="0" t="s">
        <v>1403</v>
      </c>
      <c r="B814" s="0" t="s">
        <v>1383</v>
      </c>
      <c r="C814" s="0" t="s">
        <v>1346</v>
      </c>
      <c r="D814" s="0" t="s">
        <v>539</v>
      </c>
      <c r="E814" s="0" t="s">
        <v>540</v>
      </c>
      <c r="F814" s="0" t="n">
        <v>444</v>
      </c>
      <c r="G814" s="0" t="n">
        <v>255.44</v>
      </c>
      <c r="H814" s="0" t="n">
        <v>174.42</v>
      </c>
      <c r="I814" s="0" t="n">
        <v>113415.36</v>
      </c>
      <c r="J814" s="0" t="n">
        <v>77442.48</v>
      </c>
      <c r="K814" s="0" t="n">
        <v>35972.88</v>
      </c>
    </row>
    <row r="815" customFormat="false" ht="15" hidden="false" customHeight="false" outlineLevel="0" collapsed="false">
      <c r="A815" s="0" t="s">
        <v>1404</v>
      </c>
      <c r="B815" s="0" t="s">
        <v>1383</v>
      </c>
      <c r="C815" s="0" t="s">
        <v>1346</v>
      </c>
      <c r="D815" s="0" t="s">
        <v>542</v>
      </c>
      <c r="E815" s="0" t="s">
        <v>543</v>
      </c>
      <c r="F815" s="0" t="n">
        <v>307</v>
      </c>
      <c r="G815" s="0" t="n">
        <v>316.5</v>
      </c>
      <c r="H815" s="0" t="n">
        <v>201.95</v>
      </c>
      <c r="I815" s="0" t="n">
        <v>97165.5</v>
      </c>
      <c r="J815" s="0" t="n">
        <v>61998.65</v>
      </c>
      <c r="K815" s="0" t="n">
        <v>35166.85</v>
      </c>
    </row>
    <row r="816" customFormat="false" ht="15" hidden="false" customHeight="false" outlineLevel="0" collapsed="false">
      <c r="A816" s="0" t="s">
        <v>1405</v>
      </c>
      <c r="B816" s="0" t="s">
        <v>1383</v>
      </c>
      <c r="C816" s="0" t="s">
        <v>1346</v>
      </c>
      <c r="D816" s="0" t="s">
        <v>545</v>
      </c>
      <c r="E816" s="0" t="s">
        <v>546</v>
      </c>
      <c r="F816" s="0" t="n">
        <v>133</v>
      </c>
      <c r="G816" s="0" t="n">
        <v>110.7</v>
      </c>
      <c r="H816" s="0" t="n">
        <v>71.71</v>
      </c>
      <c r="I816" s="0" t="n">
        <v>14723.1</v>
      </c>
      <c r="J816" s="0" t="n">
        <v>9537.43</v>
      </c>
      <c r="K816" s="0" t="n">
        <v>5185.67</v>
      </c>
    </row>
    <row r="817" customFormat="false" ht="15" hidden="false" customHeight="false" outlineLevel="0" collapsed="false">
      <c r="A817" s="0" t="s">
        <v>1406</v>
      </c>
      <c r="B817" s="0" t="s">
        <v>1383</v>
      </c>
      <c r="C817" s="0" t="s">
        <v>1346</v>
      </c>
      <c r="D817" s="0" t="s">
        <v>548</v>
      </c>
      <c r="E817" s="0" t="s">
        <v>549</v>
      </c>
      <c r="F817" s="0" t="n">
        <v>202</v>
      </c>
      <c r="G817" s="0" t="n">
        <v>133.04</v>
      </c>
      <c r="H817" s="0" t="n">
        <v>87.26</v>
      </c>
      <c r="I817" s="0" t="n">
        <v>26874.08</v>
      </c>
      <c r="J817" s="0" t="n">
        <v>17626.52</v>
      </c>
      <c r="K817" s="0" t="n">
        <v>9247.56</v>
      </c>
    </row>
    <row r="818" customFormat="false" ht="15" hidden="false" customHeight="false" outlineLevel="0" collapsed="false">
      <c r="A818" s="0" t="s">
        <v>1407</v>
      </c>
      <c r="B818" s="0" t="s">
        <v>1383</v>
      </c>
      <c r="C818" s="0" t="s">
        <v>1346</v>
      </c>
      <c r="D818" s="0" t="s">
        <v>551</v>
      </c>
      <c r="E818" s="0" t="s">
        <v>552</v>
      </c>
      <c r="F818" s="0" t="n">
        <v>375</v>
      </c>
      <c r="G818" s="0" t="n">
        <v>180.84</v>
      </c>
      <c r="H818" s="0" t="n">
        <v>108.15</v>
      </c>
      <c r="I818" s="0" t="n">
        <v>67815</v>
      </c>
      <c r="J818" s="0" t="n">
        <v>40556.25</v>
      </c>
      <c r="K818" s="0" t="n">
        <v>27258.75</v>
      </c>
    </row>
    <row r="819" customFormat="false" ht="15" hidden="false" customHeight="false" outlineLevel="0" collapsed="false">
      <c r="A819" s="0" t="s">
        <v>1408</v>
      </c>
      <c r="B819" s="0" t="s">
        <v>1383</v>
      </c>
      <c r="C819" s="0" t="s">
        <v>1346</v>
      </c>
      <c r="D819" s="0" t="s">
        <v>554</v>
      </c>
      <c r="E819" s="0" t="s">
        <v>555</v>
      </c>
      <c r="F819" s="0" t="n">
        <v>123</v>
      </c>
      <c r="G819" s="0" t="n">
        <v>171.32</v>
      </c>
      <c r="H819" s="0" t="n">
        <v>95.39</v>
      </c>
      <c r="I819" s="0" t="n">
        <v>21072.36</v>
      </c>
      <c r="J819" s="0" t="n">
        <v>11732.97</v>
      </c>
      <c r="K819" s="0" t="n">
        <v>9339.39</v>
      </c>
    </row>
    <row r="820" customFormat="false" ht="15" hidden="false" customHeight="false" outlineLevel="0" collapsed="false">
      <c r="A820" s="0" t="s">
        <v>1409</v>
      </c>
      <c r="B820" s="0" t="s">
        <v>1383</v>
      </c>
      <c r="C820" s="0" t="s">
        <v>1346</v>
      </c>
      <c r="D820" s="0" t="s">
        <v>557</v>
      </c>
      <c r="E820" s="0" t="s">
        <v>534</v>
      </c>
      <c r="F820" s="0" t="n">
        <v>363</v>
      </c>
      <c r="G820" s="0" t="n">
        <v>202.28</v>
      </c>
      <c r="H820" s="0" t="n">
        <v>127.24</v>
      </c>
      <c r="I820" s="0" t="n">
        <v>73427.64</v>
      </c>
      <c r="J820" s="0" t="n">
        <v>46188.12</v>
      </c>
      <c r="K820" s="0" t="n">
        <v>27239.52</v>
      </c>
    </row>
    <row r="821" customFormat="false" ht="15" hidden="false" customHeight="false" outlineLevel="0" collapsed="false">
      <c r="A821" s="0" t="s">
        <v>1410</v>
      </c>
      <c r="B821" s="0" t="s">
        <v>1383</v>
      </c>
      <c r="C821" s="0" t="s">
        <v>1346</v>
      </c>
      <c r="D821" s="0" t="s">
        <v>559</v>
      </c>
      <c r="E821" s="0" t="s">
        <v>537</v>
      </c>
      <c r="F821" s="0" t="n">
        <v>246</v>
      </c>
      <c r="G821" s="0" t="n">
        <v>227.47</v>
      </c>
      <c r="H821" s="0" t="n">
        <v>153.64</v>
      </c>
      <c r="I821" s="0" t="n">
        <v>55957.62</v>
      </c>
      <c r="J821" s="0" t="n">
        <v>37795.44</v>
      </c>
      <c r="K821" s="0" t="n">
        <v>18162.18</v>
      </c>
    </row>
    <row r="822" customFormat="false" ht="15" hidden="false" customHeight="false" outlineLevel="0" collapsed="false">
      <c r="A822" s="0" t="s">
        <v>1411</v>
      </c>
      <c r="B822" s="0" t="s">
        <v>1383</v>
      </c>
      <c r="C822" s="0" t="s">
        <v>1346</v>
      </c>
      <c r="D822" s="0" t="s">
        <v>561</v>
      </c>
      <c r="E822" s="0" t="s">
        <v>540</v>
      </c>
      <c r="F822" s="0" t="n">
        <v>158</v>
      </c>
      <c r="G822" s="0" t="n">
        <v>276.58</v>
      </c>
      <c r="H822" s="0" t="n">
        <v>178.78</v>
      </c>
      <c r="I822" s="0" t="n">
        <v>43699.64</v>
      </c>
      <c r="J822" s="0" t="n">
        <v>28247.24</v>
      </c>
      <c r="K822" s="0" t="n">
        <v>15452.4</v>
      </c>
    </row>
    <row r="823" customFormat="false" ht="15" hidden="false" customHeight="false" outlineLevel="0" collapsed="false">
      <c r="A823" s="0" t="s">
        <v>1412</v>
      </c>
      <c r="B823" s="0" t="s">
        <v>1383</v>
      </c>
      <c r="C823" s="0" t="s">
        <v>1346</v>
      </c>
      <c r="D823" s="0" t="s">
        <v>563</v>
      </c>
      <c r="E823" s="0" t="s">
        <v>543</v>
      </c>
      <c r="F823" s="0" t="n">
        <v>288</v>
      </c>
      <c r="G823" s="0" t="n">
        <v>328.49</v>
      </c>
      <c r="H823" s="0" t="n">
        <v>201.17</v>
      </c>
      <c r="I823" s="0" t="n">
        <v>94605.12</v>
      </c>
      <c r="J823" s="0" t="n">
        <v>57936.96</v>
      </c>
      <c r="K823" s="0" t="n">
        <v>36668.16</v>
      </c>
    </row>
    <row r="824" customFormat="false" ht="15" hidden="false" customHeight="false" outlineLevel="0" collapsed="false">
      <c r="A824" s="0" t="s">
        <v>1413</v>
      </c>
      <c r="B824" s="0" t="s">
        <v>1383</v>
      </c>
      <c r="C824" s="0" t="s">
        <v>1346</v>
      </c>
      <c r="D824" s="0" t="s">
        <v>565</v>
      </c>
      <c r="E824" s="0" t="s">
        <v>546</v>
      </c>
      <c r="F824" s="0" t="n">
        <v>373</v>
      </c>
      <c r="G824" s="0" t="n">
        <v>101.34</v>
      </c>
      <c r="H824" s="0" t="n">
        <v>71.03</v>
      </c>
      <c r="I824" s="0" t="n">
        <v>37799.82</v>
      </c>
      <c r="J824" s="0" t="n">
        <v>26494.19</v>
      </c>
      <c r="K824" s="0" t="n">
        <v>11305.63</v>
      </c>
    </row>
    <row r="825" customFormat="false" ht="15" hidden="false" customHeight="false" outlineLevel="0" collapsed="false">
      <c r="A825" s="0" t="s">
        <v>1414</v>
      </c>
      <c r="B825" s="0" t="s">
        <v>1383</v>
      </c>
      <c r="C825" s="0" t="s">
        <v>1346</v>
      </c>
      <c r="D825" s="0" t="s">
        <v>567</v>
      </c>
      <c r="E825" s="0" t="s">
        <v>549</v>
      </c>
      <c r="F825" s="0" t="n">
        <v>284</v>
      </c>
      <c r="G825" s="0" t="n">
        <v>141.81</v>
      </c>
      <c r="H825" s="0" t="n">
        <v>84.04</v>
      </c>
      <c r="I825" s="0" t="n">
        <v>40274.04</v>
      </c>
      <c r="J825" s="0" t="n">
        <v>23867.36</v>
      </c>
      <c r="K825" s="0" t="n">
        <v>16406.68</v>
      </c>
    </row>
    <row r="826" customFormat="false" ht="15" hidden="false" customHeight="false" outlineLevel="0" collapsed="false">
      <c r="A826" s="0" t="s">
        <v>1415</v>
      </c>
      <c r="B826" s="0" t="s">
        <v>1383</v>
      </c>
      <c r="C826" s="0" t="s">
        <v>1346</v>
      </c>
      <c r="D826" s="0" t="s">
        <v>569</v>
      </c>
      <c r="E826" s="0" t="s">
        <v>552</v>
      </c>
      <c r="F826" s="0" t="n">
        <v>281</v>
      </c>
      <c r="G826" s="0" t="n">
        <v>187.76</v>
      </c>
      <c r="H826" s="0" t="n">
        <v>109.4</v>
      </c>
      <c r="I826" s="0" t="n">
        <v>52760.56</v>
      </c>
      <c r="J826" s="0" t="n">
        <v>30741.4</v>
      </c>
      <c r="K826" s="0" t="n">
        <v>22019.16</v>
      </c>
    </row>
    <row r="827" customFormat="false" ht="15" hidden="false" customHeight="false" outlineLevel="0" collapsed="false">
      <c r="A827" s="0" t="s">
        <v>1416</v>
      </c>
      <c r="B827" s="0" t="s">
        <v>1383</v>
      </c>
      <c r="C827" s="0" t="s">
        <v>1346</v>
      </c>
      <c r="D827" s="0" t="s">
        <v>571</v>
      </c>
      <c r="E827" s="0" t="s">
        <v>555</v>
      </c>
      <c r="F827" s="0" t="n">
        <v>437</v>
      </c>
      <c r="G827" s="0" t="n">
        <v>172.22</v>
      </c>
      <c r="H827" s="0" t="n">
        <v>97.93</v>
      </c>
      <c r="I827" s="0" t="n">
        <v>75260.14</v>
      </c>
      <c r="J827" s="0" t="n">
        <v>42795.41</v>
      </c>
      <c r="K827" s="0" t="n">
        <v>32464.73</v>
      </c>
    </row>
    <row r="828" customFormat="false" ht="15" hidden="false" customHeight="false" outlineLevel="0" collapsed="false">
      <c r="A828" s="0" t="s">
        <v>1417</v>
      </c>
      <c r="B828" s="0" t="s">
        <v>1383</v>
      </c>
      <c r="C828" s="0" t="s">
        <v>1346</v>
      </c>
      <c r="D828" s="0" t="s">
        <v>573</v>
      </c>
      <c r="E828" s="0" t="s">
        <v>534</v>
      </c>
      <c r="F828" s="0" t="n">
        <v>262</v>
      </c>
      <c r="G828" s="0" t="n">
        <v>188.37</v>
      </c>
      <c r="H828" s="0" t="n">
        <v>133.64</v>
      </c>
      <c r="I828" s="0" t="n">
        <v>49352.94</v>
      </c>
      <c r="J828" s="0" t="n">
        <v>35013.68</v>
      </c>
      <c r="K828" s="0" t="n">
        <v>14339.26</v>
      </c>
    </row>
    <row r="829" customFormat="false" ht="15" hidden="false" customHeight="false" outlineLevel="0" collapsed="false">
      <c r="A829" s="0" t="s">
        <v>1418</v>
      </c>
      <c r="B829" s="0" t="s">
        <v>1383</v>
      </c>
      <c r="C829" s="0" t="s">
        <v>1346</v>
      </c>
      <c r="D829" s="0" t="s">
        <v>575</v>
      </c>
      <c r="E829" s="0" t="s">
        <v>537</v>
      </c>
      <c r="F829" s="0" t="n">
        <v>123</v>
      </c>
      <c r="G829" s="0" t="n">
        <v>238.24</v>
      </c>
      <c r="H829" s="0" t="n">
        <v>164.16</v>
      </c>
      <c r="I829" s="0" t="n">
        <v>29303.52</v>
      </c>
      <c r="J829" s="0" t="n">
        <v>20191.68</v>
      </c>
      <c r="K829" s="0" t="n">
        <v>9111.84</v>
      </c>
    </row>
    <row r="830" customFormat="false" ht="15" hidden="false" customHeight="false" outlineLevel="0" collapsed="false">
      <c r="A830" s="0" t="s">
        <v>1419</v>
      </c>
      <c r="B830" s="0" t="s">
        <v>1420</v>
      </c>
      <c r="C830" s="0" t="s">
        <v>1346</v>
      </c>
      <c r="D830" s="0" t="s">
        <v>542</v>
      </c>
      <c r="E830" s="0" t="s">
        <v>543</v>
      </c>
      <c r="F830" s="0" t="n">
        <v>389</v>
      </c>
      <c r="G830" s="0" t="n">
        <v>306.01</v>
      </c>
      <c r="H830" s="0" t="n">
        <v>212.67</v>
      </c>
      <c r="I830" s="0" t="n">
        <v>119037.89</v>
      </c>
      <c r="J830" s="0" t="n">
        <v>82728.63</v>
      </c>
      <c r="K830" s="0" t="n">
        <v>36309.26</v>
      </c>
    </row>
    <row r="831" customFormat="false" ht="15" hidden="false" customHeight="false" outlineLevel="0" collapsed="false">
      <c r="A831" s="0" t="s">
        <v>1421</v>
      </c>
      <c r="B831" s="0" t="s">
        <v>1420</v>
      </c>
      <c r="C831" s="0" t="s">
        <v>1346</v>
      </c>
      <c r="D831" s="0" t="s">
        <v>545</v>
      </c>
      <c r="E831" s="0" t="s">
        <v>546</v>
      </c>
      <c r="F831" s="0" t="n">
        <v>100</v>
      </c>
      <c r="G831" s="0" t="n">
        <v>106.97</v>
      </c>
      <c r="H831" s="0" t="n">
        <v>70.62</v>
      </c>
      <c r="I831" s="0" t="n">
        <v>10697</v>
      </c>
      <c r="J831" s="0" t="n">
        <v>7062</v>
      </c>
      <c r="K831" s="0" t="n">
        <v>3635</v>
      </c>
    </row>
    <row r="832" customFormat="false" ht="15" hidden="false" customHeight="false" outlineLevel="0" collapsed="false">
      <c r="A832" s="0" t="s">
        <v>1422</v>
      </c>
      <c r="B832" s="0" t="s">
        <v>1420</v>
      </c>
      <c r="C832" s="0" t="s">
        <v>1346</v>
      </c>
      <c r="D832" s="0" t="s">
        <v>548</v>
      </c>
      <c r="E832" s="0" t="s">
        <v>549</v>
      </c>
      <c r="F832" s="0" t="n">
        <v>315</v>
      </c>
      <c r="G832" s="0" t="n">
        <v>138.3</v>
      </c>
      <c r="H832" s="0" t="n">
        <v>82.22</v>
      </c>
      <c r="I832" s="0" t="n">
        <v>43564.5</v>
      </c>
      <c r="J832" s="0" t="n">
        <v>25899.3</v>
      </c>
      <c r="K832" s="0" t="n">
        <v>17665.2</v>
      </c>
    </row>
    <row r="833" customFormat="false" ht="15" hidden="false" customHeight="false" outlineLevel="0" collapsed="false">
      <c r="A833" s="0" t="s">
        <v>1423</v>
      </c>
      <c r="B833" s="0" t="s">
        <v>1420</v>
      </c>
      <c r="C833" s="0" t="s">
        <v>1346</v>
      </c>
      <c r="D833" s="0" t="s">
        <v>551</v>
      </c>
      <c r="E833" s="0" t="s">
        <v>552</v>
      </c>
      <c r="F833" s="0" t="n">
        <v>277</v>
      </c>
      <c r="G833" s="0" t="n">
        <v>179.77</v>
      </c>
      <c r="H833" s="0" t="n">
        <v>116.66</v>
      </c>
      <c r="I833" s="0" t="n">
        <v>49796.29</v>
      </c>
      <c r="J833" s="0" t="n">
        <v>32314.82</v>
      </c>
      <c r="K833" s="0" t="n">
        <v>17481.47</v>
      </c>
    </row>
    <row r="834" customFormat="false" ht="15" hidden="false" customHeight="false" outlineLevel="0" collapsed="false">
      <c r="A834" s="0" t="s">
        <v>1424</v>
      </c>
      <c r="B834" s="0" t="s">
        <v>1420</v>
      </c>
      <c r="C834" s="0" t="s">
        <v>1346</v>
      </c>
      <c r="D834" s="0" t="s">
        <v>554</v>
      </c>
      <c r="E834" s="0" t="s">
        <v>555</v>
      </c>
      <c r="F834" s="0" t="n">
        <v>423</v>
      </c>
      <c r="G834" s="0" t="n">
        <v>164.4</v>
      </c>
      <c r="H834" s="0" t="n">
        <v>101.06</v>
      </c>
      <c r="I834" s="0" t="n">
        <v>69541.2</v>
      </c>
      <c r="J834" s="0" t="n">
        <v>42748.38</v>
      </c>
      <c r="K834" s="0" t="n">
        <v>26792.82</v>
      </c>
    </row>
    <row r="835" customFormat="false" ht="15" hidden="false" customHeight="false" outlineLevel="0" collapsed="false">
      <c r="A835" s="0" t="s">
        <v>1425</v>
      </c>
      <c r="B835" s="0" t="s">
        <v>1420</v>
      </c>
      <c r="C835" s="0" t="s">
        <v>1346</v>
      </c>
      <c r="D835" s="0" t="s">
        <v>557</v>
      </c>
      <c r="E835" s="0" t="s">
        <v>534</v>
      </c>
      <c r="F835" s="0" t="n">
        <v>236</v>
      </c>
      <c r="G835" s="0" t="n">
        <v>208.69</v>
      </c>
      <c r="H835" s="0" t="n">
        <v>138.02</v>
      </c>
      <c r="I835" s="0" t="n">
        <v>49250.84</v>
      </c>
      <c r="J835" s="0" t="n">
        <v>32572.72</v>
      </c>
      <c r="K835" s="0" t="n">
        <v>16678.12</v>
      </c>
    </row>
    <row r="836" customFormat="false" ht="15" hidden="false" customHeight="false" outlineLevel="0" collapsed="false">
      <c r="A836" s="0" t="s">
        <v>1426</v>
      </c>
      <c r="B836" s="0" t="s">
        <v>1420</v>
      </c>
      <c r="C836" s="0" t="s">
        <v>1346</v>
      </c>
      <c r="D836" s="0" t="s">
        <v>559</v>
      </c>
      <c r="E836" s="0" t="s">
        <v>537</v>
      </c>
      <c r="F836" s="0" t="n">
        <v>127</v>
      </c>
      <c r="G836" s="0" t="n">
        <v>235.83</v>
      </c>
      <c r="H836" s="0" t="n">
        <v>156.87</v>
      </c>
      <c r="I836" s="0" t="n">
        <v>29950.41</v>
      </c>
      <c r="J836" s="0" t="n">
        <v>19922.49</v>
      </c>
      <c r="K836" s="0" t="n">
        <v>10027.92</v>
      </c>
    </row>
    <row r="837" customFormat="false" ht="15" hidden="false" customHeight="false" outlineLevel="0" collapsed="false">
      <c r="A837" s="0" t="s">
        <v>1427</v>
      </c>
      <c r="B837" s="0" t="s">
        <v>1420</v>
      </c>
      <c r="C837" s="0" t="s">
        <v>1346</v>
      </c>
      <c r="D837" s="0" t="s">
        <v>561</v>
      </c>
      <c r="E837" s="0" t="s">
        <v>540</v>
      </c>
      <c r="F837" s="0" t="n">
        <v>409</v>
      </c>
      <c r="G837" s="0" t="n">
        <v>254.82</v>
      </c>
      <c r="H837" s="0" t="n">
        <v>172.16</v>
      </c>
      <c r="I837" s="0" t="n">
        <v>104221.38</v>
      </c>
      <c r="J837" s="0" t="n">
        <v>70413.44</v>
      </c>
      <c r="K837" s="0" t="n">
        <v>33807.94</v>
      </c>
    </row>
    <row r="838" customFormat="false" ht="15" hidden="false" customHeight="false" outlineLevel="0" collapsed="false">
      <c r="A838" s="0" t="s">
        <v>1428</v>
      </c>
      <c r="B838" s="0" t="s">
        <v>1420</v>
      </c>
      <c r="C838" s="0" t="s">
        <v>1346</v>
      </c>
      <c r="D838" s="0" t="s">
        <v>563</v>
      </c>
      <c r="E838" s="0" t="s">
        <v>543</v>
      </c>
      <c r="F838" s="0" t="n">
        <v>269</v>
      </c>
      <c r="G838" s="0" t="n">
        <v>293.75</v>
      </c>
      <c r="H838" s="0" t="n">
        <v>194.05</v>
      </c>
      <c r="I838" s="0" t="n">
        <v>79018.75</v>
      </c>
      <c r="J838" s="0" t="n">
        <v>52199.45</v>
      </c>
      <c r="K838" s="0" t="n">
        <v>26819.3</v>
      </c>
    </row>
    <row r="839" customFormat="false" ht="15" hidden="false" customHeight="false" outlineLevel="0" collapsed="false">
      <c r="A839" s="0" t="s">
        <v>1429</v>
      </c>
      <c r="B839" s="0" t="s">
        <v>1420</v>
      </c>
      <c r="C839" s="0" t="s">
        <v>1346</v>
      </c>
      <c r="D839" s="0" t="s">
        <v>565</v>
      </c>
      <c r="E839" s="0" t="s">
        <v>546</v>
      </c>
      <c r="F839" s="0" t="n">
        <v>242</v>
      </c>
      <c r="G839" s="0" t="n">
        <v>104.26</v>
      </c>
      <c r="H839" s="0" t="n">
        <v>70.44</v>
      </c>
      <c r="I839" s="0" t="n">
        <v>25230.92</v>
      </c>
      <c r="J839" s="0" t="n">
        <v>17046.48</v>
      </c>
      <c r="K839" s="0" t="n">
        <v>8184.44</v>
      </c>
    </row>
    <row r="840" customFormat="false" ht="15" hidden="false" customHeight="false" outlineLevel="0" collapsed="false">
      <c r="A840" s="0" t="s">
        <v>1430</v>
      </c>
      <c r="B840" s="0" t="s">
        <v>1420</v>
      </c>
      <c r="C840" s="0" t="s">
        <v>1346</v>
      </c>
      <c r="D840" s="0" t="s">
        <v>567</v>
      </c>
      <c r="E840" s="0" t="s">
        <v>549</v>
      </c>
      <c r="F840" s="0" t="n">
        <v>137</v>
      </c>
      <c r="G840" s="0" t="n">
        <v>131.55</v>
      </c>
      <c r="H840" s="0" t="n">
        <v>80.56</v>
      </c>
      <c r="I840" s="0" t="n">
        <v>18022.35</v>
      </c>
      <c r="J840" s="0" t="n">
        <v>11036.72</v>
      </c>
      <c r="K840" s="0" t="n">
        <v>6985.63</v>
      </c>
    </row>
    <row r="841" customFormat="false" ht="15" hidden="false" customHeight="false" outlineLevel="0" collapsed="false">
      <c r="A841" s="0" t="s">
        <v>1431</v>
      </c>
      <c r="B841" s="0" t="s">
        <v>1420</v>
      </c>
      <c r="C841" s="0" t="s">
        <v>1346</v>
      </c>
      <c r="D841" s="0" t="s">
        <v>569</v>
      </c>
      <c r="E841" s="0" t="s">
        <v>552</v>
      </c>
      <c r="F841" s="0" t="n">
        <v>314</v>
      </c>
      <c r="G841" s="0" t="n">
        <v>182.86</v>
      </c>
      <c r="H841" s="0" t="n">
        <v>114.41</v>
      </c>
      <c r="I841" s="0" t="n">
        <v>57418.04</v>
      </c>
      <c r="J841" s="0" t="n">
        <v>35924.74</v>
      </c>
      <c r="K841" s="0" t="n">
        <v>21493.3</v>
      </c>
    </row>
    <row r="842" customFormat="false" ht="15" hidden="false" customHeight="false" outlineLevel="0" collapsed="false">
      <c r="A842" s="0" t="s">
        <v>1432</v>
      </c>
      <c r="B842" s="0" t="s">
        <v>1420</v>
      </c>
      <c r="C842" s="0" t="s">
        <v>1346</v>
      </c>
      <c r="D842" s="0" t="s">
        <v>571</v>
      </c>
      <c r="E842" s="0" t="s">
        <v>555</v>
      </c>
      <c r="F842" s="0" t="n">
        <v>137</v>
      </c>
      <c r="G842" s="0" t="n">
        <v>156.35</v>
      </c>
      <c r="H842" s="0" t="n">
        <v>96.24</v>
      </c>
      <c r="I842" s="0" t="n">
        <v>21419.95</v>
      </c>
      <c r="J842" s="0" t="n">
        <v>13184.88</v>
      </c>
      <c r="K842" s="0" t="n">
        <v>8235.07</v>
      </c>
    </row>
    <row r="843" customFormat="false" ht="15" hidden="false" customHeight="false" outlineLevel="0" collapsed="false">
      <c r="A843" s="0" t="s">
        <v>1433</v>
      </c>
      <c r="B843" s="0" t="s">
        <v>1420</v>
      </c>
      <c r="C843" s="0" t="s">
        <v>1346</v>
      </c>
      <c r="D843" s="0" t="s">
        <v>573</v>
      </c>
      <c r="E843" s="0" t="s">
        <v>534</v>
      </c>
      <c r="F843" s="0" t="n">
        <v>132</v>
      </c>
      <c r="G843" s="0" t="n">
        <v>203.2</v>
      </c>
      <c r="H843" s="0" t="n">
        <v>139.15</v>
      </c>
      <c r="I843" s="0" t="n">
        <v>26822.4</v>
      </c>
      <c r="J843" s="0" t="n">
        <v>18367.8</v>
      </c>
      <c r="K843" s="0" t="n">
        <v>8454.6</v>
      </c>
    </row>
    <row r="844" customFormat="false" ht="15" hidden="false" customHeight="false" outlineLevel="0" collapsed="false">
      <c r="A844" s="0" t="s">
        <v>1434</v>
      </c>
      <c r="B844" s="0" t="s">
        <v>1420</v>
      </c>
      <c r="C844" s="0" t="s">
        <v>1346</v>
      </c>
      <c r="D844" s="0" t="s">
        <v>575</v>
      </c>
      <c r="E844" s="0" t="s">
        <v>537</v>
      </c>
      <c r="F844" s="0" t="n">
        <v>282</v>
      </c>
      <c r="G844" s="0" t="n">
        <v>227.36</v>
      </c>
      <c r="H844" s="0" t="n">
        <v>157.51</v>
      </c>
      <c r="I844" s="0" t="n">
        <v>64115.52</v>
      </c>
      <c r="J844" s="0" t="n">
        <v>44417.82</v>
      </c>
      <c r="K844" s="0" t="n">
        <v>19697.7</v>
      </c>
    </row>
    <row r="845" customFormat="false" ht="15" hidden="false" customHeight="false" outlineLevel="0" collapsed="false">
      <c r="A845" s="0" t="s">
        <v>1435</v>
      </c>
      <c r="B845" s="0" t="s">
        <v>1420</v>
      </c>
      <c r="C845" s="0" t="s">
        <v>1346</v>
      </c>
      <c r="D845" s="0" t="s">
        <v>577</v>
      </c>
      <c r="E845" s="0" t="s">
        <v>540</v>
      </c>
      <c r="F845" s="0" t="n">
        <v>128</v>
      </c>
      <c r="G845" s="0" t="n">
        <v>275.58</v>
      </c>
      <c r="H845" s="0" t="n">
        <v>175.64</v>
      </c>
      <c r="I845" s="0" t="n">
        <v>35274.24</v>
      </c>
      <c r="J845" s="0" t="n">
        <v>22481.92</v>
      </c>
      <c r="K845" s="0" t="n">
        <v>12792.32</v>
      </c>
    </row>
    <row r="846" customFormat="false" ht="15" hidden="false" customHeight="false" outlineLevel="0" collapsed="false">
      <c r="A846" s="0" t="s">
        <v>1436</v>
      </c>
      <c r="B846" s="0" t="s">
        <v>1420</v>
      </c>
      <c r="C846" s="0" t="s">
        <v>1346</v>
      </c>
      <c r="D846" s="0" t="s">
        <v>579</v>
      </c>
      <c r="E846" s="0" t="s">
        <v>543</v>
      </c>
      <c r="F846" s="0" t="n">
        <v>209</v>
      </c>
      <c r="G846" s="0" t="n">
        <v>313.42</v>
      </c>
      <c r="H846" s="0" t="n">
        <v>198.03</v>
      </c>
      <c r="I846" s="0" t="n">
        <v>65504.78</v>
      </c>
      <c r="J846" s="0" t="n">
        <v>41388.27</v>
      </c>
      <c r="K846" s="0" t="n">
        <v>24116.51</v>
      </c>
    </row>
    <row r="847" customFormat="false" ht="15" hidden="false" customHeight="false" outlineLevel="0" collapsed="false">
      <c r="A847" s="0" t="s">
        <v>1437</v>
      </c>
      <c r="B847" s="0" t="s">
        <v>1420</v>
      </c>
      <c r="C847" s="0" t="s">
        <v>1346</v>
      </c>
      <c r="D847" s="0" t="s">
        <v>581</v>
      </c>
      <c r="E847" s="0" t="s">
        <v>546</v>
      </c>
      <c r="F847" s="0" t="n">
        <v>279</v>
      </c>
      <c r="G847" s="0" t="n">
        <v>100.32</v>
      </c>
      <c r="H847" s="0" t="n">
        <v>66.48</v>
      </c>
      <c r="I847" s="0" t="n">
        <v>27989.28</v>
      </c>
      <c r="J847" s="0" t="n">
        <v>18547.92</v>
      </c>
      <c r="K847" s="0" t="n">
        <v>9441.36</v>
      </c>
    </row>
    <row r="848" customFormat="false" ht="15" hidden="false" customHeight="false" outlineLevel="0" collapsed="false">
      <c r="A848" s="0" t="s">
        <v>1438</v>
      </c>
      <c r="B848" s="0" t="s">
        <v>1420</v>
      </c>
      <c r="C848" s="0" t="s">
        <v>1346</v>
      </c>
      <c r="D848" s="0" t="s">
        <v>583</v>
      </c>
      <c r="E848" s="0" t="s">
        <v>549</v>
      </c>
      <c r="F848" s="0" t="n">
        <v>222</v>
      </c>
      <c r="G848" s="0" t="n">
        <v>138.35</v>
      </c>
      <c r="H848" s="0" t="n">
        <v>79.34</v>
      </c>
      <c r="I848" s="0" t="n">
        <v>30713.7</v>
      </c>
      <c r="J848" s="0" t="n">
        <v>17613.48</v>
      </c>
      <c r="K848" s="0" t="n">
        <v>13100.22</v>
      </c>
    </row>
    <row r="849" customFormat="false" ht="15" hidden="false" customHeight="false" outlineLevel="0" collapsed="false">
      <c r="A849" s="0" t="s">
        <v>1439</v>
      </c>
      <c r="B849" s="0" t="s">
        <v>1420</v>
      </c>
      <c r="C849" s="0" t="s">
        <v>1346</v>
      </c>
      <c r="D849" s="0" t="s">
        <v>585</v>
      </c>
      <c r="E849" s="0" t="s">
        <v>552</v>
      </c>
      <c r="F849" s="0" t="n">
        <v>307</v>
      </c>
      <c r="G849" s="0" t="n">
        <v>175.92</v>
      </c>
      <c r="H849" s="0" t="n">
        <v>111.55</v>
      </c>
      <c r="I849" s="0" t="n">
        <v>54007.44</v>
      </c>
      <c r="J849" s="0" t="n">
        <v>34245.85</v>
      </c>
      <c r="K849" s="0" t="n">
        <v>19761.59</v>
      </c>
    </row>
    <row r="850" customFormat="false" ht="15" hidden="false" customHeight="false" outlineLevel="0" collapsed="false">
      <c r="A850" s="0" t="s">
        <v>1440</v>
      </c>
      <c r="B850" s="0" t="s">
        <v>1420</v>
      </c>
      <c r="C850" s="0" t="s">
        <v>1346</v>
      </c>
      <c r="D850" s="0" t="s">
        <v>587</v>
      </c>
      <c r="E850" s="0" t="s">
        <v>555</v>
      </c>
      <c r="F850" s="0" t="n">
        <v>124</v>
      </c>
      <c r="G850" s="0" t="n">
        <v>163.97</v>
      </c>
      <c r="H850" s="0" t="n">
        <v>103.04</v>
      </c>
      <c r="I850" s="0" t="n">
        <v>20332.28</v>
      </c>
      <c r="J850" s="0" t="n">
        <v>12776.96</v>
      </c>
      <c r="K850" s="0" t="n">
        <v>7555.32</v>
      </c>
    </row>
    <row r="851" customFormat="false" ht="15" hidden="false" customHeight="false" outlineLevel="0" collapsed="false">
      <c r="A851" s="0" t="s">
        <v>1441</v>
      </c>
      <c r="B851" s="0" t="s">
        <v>1420</v>
      </c>
      <c r="C851" s="0" t="s">
        <v>1346</v>
      </c>
      <c r="D851" s="0" t="s">
        <v>589</v>
      </c>
      <c r="E851" s="0" t="s">
        <v>534</v>
      </c>
      <c r="F851" s="0" t="n">
        <v>454</v>
      </c>
      <c r="G851" s="0" t="n">
        <v>203.96</v>
      </c>
      <c r="H851" s="0" t="n">
        <v>136.13</v>
      </c>
      <c r="I851" s="0" t="n">
        <v>92597.84</v>
      </c>
      <c r="J851" s="0" t="n">
        <v>61803.02</v>
      </c>
      <c r="K851" s="0" t="n">
        <v>30794.82</v>
      </c>
    </row>
    <row r="852" customFormat="false" ht="15" hidden="false" customHeight="false" outlineLevel="0" collapsed="false">
      <c r="A852" s="0" t="s">
        <v>1442</v>
      </c>
      <c r="B852" s="0" t="s">
        <v>1420</v>
      </c>
      <c r="C852" s="0" t="s">
        <v>1346</v>
      </c>
      <c r="D852" s="0" t="s">
        <v>591</v>
      </c>
      <c r="E852" s="0" t="s">
        <v>537</v>
      </c>
      <c r="F852" s="0" t="n">
        <v>185</v>
      </c>
      <c r="G852" s="0" t="n">
        <v>242.13</v>
      </c>
      <c r="H852" s="0" t="n">
        <v>152.3</v>
      </c>
      <c r="I852" s="0" t="n">
        <v>44794.05</v>
      </c>
      <c r="J852" s="0" t="n">
        <v>28175.5</v>
      </c>
      <c r="K852" s="0" t="n">
        <v>16618.55</v>
      </c>
    </row>
    <row r="853" customFormat="false" ht="15" hidden="false" customHeight="false" outlineLevel="0" collapsed="false">
      <c r="A853" s="0" t="s">
        <v>1443</v>
      </c>
      <c r="B853" s="0" t="s">
        <v>1420</v>
      </c>
      <c r="C853" s="0" t="s">
        <v>1346</v>
      </c>
      <c r="D853" s="0" t="s">
        <v>593</v>
      </c>
      <c r="E853" s="0" t="s">
        <v>540</v>
      </c>
      <c r="F853" s="0" t="n">
        <v>88</v>
      </c>
      <c r="G853" s="0" t="n">
        <v>283.74</v>
      </c>
      <c r="H853" s="0" t="n">
        <v>170.98</v>
      </c>
      <c r="I853" s="0" t="n">
        <v>24969.12</v>
      </c>
      <c r="J853" s="0" t="n">
        <v>15046.24</v>
      </c>
      <c r="K853" s="0" t="n">
        <v>9922.88</v>
      </c>
    </row>
    <row r="854" customFormat="false" ht="15" hidden="false" customHeight="false" outlineLevel="0" collapsed="false">
      <c r="A854" s="0" t="s">
        <v>1444</v>
      </c>
      <c r="B854" s="0" t="s">
        <v>1420</v>
      </c>
      <c r="C854" s="0" t="s">
        <v>1346</v>
      </c>
      <c r="D854" s="0" t="s">
        <v>595</v>
      </c>
      <c r="E854" s="0" t="s">
        <v>543</v>
      </c>
      <c r="F854" s="0" t="n">
        <v>402</v>
      </c>
      <c r="G854" s="0" t="n">
        <v>305.3</v>
      </c>
      <c r="H854" s="0" t="n">
        <v>214.82</v>
      </c>
      <c r="I854" s="0" t="n">
        <v>122730.6</v>
      </c>
      <c r="J854" s="0" t="n">
        <v>86357.64</v>
      </c>
      <c r="K854" s="0" t="n">
        <v>36372.96</v>
      </c>
    </row>
    <row r="855" customFormat="false" ht="15" hidden="false" customHeight="false" outlineLevel="0" collapsed="false">
      <c r="A855" s="0" t="s">
        <v>1445</v>
      </c>
      <c r="B855" s="0" t="s">
        <v>1420</v>
      </c>
      <c r="C855" s="0" t="s">
        <v>1346</v>
      </c>
      <c r="D855" s="0" t="s">
        <v>597</v>
      </c>
      <c r="E855" s="0" t="s">
        <v>546</v>
      </c>
      <c r="F855" s="0" t="n">
        <v>310</v>
      </c>
      <c r="G855" s="0" t="n">
        <v>102.69</v>
      </c>
      <c r="H855" s="0" t="n">
        <v>70.88</v>
      </c>
      <c r="I855" s="0" t="n">
        <v>31833.9</v>
      </c>
      <c r="J855" s="0" t="n">
        <v>21972.8</v>
      </c>
      <c r="K855" s="0" t="n">
        <v>9861.1</v>
      </c>
    </row>
    <row r="856" customFormat="false" ht="15" hidden="false" customHeight="false" outlineLevel="0" collapsed="false">
      <c r="A856" s="0" t="s">
        <v>1446</v>
      </c>
      <c r="B856" s="0" t="s">
        <v>1420</v>
      </c>
      <c r="C856" s="0" t="s">
        <v>1346</v>
      </c>
      <c r="D856" s="0" t="s">
        <v>599</v>
      </c>
      <c r="E856" s="0" t="s">
        <v>549</v>
      </c>
      <c r="F856" s="0" t="n">
        <v>418</v>
      </c>
      <c r="G856" s="0" t="n">
        <v>147.41</v>
      </c>
      <c r="H856" s="0" t="n">
        <v>80.06</v>
      </c>
      <c r="I856" s="0" t="n">
        <v>61617.38</v>
      </c>
      <c r="J856" s="0" t="n">
        <v>33465.08</v>
      </c>
      <c r="K856" s="0" t="n">
        <v>28152.3</v>
      </c>
    </row>
    <row r="857" customFormat="false" ht="15" hidden="false" customHeight="false" outlineLevel="0" collapsed="false">
      <c r="A857" s="0" t="s">
        <v>1447</v>
      </c>
      <c r="B857" s="0" t="s">
        <v>1420</v>
      </c>
      <c r="C857" s="0" t="s">
        <v>1346</v>
      </c>
      <c r="D857" s="0" t="s">
        <v>601</v>
      </c>
      <c r="E857" s="0" t="s">
        <v>552</v>
      </c>
      <c r="F857" s="0" t="n">
        <v>249</v>
      </c>
      <c r="G857" s="0" t="n">
        <v>184</v>
      </c>
      <c r="H857" s="0" t="n">
        <v>116.86</v>
      </c>
      <c r="I857" s="0" t="n">
        <v>45816</v>
      </c>
      <c r="J857" s="0" t="n">
        <v>29098.14</v>
      </c>
      <c r="K857" s="0" t="n">
        <v>16717.86</v>
      </c>
    </row>
    <row r="858" customFormat="false" ht="15" hidden="false" customHeight="false" outlineLevel="0" collapsed="false">
      <c r="A858" s="0" t="s">
        <v>1448</v>
      </c>
      <c r="B858" s="0" t="s">
        <v>1420</v>
      </c>
      <c r="C858" s="0" t="s">
        <v>1346</v>
      </c>
      <c r="D858" s="0" t="s">
        <v>603</v>
      </c>
      <c r="E858" s="0" t="s">
        <v>555</v>
      </c>
      <c r="F858" s="0" t="n">
        <v>330</v>
      </c>
      <c r="G858" s="0" t="n">
        <v>162.9</v>
      </c>
      <c r="H858" s="0" t="n">
        <v>103.27</v>
      </c>
      <c r="I858" s="0" t="n">
        <v>53757</v>
      </c>
      <c r="J858" s="0" t="n">
        <v>34079.1</v>
      </c>
      <c r="K858" s="0" t="n">
        <v>19677.9</v>
      </c>
    </row>
    <row r="859" customFormat="false" ht="15" hidden="false" customHeight="false" outlineLevel="0" collapsed="false">
      <c r="A859" s="0" t="s">
        <v>1449</v>
      </c>
      <c r="B859" s="0" t="s">
        <v>1420</v>
      </c>
      <c r="C859" s="0" t="s">
        <v>1346</v>
      </c>
      <c r="D859" s="0" t="s">
        <v>605</v>
      </c>
      <c r="E859" s="0" t="s">
        <v>534</v>
      </c>
      <c r="F859" s="0" t="n">
        <v>248</v>
      </c>
      <c r="G859" s="0" t="n">
        <v>194.86</v>
      </c>
      <c r="H859" s="0" t="n">
        <v>137.73</v>
      </c>
      <c r="I859" s="0" t="n">
        <v>48325.28</v>
      </c>
      <c r="J859" s="0" t="n">
        <v>34157.04</v>
      </c>
      <c r="K859" s="0" t="n">
        <v>14168.24</v>
      </c>
    </row>
    <row r="860" customFormat="false" ht="15" hidden="false" customHeight="false" outlineLevel="0" collapsed="false">
      <c r="A860" s="0" t="s">
        <v>1450</v>
      </c>
      <c r="B860" s="0" t="s">
        <v>1420</v>
      </c>
      <c r="C860" s="0" t="s">
        <v>1346</v>
      </c>
      <c r="D860" s="0" t="s">
        <v>607</v>
      </c>
      <c r="E860" s="0" t="s">
        <v>537</v>
      </c>
      <c r="F860" s="0" t="n">
        <v>336</v>
      </c>
      <c r="G860" s="0" t="n">
        <v>259.03</v>
      </c>
      <c r="H860" s="0" t="n">
        <v>164.4</v>
      </c>
      <c r="I860" s="0" t="n">
        <v>87034.08</v>
      </c>
      <c r="J860" s="0" t="n">
        <v>55238.4</v>
      </c>
      <c r="K860" s="0" t="n">
        <v>31795.68</v>
      </c>
    </row>
    <row r="861" customFormat="false" ht="15" hidden="false" customHeight="false" outlineLevel="0" collapsed="false">
      <c r="A861" s="0" t="s">
        <v>1451</v>
      </c>
      <c r="B861" s="0" t="s">
        <v>1420</v>
      </c>
      <c r="C861" s="0" t="s">
        <v>1346</v>
      </c>
      <c r="D861" s="0" t="s">
        <v>609</v>
      </c>
      <c r="E861" s="0" t="s">
        <v>540</v>
      </c>
      <c r="F861" s="0" t="n">
        <v>251</v>
      </c>
      <c r="G861" s="0" t="n">
        <v>262.89</v>
      </c>
      <c r="H861" s="0" t="n">
        <v>180.91</v>
      </c>
      <c r="I861" s="0" t="n">
        <v>65985.39</v>
      </c>
      <c r="J861" s="0" t="n">
        <v>45408.41</v>
      </c>
      <c r="K861" s="0" t="n">
        <v>20576.98</v>
      </c>
    </row>
    <row r="862" customFormat="false" ht="15" hidden="false" customHeight="false" outlineLevel="0" collapsed="false">
      <c r="A862" s="0" t="s">
        <v>1452</v>
      </c>
      <c r="B862" s="0" t="s">
        <v>1420</v>
      </c>
      <c r="C862" s="0" t="s">
        <v>1346</v>
      </c>
      <c r="D862" s="0" t="s">
        <v>611</v>
      </c>
      <c r="E862" s="0" t="s">
        <v>543</v>
      </c>
      <c r="F862" s="0" t="n">
        <v>286</v>
      </c>
      <c r="G862" s="0" t="n">
        <v>304.67</v>
      </c>
      <c r="H862" s="0" t="n">
        <v>216.51</v>
      </c>
      <c r="I862" s="0" t="n">
        <v>87135.62</v>
      </c>
      <c r="J862" s="0" t="n">
        <v>61921.86</v>
      </c>
      <c r="K862" s="0" t="n">
        <v>25213.76</v>
      </c>
    </row>
    <row r="863" customFormat="false" ht="15" hidden="false" customHeight="false" outlineLevel="0" collapsed="false">
      <c r="A863" s="0" t="s">
        <v>1453</v>
      </c>
      <c r="B863" s="0" t="s">
        <v>1420</v>
      </c>
      <c r="C863" s="0" t="s">
        <v>1346</v>
      </c>
      <c r="D863" s="0" t="s">
        <v>628</v>
      </c>
      <c r="E863" s="0" t="s">
        <v>546</v>
      </c>
      <c r="F863" s="0" t="n">
        <v>187</v>
      </c>
      <c r="G863" s="0" t="n">
        <v>106.37</v>
      </c>
      <c r="H863" s="0" t="n">
        <v>68.71</v>
      </c>
      <c r="I863" s="0" t="n">
        <v>19891.19</v>
      </c>
      <c r="J863" s="0" t="n">
        <v>12848.77</v>
      </c>
      <c r="K863" s="0" t="n">
        <v>7042.42</v>
      </c>
    </row>
    <row r="864" customFormat="false" ht="15" hidden="false" customHeight="false" outlineLevel="0" collapsed="false">
      <c r="A864" s="0" t="s">
        <v>1454</v>
      </c>
      <c r="B864" s="0" t="s">
        <v>1420</v>
      </c>
      <c r="C864" s="0" t="s">
        <v>1346</v>
      </c>
      <c r="D864" s="0" t="s">
        <v>630</v>
      </c>
      <c r="E864" s="0" t="s">
        <v>549</v>
      </c>
      <c r="F864" s="0" t="n">
        <v>434</v>
      </c>
      <c r="G864" s="0" t="n">
        <v>143.52</v>
      </c>
      <c r="H864" s="0" t="n">
        <v>78.98</v>
      </c>
      <c r="I864" s="0" t="n">
        <v>62287.68</v>
      </c>
      <c r="J864" s="0" t="n">
        <v>34277.32</v>
      </c>
      <c r="K864" s="0" t="n">
        <v>28010.36</v>
      </c>
    </row>
    <row r="865" customFormat="false" ht="15" hidden="false" customHeight="false" outlineLevel="0" collapsed="false">
      <c r="A865" s="0" t="s">
        <v>1455</v>
      </c>
      <c r="B865" s="0" t="s">
        <v>1420</v>
      </c>
      <c r="C865" s="0" t="s">
        <v>1346</v>
      </c>
      <c r="D865" s="0" t="s">
        <v>632</v>
      </c>
      <c r="E865" s="0" t="s">
        <v>552</v>
      </c>
      <c r="F865" s="0" t="n">
        <v>457</v>
      </c>
      <c r="G865" s="0" t="n">
        <v>180.5</v>
      </c>
      <c r="H865" s="0" t="n">
        <v>117.04</v>
      </c>
      <c r="I865" s="0" t="n">
        <v>82488.5</v>
      </c>
      <c r="J865" s="0" t="n">
        <v>53487.28</v>
      </c>
      <c r="K865" s="0" t="n">
        <v>29001.22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5" min="1" style="0" width="18"/>
  </cols>
  <sheetData>
    <row r="1" customFormat="false" ht="15" hidden="false" customHeight="false" outlineLevel="0" collapsed="false">
      <c r="A1" s="53" t="s">
        <v>518</v>
      </c>
      <c r="B1" s="53" t="s">
        <v>520</v>
      </c>
      <c r="C1" s="53" t="s">
        <v>107</v>
      </c>
      <c r="D1" s="53" t="s">
        <v>1456</v>
      </c>
      <c r="E1" s="53" t="s">
        <v>1457</v>
      </c>
    </row>
    <row r="2" customFormat="false" ht="15" hidden="false" customHeight="false" outlineLevel="0" collapsed="false">
      <c r="A2" s="0" t="s">
        <v>534</v>
      </c>
      <c r="B2" s="0" t="s">
        <v>109</v>
      </c>
      <c r="C2" s="0" t="s">
        <v>110</v>
      </c>
      <c r="D2" s="0" t="n">
        <v>210</v>
      </c>
      <c r="E2" s="0" t="n">
        <v>132</v>
      </c>
    </row>
    <row r="3" customFormat="false" ht="15" hidden="false" customHeight="false" outlineLevel="0" collapsed="false">
      <c r="A3" s="0" t="s">
        <v>549</v>
      </c>
      <c r="B3" s="0" t="s">
        <v>111</v>
      </c>
      <c r="C3" s="0" t="s">
        <v>110</v>
      </c>
      <c r="D3" s="0" t="n">
        <v>145</v>
      </c>
      <c r="E3" s="0" t="n">
        <v>82</v>
      </c>
    </row>
    <row r="4" customFormat="false" ht="15" hidden="false" customHeight="false" outlineLevel="0" collapsed="false">
      <c r="A4" s="0" t="s">
        <v>540</v>
      </c>
      <c r="B4" s="0" t="s">
        <v>112</v>
      </c>
      <c r="C4" s="0" t="s">
        <v>113</v>
      </c>
      <c r="D4" s="0" t="n">
        <v>280</v>
      </c>
      <c r="E4" s="0" t="n">
        <v>171</v>
      </c>
    </row>
    <row r="5" customFormat="false" ht="15" hidden="false" customHeight="false" outlineLevel="0" collapsed="false">
      <c r="A5" s="0" t="s">
        <v>555</v>
      </c>
      <c r="B5" s="0" t="s">
        <v>114</v>
      </c>
      <c r="C5" s="0" t="s">
        <v>113</v>
      </c>
      <c r="D5" s="0" t="n">
        <v>175</v>
      </c>
      <c r="E5" s="0" t="n">
        <v>96</v>
      </c>
    </row>
    <row r="6" customFormat="false" ht="15" hidden="false" customHeight="false" outlineLevel="0" collapsed="false">
      <c r="A6" s="0" t="s">
        <v>546</v>
      </c>
      <c r="B6" s="0" t="s">
        <v>115</v>
      </c>
      <c r="C6" s="0" t="s">
        <v>116</v>
      </c>
      <c r="D6" s="0" t="n">
        <v>110</v>
      </c>
      <c r="E6" s="0" t="n">
        <v>67</v>
      </c>
    </row>
    <row r="7" customFormat="false" ht="15" hidden="false" customHeight="false" outlineLevel="0" collapsed="false">
      <c r="A7" s="0" t="s">
        <v>537</v>
      </c>
      <c r="B7" s="0" t="s">
        <v>117</v>
      </c>
      <c r="C7" s="0" t="s">
        <v>116</v>
      </c>
      <c r="D7" s="0" t="n">
        <v>255</v>
      </c>
      <c r="E7" s="0" t="n">
        <v>156</v>
      </c>
    </row>
    <row r="8" customFormat="false" ht="15" hidden="false" customHeight="false" outlineLevel="0" collapsed="false">
      <c r="A8" s="0" t="s">
        <v>552</v>
      </c>
      <c r="B8" s="0" t="s">
        <v>118</v>
      </c>
      <c r="C8" s="0" t="s">
        <v>110</v>
      </c>
      <c r="D8" s="0" t="n">
        <v>190</v>
      </c>
      <c r="E8" s="0" t="n">
        <v>112</v>
      </c>
    </row>
    <row r="9" customFormat="false" ht="15" hidden="false" customHeight="false" outlineLevel="0" collapsed="false">
      <c r="A9" s="0" t="s">
        <v>543</v>
      </c>
      <c r="B9" s="0" t="s">
        <v>119</v>
      </c>
      <c r="C9" s="0" t="s">
        <v>113</v>
      </c>
      <c r="D9" s="0" t="n">
        <v>325</v>
      </c>
      <c r="E9" s="0" t="n">
        <v>202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D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4" min="1" style="0" width="18"/>
  </cols>
  <sheetData>
    <row r="1" customFormat="false" ht="15" hidden="false" customHeight="false" outlineLevel="0" collapsed="false">
      <c r="A1" s="53" t="s">
        <v>517</v>
      </c>
      <c r="B1" s="53" t="s">
        <v>1458</v>
      </c>
      <c r="C1" s="53" t="s">
        <v>91</v>
      </c>
      <c r="D1" s="53" t="s">
        <v>519</v>
      </c>
    </row>
    <row r="2" customFormat="false" ht="15" hidden="false" customHeight="false" outlineLevel="0" collapsed="false">
      <c r="A2" s="0" t="s">
        <v>533</v>
      </c>
      <c r="B2" s="0" t="s">
        <v>1459</v>
      </c>
      <c r="C2" s="0" t="s">
        <v>101</v>
      </c>
      <c r="D2" s="0" t="s">
        <v>1460</v>
      </c>
    </row>
    <row r="3" customFormat="false" ht="15" hidden="false" customHeight="false" outlineLevel="0" collapsed="false">
      <c r="A3" s="0" t="s">
        <v>554</v>
      </c>
      <c r="B3" s="0" t="s">
        <v>1461</v>
      </c>
      <c r="C3" s="0" t="s">
        <v>100</v>
      </c>
      <c r="D3" s="0" t="s">
        <v>1462</v>
      </c>
    </row>
    <row r="4" customFormat="false" ht="15" hidden="false" customHeight="false" outlineLevel="0" collapsed="false">
      <c r="A4" s="0" t="s">
        <v>569</v>
      </c>
      <c r="B4" s="0" t="s">
        <v>1463</v>
      </c>
      <c r="C4" s="0" t="s">
        <v>102</v>
      </c>
      <c r="D4" s="0" t="s">
        <v>1464</v>
      </c>
    </row>
    <row r="5" customFormat="false" ht="15" hidden="false" customHeight="false" outlineLevel="0" collapsed="false">
      <c r="A5" s="0" t="s">
        <v>583</v>
      </c>
      <c r="B5" s="0" t="s">
        <v>1465</v>
      </c>
      <c r="C5" s="0" t="s">
        <v>99</v>
      </c>
      <c r="D5" s="0" t="s">
        <v>1460</v>
      </c>
    </row>
    <row r="6" customFormat="false" ht="15" hidden="false" customHeight="false" outlineLevel="0" collapsed="false">
      <c r="A6" s="0" t="s">
        <v>597</v>
      </c>
      <c r="B6" s="0" t="s">
        <v>1466</v>
      </c>
      <c r="C6" s="0" t="s">
        <v>101</v>
      </c>
      <c r="D6" s="0" t="s">
        <v>1462</v>
      </c>
    </row>
    <row r="7" customFormat="false" ht="15" hidden="false" customHeight="false" outlineLevel="0" collapsed="false">
      <c r="A7" s="0" t="s">
        <v>611</v>
      </c>
      <c r="B7" s="0" t="s">
        <v>1467</v>
      </c>
      <c r="C7" s="0" t="s">
        <v>100</v>
      </c>
      <c r="D7" s="0" t="s">
        <v>1464</v>
      </c>
    </row>
    <row r="8" customFormat="false" ht="15" hidden="false" customHeight="false" outlineLevel="0" collapsed="false">
      <c r="A8" s="0" t="s">
        <v>640</v>
      </c>
      <c r="B8" s="0" t="s">
        <v>1468</v>
      </c>
      <c r="C8" s="0" t="s">
        <v>102</v>
      </c>
      <c r="D8" s="0" t="s">
        <v>1460</v>
      </c>
    </row>
    <row r="9" customFormat="false" ht="15" hidden="false" customHeight="false" outlineLevel="0" collapsed="false">
      <c r="A9" s="0" t="s">
        <v>536</v>
      </c>
      <c r="B9" s="0" t="s">
        <v>1469</v>
      </c>
      <c r="C9" s="0" t="s">
        <v>99</v>
      </c>
      <c r="D9" s="0" t="s">
        <v>1462</v>
      </c>
    </row>
    <row r="10" customFormat="false" ht="15" hidden="false" customHeight="false" outlineLevel="0" collapsed="false">
      <c r="A10" s="0" t="s">
        <v>557</v>
      </c>
      <c r="B10" s="0" t="s">
        <v>1470</v>
      </c>
      <c r="C10" s="0" t="s">
        <v>101</v>
      </c>
      <c r="D10" s="0" t="s">
        <v>1464</v>
      </c>
    </row>
    <row r="11" customFormat="false" ht="15" hidden="false" customHeight="false" outlineLevel="0" collapsed="false">
      <c r="A11" s="0" t="s">
        <v>571</v>
      </c>
      <c r="B11" s="0" t="s">
        <v>1471</v>
      </c>
      <c r="C11" s="0" t="s">
        <v>100</v>
      </c>
      <c r="D11" s="0" t="s">
        <v>1460</v>
      </c>
    </row>
    <row r="12" customFormat="false" ht="15" hidden="false" customHeight="false" outlineLevel="0" collapsed="false">
      <c r="A12" s="0" t="s">
        <v>585</v>
      </c>
      <c r="B12" s="0" t="s">
        <v>1472</v>
      </c>
      <c r="C12" s="0" t="s">
        <v>102</v>
      </c>
      <c r="D12" s="0" t="s">
        <v>1462</v>
      </c>
    </row>
    <row r="13" customFormat="false" ht="15" hidden="false" customHeight="false" outlineLevel="0" collapsed="false">
      <c r="A13" s="0" t="s">
        <v>599</v>
      </c>
      <c r="B13" s="0" t="s">
        <v>1473</v>
      </c>
      <c r="C13" s="0" t="s">
        <v>99</v>
      </c>
      <c r="D13" s="0" t="s">
        <v>1464</v>
      </c>
    </row>
    <row r="14" customFormat="false" ht="15" hidden="false" customHeight="false" outlineLevel="0" collapsed="false">
      <c r="A14" s="0" t="s">
        <v>628</v>
      </c>
      <c r="B14" s="0" t="s">
        <v>1474</v>
      </c>
      <c r="C14" s="0" t="s">
        <v>101</v>
      </c>
      <c r="D14" s="0" t="s">
        <v>1460</v>
      </c>
    </row>
    <row r="15" customFormat="false" ht="15" hidden="false" customHeight="false" outlineLevel="0" collapsed="false">
      <c r="A15" s="0" t="s">
        <v>642</v>
      </c>
      <c r="B15" s="0" t="s">
        <v>1475</v>
      </c>
      <c r="C15" s="0" t="s">
        <v>100</v>
      </c>
      <c r="D15" s="0" t="s">
        <v>1462</v>
      </c>
    </row>
    <row r="16" customFormat="false" ht="15" hidden="false" customHeight="false" outlineLevel="0" collapsed="false">
      <c r="A16" s="0" t="s">
        <v>539</v>
      </c>
      <c r="B16" s="0" t="s">
        <v>1476</v>
      </c>
      <c r="C16" s="0" t="s">
        <v>102</v>
      </c>
      <c r="D16" s="0" t="s">
        <v>1464</v>
      </c>
    </row>
    <row r="17" customFormat="false" ht="15" hidden="false" customHeight="false" outlineLevel="0" collapsed="false">
      <c r="A17" s="0" t="s">
        <v>559</v>
      </c>
      <c r="B17" s="0" t="s">
        <v>1477</v>
      </c>
      <c r="C17" s="0" t="s">
        <v>99</v>
      </c>
      <c r="D17" s="0" t="s">
        <v>1460</v>
      </c>
    </row>
    <row r="18" customFormat="false" ht="15" hidden="false" customHeight="false" outlineLevel="0" collapsed="false">
      <c r="A18" s="0" t="s">
        <v>573</v>
      </c>
      <c r="B18" s="0" t="s">
        <v>1478</v>
      </c>
      <c r="C18" s="0" t="s">
        <v>101</v>
      </c>
      <c r="D18" s="0" t="s">
        <v>1462</v>
      </c>
    </row>
    <row r="19" customFormat="false" ht="15" hidden="false" customHeight="false" outlineLevel="0" collapsed="false">
      <c r="A19" s="0" t="s">
        <v>587</v>
      </c>
      <c r="B19" s="0" t="s">
        <v>1479</v>
      </c>
      <c r="C19" s="0" t="s">
        <v>100</v>
      </c>
      <c r="D19" s="0" t="s">
        <v>1464</v>
      </c>
    </row>
    <row r="20" customFormat="false" ht="15" hidden="false" customHeight="false" outlineLevel="0" collapsed="false">
      <c r="A20" s="0" t="s">
        <v>601</v>
      </c>
      <c r="B20" s="0" t="s">
        <v>1480</v>
      </c>
      <c r="C20" s="0" t="s">
        <v>102</v>
      </c>
      <c r="D20" s="0" t="s">
        <v>1460</v>
      </c>
    </row>
    <row r="21" customFormat="false" ht="15" hidden="false" customHeight="false" outlineLevel="0" collapsed="false">
      <c r="A21" s="0" t="s">
        <v>630</v>
      </c>
      <c r="B21" s="0" t="s">
        <v>1481</v>
      </c>
      <c r="C21" s="0" t="s">
        <v>99</v>
      </c>
      <c r="D21" s="0" t="s">
        <v>1462</v>
      </c>
    </row>
    <row r="22" customFormat="false" ht="15" hidden="false" customHeight="false" outlineLevel="0" collapsed="false">
      <c r="A22" s="0" t="s">
        <v>644</v>
      </c>
      <c r="B22" s="0" t="s">
        <v>1482</v>
      </c>
      <c r="C22" s="0" t="s">
        <v>101</v>
      </c>
      <c r="D22" s="0" t="s">
        <v>1464</v>
      </c>
    </row>
    <row r="23" customFormat="false" ht="15" hidden="false" customHeight="false" outlineLevel="0" collapsed="false">
      <c r="A23" s="0" t="s">
        <v>542</v>
      </c>
      <c r="B23" s="0" t="s">
        <v>1483</v>
      </c>
      <c r="C23" s="0" t="s">
        <v>100</v>
      </c>
      <c r="D23" s="0" t="s">
        <v>1460</v>
      </c>
    </row>
    <row r="24" customFormat="false" ht="15" hidden="false" customHeight="false" outlineLevel="0" collapsed="false">
      <c r="A24" s="0" t="s">
        <v>561</v>
      </c>
      <c r="B24" s="0" t="s">
        <v>1484</v>
      </c>
      <c r="C24" s="0" t="s">
        <v>102</v>
      </c>
      <c r="D24" s="0" t="s">
        <v>1462</v>
      </c>
    </row>
    <row r="25" customFormat="false" ht="15" hidden="false" customHeight="false" outlineLevel="0" collapsed="false">
      <c r="A25" s="0" t="s">
        <v>575</v>
      </c>
      <c r="B25" s="0" t="s">
        <v>1485</v>
      </c>
      <c r="C25" s="0" t="s">
        <v>99</v>
      </c>
      <c r="D25" s="0" t="s">
        <v>1464</v>
      </c>
    </row>
    <row r="26" customFormat="false" ht="15" hidden="false" customHeight="false" outlineLevel="0" collapsed="false">
      <c r="A26" s="0" t="s">
        <v>589</v>
      </c>
      <c r="B26" s="0" t="s">
        <v>1486</v>
      </c>
      <c r="C26" s="0" t="s">
        <v>101</v>
      </c>
      <c r="D26" s="0" t="s">
        <v>1460</v>
      </c>
    </row>
    <row r="27" customFormat="false" ht="15" hidden="false" customHeight="false" outlineLevel="0" collapsed="false">
      <c r="A27" s="0" t="s">
        <v>603</v>
      </c>
      <c r="B27" s="0" t="s">
        <v>1487</v>
      </c>
      <c r="C27" s="0" t="s">
        <v>100</v>
      </c>
      <c r="D27" s="0" t="s">
        <v>1462</v>
      </c>
    </row>
    <row r="28" customFormat="false" ht="15" hidden="false" customHeight="false" outlineLevel="0" collapsed="false">
      <c r="A28" s="0" t="s">
        <v>632</v>
      </c>
      <c r="B28" s="0" t="s">
        <v>1488</v>
      </c>
      <c r="C28" s="0" t="s">
        <v>102</v>
      </c>
      <c r="D28" s="0" t="s">
        <v>1464</v>
      </c>
    </row>
    <row r="29" customFormat="false" ht="15" hidden="false" customHeight="false" outlineLevel="0" collapsed="false">
      <c r="A29" s="0" t="s">
        <v>646</v>
      </c>
      <c r="B29" s="0" t="s">
        <v>1489</v>
      </c>
      <c r="C29" s="0" t="s">
        <v>99</v>
      </c>
      <c r="D29" s="0" t="s">
        <v>1460</v>
      </c>
    </row>
    <row r="30" customFormat="false" ht="15" hidden="false" customHeight="false" outlineLevel="0" collapsed="false">
      <c r="A30" s="0" t="s">
        <v>545</v>
      </c>
      <c r="B30" s="0" t="s">
        <v>1490</v>
      </c>
      <c r="C30" s="0" t="s">
        <v>101</v>
      </c>
      <c r="D30" s="0" t="s">
        <v>1462</v>
      </c>
    </row>
    <row r="31" customFormat="false" ht="15" hidden="false" customHeight="false" outlineLevel="0" collapsed="false">
      <c r="A31" s="0" t="s">
        <v>563</v>
      </c>
      <c r="B31" s="0" t="s">
        <v>1491</v>
      </c>
      <c r="C31" s="0" t="s">
        <v>100</v>
      </c>
      <c r="D31" s="0" t="s">
        <v>1464</v>
      </c>
    </row>
    <row r="32" customFormat="false" ht="15" hidden="false" customHeight="false" outlineLevel="0" collapsed="false">
      <c r="A32" s="0" t="s">
        <v>577</v>
      </c>
      <c r="B32" s="0" t="s">
        <v>1492</v>
      </c>
      <c r="C32" s="0" t="s">
        <v>102</v>
      </c>
      <c r="D32" s="0" t="s">
        <v>1460</v>
      </c>
    </row>
    <row r="33" customFormat="false" ht="15" hidden="false" customHeight="false" outlineLevel="0" collapsed="false">
      <c r="A33" s="0" t="s">
        <v>591</v>
      </c>
      <c r="B33" s="0" t="s">
        <v>1493</v>
      </c>
      <c r="C33" s="0" t="s">
        <v>99</v>
      </c>
      <c r="D33" s="0" t="s">
        <v>1462</v>
      </c>
    </row>
    <row r="34" customFormat="false" ht="15" hidden="false" customHeight="false" outlineLevel="0" collapsed="false">
      <c r="A34" s="0" t="s">
        <v>605</v>
      </c>
      <c r="B34" s="0" t="s">
        <v>1494</v>
      </c>
      <c r="C34" s="0" t="s">
        <v>101</v>
      </c>
      <c r="D34" s="0" t="s">
        <v>1464</v>
      </c>
    </row>
    <row r="35" customFormat="false" ht="15" hidden="false" customHeight="false" outlineLevel="0" collapsed="false">
      <c r="A35" s="0" t="s">
        <v>634</v>
      </c>
      <c r="B35" s="0" t="s">
        <v>1495</v>
      </c>
      <c r="C35" s="0" t="s">
        <v>100</v>
      </c>
      <c r="D35" s="0" t="s">
        <v>1460</v>
      </c>
    </row>
    <row r="36" customFormat="false" ht="15" hidden="false" customHeight="false" outlineLevel="0" collapsed="false">
      <c r="A36" s="0" t="s">
        <v>648</v>
      </c>
      <c r="B36" s="0" t="s">
        <v>1496</v>
      </c>
      <c r="C36" s="0" t="s">
        <v>102</v>
      </c>
      <c r="D36" s="0" t="s">
        <v>1462</v>
      </c>
    </row>
    <row r="37" customFormat="false" ht="15" hidden="false" customHeight="false" outlineLevel="0" collapsed="false">
      <c r="A37" s="0" t="s">
        <v>548</v>
      </c>
      <c r="B37" s="0" t="s">
        <v>1497</v>
      </c>
      <c r="C37" s="0" t="s">
        <v>99</v>
      </c>
      <c r="D37" s="0" t="s">
        <v>1464</v>
      </c>
    </row>
    <row r="38" customFormat="false" ht="15" hidden="false" customHeight="false" outlineLevel="0" collapsed="false">
      <c r="A38" s="0" t="s">
        <v>565</v>
      </c>
      <c r="B38" s="0" t="s">
        <v>1498</v>
      </c>
      <c r="C38" s="0" t="s">
        <v>101</v>
      </c>
      <c r="D38" s="0" t="s">
        <v>1460</v>
      </c>
    </row>
    <row r="39" customFormat="false" ht="15" hidden="false" customHeight="false" outlineLevel="0" collapsed="false">
      <c r="A39" s="0" t="s">
        <v>579</v>
      </c>
      <c r="B39" s="0" t="s">
        <v>1499</v>
      </c>
      <c r="C39" s="0" t="s">
        <v>100</v>
      </c>
      <c r="D39" s="0" t="s">
        <v>1462</v>
      </c>
    </row>
    <row r="40" customFormat="false" ht="15" hidden="false" customHeight="false" outlineLevel="0" collapsed="false">
      <c r="A40" s="0" t="s">
        <v>593</v>
      </c>
      <c r="B40" s="0" t="s">
        <v>1500</v>
      </c>
      <c r="C40" s="0" t="s">
        <v>102</v>
      </c>
      <c r="D40" s="0" t="s">
        <v>1464</v>
      </c>
    </row>
    <row r="41" customFormat="false" ht="15" hidden="false" customHeight="false" outlineLevel="0" collapsed="false">
      <c r="A41" s="0" t="s">
        <v>607</v>
      </c>
      <c r="B41" s="0" t="s">
        <v>1501</v>
      </c>
      <c r="C41" s="0" t="s">
        <v>99</v>
      </c>
      <c r="D41" s="0" t="s">
        <v>1460</v>
      </c>
    </row>
    <row r="42" customFormat="false" ht="15" hidden="false" customHeight="false" outlineLevel="0" collapsed="false">
      <c r="A42" s="0" t="s">
        <v>636</v>
      </c>
      <c r="B42" s="0" t="s">
        <v>1502</v>
      </c>
      <c r="C42" s="0" t="s">
        <v>101</v>
      </c>
      <c r="D42" s="0" t="s">
        <v>1462</v>
      </c>
    </row>
    <row r="43" customFormat="false" ht="15" hidden="false" customHeight="false" outlineLevel="0" collapsed="false">
      <c r="A43" s="0" t="s">
        <v>650</v>
      </c>
      <c r="B43" s="0" t="s">
        <v>1503</v>
      </c>
      <c r="C43" s="0" t="s">
        <v>100</v>
      </c>
      <c r="D43" s="0" t="s">
        <v>1464</v>
      </c>
    </row>
    <row r="44" customFormat="false" ht="15" hidden="false" customHeight="false" outlineLevel="0" collapsed="false">
      <c r="A44" s="0" t="s">
        <v>551</v>
      </c>
      <c r="B44" s="0" t="s">
        <v>1504</v>
      </c>
      <c r="C44" s="0" t="s">
        <v>102</v>
      </c>
      <c r="D44" s="0" t="s">
        <v>1460</v>
      </c>
    </row>
    <row r="45" customFormat="false" ht="15" hidden="false" customHeight="false" outlineLevel="0" collapsed="false">
      <c r="A45" s="0" t="s">
        <v>567</v>
      </c>
      <c r="B45" s="0" t="s">
        <v>1505</v>
      </c>
      <c r="C45" s="0" t="s">
        <v>99</v>
      </c>
      <c r="D45" s="0" t="s">
        <v>1462</v>
      </c>
    </row>
    <row r="46" customFormat="false" ht="15" hidden="false" customHeight="false" outlineLevel="0" collapsed="false">
      <c r="A46" s="0" t="s">
        <v>581</v>
      </c>
      <c r="B46" s="0" t="s">
        <v>1506</v>
      </c>
      <c r="C46" s="0" t="s">
        <v>101</v>
      </c>
      <c r="D46" s="0" t="s">
        <v>1464</v>
      </c>
    </row>
    <row r="47" customFormat="false" ht="15" hidden="false" customHeight="false" outlineLevel="0" collapsed="false">
      <c r="A47" s="0" t="s">
        <v>595</v>
      </c>
      <c r="B47" s="0" t="s">
        <v>1507</v>
      </c>
      <c r="C47" s="0" t="s">
        <v>100</v>
      </c>
      <c r="D47" s="0" t="s">
        <v>1460</v>
      </c>
    </row>
    <row r="48" customFormat="false" ht="15" hidden="false" customHeight="false" outlineLevel="0" collapsed="false">
      <c r="A48" s="0" t="s">
        <v>609</v>
      </c>
      <c r="B48" s="0" t="s">
        <v>1508</v>
      </c>
      <c r="C48" s="0" t="s">
        <v>102</v>
      </c>
      <c r="D48" s="0" t="s">
        <v>1462</v>
      </c>
    </row>
    <row r="49" customFormat="false" ht="15" hidden="false" customHeight="false" outlineLevel="0" collapsed="false">
      <c r="A49" s="0" t="s">
        <v>638</v>
      </c>
      <c r="B49" s="0" t="s">
        <v>1509</v>
      </c>
      <c r="C49" s="0" t="s">
        <v>99</v>
      </c>
      <c r="D49" s="0" t="s">
        <v>1464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5" min="1" style="0" width="18"/>
  </cols>
  <sheetData>
    <row r="1" customFormat="false" ht="15" hidden="false" customHeight="false" outlineLevel="0" collapsed="false">
      <c r="A1" s="53" t="s">
        <v>50</v>
      </c>
      <c r="B1" s="53" t="s">
        <v>51</v>
      </c>
      <c r="C1" s="53" t="s">
        <v>1510</v>
      </c>
      <c r="D1" s="53" t="s">
        <v>1511</v>
      </c>
      <c r="E1" s="53" t="s">
        <v>1512</v>
      </c>
    </row>
    <row r="2" customFormat="false" ht="15" hidden="false" customHeight="false" outlineLevel="0" collapsed="false">
      <c r="A2" s="0" t="s">
        <v>63</v>
      </c>
      <c r="B2" s="0" t="n">
        <v>2025</v>
      </c>
      <c r="C2" s="0" t="s">
        <v>1513</v>
      </c>
      <c r="D2" s="0" t="s">
        <v>1514</v>
      </c>
      <c r="E2" s="0" t="s">
        <v>221</v>
      </c>
    </row>
    <row r="3" customFormat="false" ht="15" hidden="false" customHeight="false" outlineLevel="0" collapsed="false">
      <c r="A3" s="0" t="s">
        <v>65</v>
      </c>
      <c r="B3" s="0" t="n">
        <v>2025</v>
      </c>
      <c r="C3" s="0" t="s">
        <v>1513</v>
      </c>
      <c r="D3" s="0" t="s">
        <v>1515</v>
      </c>
      <c r="E3" s="0" t="s">
        <v>221</v>
      </c>
    </row>
    <row r="4" customFormat="false" ht="15" hidden="false" customHeight="false" outlineLevel="0" collapsed="false">
      <c r="A4" s="0" t="s">
        <v>66</v>
      </c>
      <c r="B4" s="0" t="n">
        <v>2025</v>
      </c>
      <c r="C4" s="0" t="s">
        <v>1513</v>
      </c>
      <c r="D4" s="0" t="s">
        <v>1516</v>
      </c>
      <c r="E4" s="0" t="s">
        <v>221</v>
      </c>
    </row>
    <row r="5" customFormat="false" ht="15" hidden="false" customHeight="false" outlineLevel="0" collapsed="false">
      <c r="A5" s="0" t="s">
        <v>67</v>
      </c>
      <c r="B5" s="0" t="n">
        <v>2025</v>
      </c>
      <c r="C5" s="0" t="s">
        <v>1517</v>
      </c>
      <c r="D5" s="0" t="s">
        <v>1518</v>
      </c>
      <c r="E5" s="0" t="s">
        <v>221</v>
      </c>
    </row>
    <row r="6" customFormat="false" ht="15" hidden="false" customHeight="false" outlineLevel="0" collapsed="false">
      <c r="A6" s="0" t="s">
        <v>68</v>
      </c>
      <c r="B6" s="0" t="n">
        <v>2025</v>
      </c>
      <c r="C6" s="0" t="s">
        <v>1517</v>
      </c>
      <c r="D6" s="0" t="s">
        <v>1519</v>
      </c>
      <c r="E6" s="0" t="s">
        <v>221</v>
      </c>
    </row>
    <row r="7" customFormat="false" ht="15" hidden="false" customHeight="false" outlineLevel="0" collapsed="false">
      <c r="A7" s="0" t="s">
        <v>69</v>
      </c>
      <c r="B7" s="0" t="n">
        <v>2025</v>
      </c>
      <c r="C7" s="0" t="s">
        <v>1517</v>
      </c>
      <c r="D7" s="0" t="s">
        <v>1520</v>
      </c>
      <c r="E7" s="0" t="s">
        <v>221</v>
      </c>
    </row>
    <row r="8" customFormat="false" ht="15" hidden="false" customHeight="false" outlineLevel="0" collapsed="false">
      <c r="A8" s="0" t="s">
        <v>70</v>
      </c>
      <c r="B8" s="0" t="n">
        <v>2025</v>
      </c>
      <c r="C8" s="0" t="s">
        <v>1521</v>
      </c>
      <c r="D8" s="0" t="s">
        <v>1522</v>
      </c>
      <c r="E8" s="0" t="s">
        <v>221</v>
      </c>
    </row>
    <row r="9" customFormat="false" ht="15" hidden="false" customHeight="false" outlineLevel="0" collapsed="false">
      <c r="A9" s="0" t="s">
        <v>71</v>
      </c>
      <c r="B9" s="0" t="n">
        <v>2025</v>
      </c>
      <c r="C9" s="0" t="s">
        <v>1521</v>
      </c>
      <c r="D9" s="0" t="s">
        <v>1523</v>
      </c>
      <c r="E9" s="0" t="s">
        <v>221</v>
      </c>
    </row>
    <row r="10" customFormat="false" ht="15" hidden="false" customHeight="false" outlineLevel="0" collapsed="false">
      <c r="A10" s="0" t="s">
        <v>72</v>
      </c>
      <c r="B10" s="0" t="n">
        <v>2025</v>
      </c>
      <c r="C10" s="0" t="s">
        <v>1521</v>
      </c>
      <c r="D10" s="0" t="s">
        <v>1524</v>
      </c>
      <c r="E10" s="0" t="s">
        <v>221</v>
      </c>
    </row>
    <row r="11" customFormat="false" ht="15" hidden="false" customHeight="false" outlineLevel="0" collapsed="false">
      <c r="A11" s="0" t="s">
        <v>73</v>
      </c>
      <c r="B11" s="0" t="n">
        <v>2025</v>
      </c>
      <c r="C11" s="0" t="s">
        <v>1525</v>
      </c>
      <c r="D11" s="0" t="s">
        <v>1526</v>
      </c>
      <c r="E11" s="0" t="s">
        <v>221</v>
      </c>
    </row>
    <row r="12" customFormat="false" ht="15" hidden="false" customHeight="false" outlineLevel="0" collapsed="false">
      <c r="A12" s="0" t="s">
        <v>74</v>
      </c>
      <c r="B12" s="0" t="n">
        <v>2025</v>
      </c>
      <c r="C12" s="0" t="s">
        <v>1525</v>
      </c>
      <c r="D12" s="0" t="s">
        <v>1527</v>
      </c>
      <c r="E12" s="0" t="s">
        <v>221</v>
      </c>
    </row>
    <row r="13" customFormat="false" ht="15" hidden="false" customHeight="false" outlineLevel="0" collapsed="false">
      <c r="A13" s="0" t="s">
        <v>75</v>
      </c>
      <c r="B13" s="0" t="n">
        <v>2025</v>
      </c>
      <c r="C13" s="0" t="s">
        <v>1525</v>
      </c>
      <c r="D13" s="0" t="s">
        <v>1528</v>
      </c>
      <c r="E13" s="0" t="s">
        <v>221</v>
      </c>
    </row>
    <row r="14" customFormat="false" ht="15" hidden="false" customHeight="false" outlineLevel="0" collapsed="false">
      <c r="A14" s="0" t="s">
        <v>76</v>
      </c>
      <c r="B14" s="0" t="n">
        <v>2026</v>
      </c>
      <c r="C14" s="0" t="s">
        <v>1513</v>
      </c>
      <c r="D14" s="0" t="s">
        <v>1514</v>
      </c>
      <c r="E14" s="0" t="s">
        <v>221</v>
      </c>
    </row>
    <row r="15" customFormat="false" ht="15" hidden="false" customHeight="false" outlineLevel="0" collapsed="false">
      <c r="A15" s="0" t="s">
        <v>77</v>
      </c>
      <c r="B15" s="0" t="n">
        <v>2026</v>
      </c>
      <c r="C15" s="0" t="s">
        <v>1513</v>
      </c>
      <c r="D15" s="0" t="s">
        <v>1515</v>
      </c>
      <c r="E15" s="0" t="s">
        <v>221</v>
      </c>
    </row>
    <row r="16" customFormat="false" ht="15" hidden="false" customHeight="false" outlineLevel="0" collapsed="false">
      <c r="A16" s="0" t="s">
        <v>78</v>
      </c>
      <c r="B16" s="0" t="n">
        <v>2026</v>
      </c>
      <c r="C16" s="0" t="s">
        <v>1513</v>
      </c>
      <c r="D16" s="0" t="s">
        <v>1516</v>
      </c>
      <c r="E16" s="0" t="s">
        <v>221</v>
      </c>
    </row>
    <row r="17" customFormat="false" ht="15" hidden="false" customHeight="false" outlineLevel="0" collapsed="false">
      <c r="A17" s="0" t="s">
        <v>79</v>
      </c>
      <c r="B17" s="0" t="n">
        <v>2026</v>
      </c>
      <c r="C17" s="0" t="s">
        <v>1517</v>
      </c>
      <c r="D17" s="0" t="s">
        <v>1518</v>
      </c>
      <c r="E17" s="0" t="s">
        <v>221</v>
      </c>
    </row>
    <row r="18" customFormat="false" ht="15" hidden="false" customHeight="false" outlineLevel="0" collapsed="false">
      <c r="A18" s="0" t="s">
        <v>80</v>
      </c>
      <c r="B18" s="0" t="n">
        <v>2026</v>
      </c>
      <c r="C18" s="0" t="s">
        <v>1517</v>
      </c>
      <c r="D18" s="0" t="s">
        <v>1519</v>
      </c>
      <c r="E18" s="0" t="s">
        <v>221</v>
      </c>
    </row>
    <row r="19" customFormat="false" ht="15" hidden="false" customHeight="false" outlineLevel="0" collapsed="false">
      <c r="A19" s="0" t="s">
        <v>81</v>
      </c>
      <c r="B19" s="0" t="n">
        <v>2026</v>
      </c>
      <c r="C19" s="0" t="s">
        <v>1517</v>
      </c>
      <c r="D19" s="0" t="s">
        <v>1520</v>
      </c>
      <c r="E19" s="0" t="s">
        <v>221</v>
      </c>
    </row>
    <row r="20" customFormat="false" ht="15" hidden="false" customHeight="false" outlineLevel="0" collapsed="false">
      <c r="A20" s="0" t="s">
        <v>82</v>
      </c>
      <c r="B20" s="0" t="n">
        <v>2026</v>
      </c>
      <c r="C20" s="0" t="s">
        <v>1521</v>
      </c>
      <c r="D20" s="0" t="s">
        <v>1522</v>
      </c>
      <c r="E20" s="0" t="s">
        <v>221</v>
      </c>
    </row>
    <row r="21" customFormat="false" ht="15" hidden="false" customHeight="false" outlineLevel="0" collapsed="false">
      <c r="A21" s="0" t="s">
        <v>83</v>
      </c>
      <c r="B21" s="0" t="n">
        <v>2026</v>
      </c>
      <c r="C21" s="0" t="s">
        <v>1521</v>
      </c>
      <c r="D21" s="0" t="s">
        <v>1523</v>
      </c>
      <c r="E21" s="0" t="s">
        <v>221</v>
      </c>
    </row>
    <row r="22" customFormat="false" ht="15" hidden="false" customHeight="false" outlineLevel="0" collapsed="false">
      <c r="A22" s="0" t="s">
        <v>84</v>
      </c>
      <c r="B22" s="0" t="n">
        <v>2026</v>
      </c>
      <c r="C22" s="0" t="s">
        <v>1521</v>
      </c>
      <c r="D22" s="0" t="s">
        <v>1524</v>
      </c>
      <c r="E22" s="0" t="s">
        <v>221</v>
      </c>
    </row>
    <row r="23" customFormat="false" ht="15" hidden="false" customHeight="false" outlineLevel="0" collapsed="false">
      <c r="A23" s="0" t="s">
        <v>1345</v>
      </c>
      <c r="B23" s="0" t="n">
        <v>2026</v>
      </c>
      <c r="C23" s="0" t="s">
        <v>1525</v>
      </c>
      <c r="D23" s="0" t="s">
        <v>1526</v>
      </c>
      <c r="E23" s="0" t="s">
        <v>1346</v>
      </c>
    </row>
    <row r="24" customFormat="false" ht="15" hidden="false" customHeight="false" outlineLevel="0" collapsed="false">
      <c r="A24" s="0" t="s">
        <v>1383</v>
      </c>
      <c r="B24" s="0" t="n">
        <v>2026</v>
      </c>
      <c r="C24" s="0" t="s">
        <v>1525</v>
      </c>
      <c r="D24" s="0" t="s">
        <v>1527</v>
      </c>
      <c r="E24" s="0" t="s">
        <v>1346</v>
      </c>
    </row>
    <row r="25" customFormat="false" ht="15" hidden="false" customHeight="false" outlineLevel="0" collapsed="false">
      <c r="A25" s="0" t="s">
        <v>1420</v>
      </c>
      <c r="B25" s="0" t="n">
        <v>2026</v>
      </c>
      <c r="C25" s="0" t="s">
        <v>1525</v>
      </c>
      <c r="D25" s="0" t="s">
        <v>1528</v>
      </c>
      <c r="E25" s="0" t="s">
        <v>1346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G2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7" min="1" style="0" width="18"/>
  </cols>
  <sheetData>
    <row r="1" customFormat="false" ht="15" hidden="false" customHeight="false" outlineLevel="0" collapsed="false">
      <c r="A1" s="53" t="s">
        <v>50</v>
      </c>
      <c r="B1" s="53" t="s">
        <v>91</v>
      </c>
      <c r="C1" s="53" t="s">
        <v>107</v>
      </c>
      <c r="D1" s="53" t="s">
        <v>1529</v>
      </c>
      <c r="E1" s="53" t="s">
        <v>1530</v>
      </c>
      <c r="F1" s="53" t="s">
        <v>1531</v>
      </c>
      <c r="G1" s="53" t="s">
        <v>1532</v>
      </c>
    </row>
    <row r="2" customFormat="false" ht="15" hidden="false" customHeight="false" outlineLevel="0" collapsed="false">
      <c r="A2" s="0" t="s">
        <v>63</v>
      </c>
      <c r="B2" s="0" t="s">
        <v>101</v>
      </c>
      <c r="C2" s="0" t="s">
        <v>110</v>
      </c>
      <c r="D2" s="0" t="s">
        <v>1533</v>
      </c>
      <c r="E2" s="0" t="n">
        <v>950000</v>
      </c>
      <c r="F2" s="0" t="n">
        <v>589000</v>
      </c>
      <c r="G2" s="0" t="n">
        <v>361000</v>
      </c>
    </row>
    <row r="3" customFormat="false" ht="15" hidden="false" customHeight="false" outlineLevel="0" collapsed="false">
      <c r="A3" s="0" t="s">
        <v>63</v>
      </c>
      <c r="B3" s="0" t="s">
        <v>101</v>
      </c>
      <c r="C3" s="0" t="s">
        <v>113</v>
      </c>
      <c r="D3" s="0" t="s">
        <v>1533</v>
      </c>
      <c r="E3" s="0" t="n">
        <v>1025000</v>
      </c>
      <c r="F3" s="0" t="n">
        <v>635500</v>
      </c>
      <c r="G3" s="0" t="n">
        <v>389500</v>
      </c>
    </row>
    <row r="4" customFormat="false" ht="15" hidden="false" customHeight="false" outlineLevel="0" collapsed="false">
      <c r="A4" s="0" t="s">
        <v>63</v>
      </c>
      <c r="B4" s="0" t="s">
        <v>101</v>
      </c>
      <c r="C4" s="0" t="s">
        <v>116</v>
      </c>
      <c r="D4" s="0" t="s">
        <v>1533</v>
      </c>
      <c r="E4" s="0" t="n">
        <v>1100000</v>
      </c>
      <c r="F4" s="0" t="n">
        <v>682000</v>
      </c>
      <c r="G4" s="0" t="n">
        <v>418000</v>
      </c>
    </row>
    <row r="5" customFormat="false" ht="15" hidden="false" customHeight="false" outlineLevel="0" collapsed="false">
      <c r="A5" s="0" t="s">
        <v>63</v>
      </c>
      <c r="B5" s="0" t="s">
        <v>100</v>
      </c>
      <c r="C5" s="0" t="s">
        <v>110</v>
      </c>
      <c r="D5" s="0" t="s">
        <v>1533</v>
      </c>
      <c r="E5" s="0" t="n">
        <v>1035000</v>
      </c>
      <c r="F5" s="0" t="n">
        <v>641700</v>
      </c>
      <c r="G5" s="0" t="n">
        <v>393300</v>
      </c>
    </row>
    <row r="6" customFormat="false" ht="15" hidden="false" customHeight="false" outlineLevel="0" collapsed="false">
      <c r="A6" s="0" t="s">
        <v>63</v>
      </c>
      <c r="B6" s="0" t="s">
        <v>100</v>
      </c>
      <c r="C6" s="0" t="s">
        <v>113</v>
      </c>
      <c r="D6" s="0" t="s">
        <v>1533</v>
      </c>
      <c r="E6" s="0" t="n">
        <v>1110000</v>
      </c>
      <c r="F6" s="0" t="n">
        <v>688200</v>
      </c>
      <c r="G6" s="0" t="n">
        <v>421800</v>
      </c>
    </row>
    <row r="7" customFormat="false" ht="15" hidden="false" customHeight="false" outlineLevel="0" collapsed="false">
      <c r="A7" s="0" t="s">
        <v>63</v>
      </c>
      <c r="B7" s="0" t="s">
        <v>100</v>
      </c>
      <c r="C7" s="0" t="s">
        <v>116</v>
      </c>
      <c r="D7" s="0" t="s">
        <v>1533</v>
      </c>
      <c r="E7" s="0" t="n">
        <v>1185000</v>
      </c>
      <c r="F7" s="0" t="n">
        <v>734700</v>
      </c>
      <c r="G7" s="0" t="n">
        <v>450300</v>
      </c>
    </row>
    <row r="8" customFormat="false" ht="15" hidden="false" customHeight="false" outlineLevel="0" collapsed="false">
      <c r="A8" s="0" t="s">
        <v>63</v>
      </c>
      <c r="B8" s="0" t="s">
        <v>102</v>
      </c>
      <c r="C8" s="0" t="s">
        <v>110</v>
      </c>
      <c r="D8" s="0" t="s">
        <v>1533</v>
      </c>
      <c r="E8" s="0" t="n">
        <v>1120000</v>
      </c>
      <c r="F8" s="0" t="n">
        <v>694400</v>
      </c>
      <c r="G8" s="0" t="n">
        <v>425600</v>
      </c>
    </row>
    <row r="9" customFormat="false" ht="15" hidden="false" customHeight="false" outlineLevel="0" collapsed="false">
      <c r="A9" s="0" t="s">
        <v>63</v>
      </c>
      <c r="B9" s="0" t="s">
        <v>102</v>
      </c>
      <c r="C9" s="0" t="s">
        <v>113</v>
      </c>
      <c r="D9" s="0" t="s">
        <v>1533</v>
      </c>
      <c r="E9" s="0" t="n">
        <v>1195000</v>
      </c>
      <c r="F9" s="0" t="n">
        <v>740900</v>
      </c>
      <c r="G9" s="0" t="n">
        <v>454100</v>
      </c>
    </row>
    <row r="10" customFormat="false" ht="15" hidden="false" customHeight="false" outlineLevel="0" collapsed="false">
      <c r="A10" s="0" t="s">
        <v>63</v>
      </c>
      <c r="B10" s="0" t="s">
        <v>102</v>
      </c>
      <c r="C10" s="0" t="s">
        <v>116</v>
      </c>
      <c r="D10" s="0" t="s">
        <v>1533</v>
      </c>
      <c r="E10" s="0" t="n">
        <v>1270000</v>
      </c>
      <c r="F10" s="0" t="n">
        <v>787400</v>
      </c>
      <c r="G10" s="0" t="n">
        <v>482600</v>
      </c>
    </row>
    <row r="11" customFormat="false" ht="15" hidden="false" customHeight="false" outlineLevel="0" collapsed="false">
      <c r="A11" s="0" t="s">
        <v>63</v>
      </c>
      <c r="B11" s="0" t="s">
        <v>99</v>
      </c>
      <c r="C11" s="0" t="s">
        <v>110</v>
      </c>
      <c r="D11" s="0" t="s">
        <v>1533</v>
      </c>
      <c r="E11" s="0" t="n">
        <v>1205000</v>
      </c>
      <c r="F11" s="0" t="n">
        <v>747100</v>
      </c>
      <c r="G11" s="0" t="n">
        <v>457900</v>
      </c>
    </row>
    <row r="12" customFormat="false" ht="15" hidden="false" customHeight="false" outlineLevel="0" collapsed="false">
      <c r="A12" s="0" t="s">
        <v>63</v>
      </c>
      <c r="B12" s="0" t="s">
        <v>99</v>
      </c>
      <c r="C12" s="0" t="s">
        <v>113</v>
      </c>
      <c r="D12" s="0" t="s">
        <v>1533</v>
      </c>
      <c r="E12" s="0" t="n">
        <v>1280000</v>
      </c>
      <c r="F12" s="0" t="n">
        <v>793600</v>
      </c>
      <c r="G12" s="0" t="n">
        <v>486400</v>
      </c>
    </row>
    <row r="13" customFormat="false" ht="15" hidden="false" customHeight="false" outlineLevel="0" collapsed="false">
      <c r="A13" s="0" t="s">
        <v>63</v>
      </c>
      <c r="B13" s="0" t="s">
        <v>99</v>
      </c>
      <c r="C13" s="0" t="s">
        <v>116</v>
      </c>
      <c r="D13" s="0" t="s">
        <v>1533</v>
      </c>
      <c r="E13" s="0" t="n">
        <v>1355000</v>
      </c>
      <c r="F13" s="0" t="n">
        <v>840100</v>
      </c>
      <c r="G13" s="0" t="n">
        <v>514900</v>
      </c>
    </row>
    <row r="14" customFormat="false" ht="15" hidden="false" customHeight="false" outlineLevel="0" collapsed="false">
      <c r="A14" s="0" t="s">
        <v>65</v>
      </c>
      <c r="B14" s="0" t="s">
        <v>101</v>
      </c>
      <c r="C14" s="0" t="s">
        <v>110</v>
      </c>
      <c r="D14" s="0" t="s">
        <v>1533</v>
      </c>
      <c r="E14" s="0" t="n">
        <v>950000</v>
      </c>
      <c r="F14" s="0" t="n">
        <v>589000</v>
      </c>
      <c r="G14" s="0" t="n">
        <v>361000</v>
      </c>
    </row>
    <row r="15" customFormat="false" ht="15" hidden="false" customHeight="false" outlineLevel="0" collapsed="false">
      <c r="A15" s="0" t="s">
        <v>65</v>
      </c>
      <c r="B15" s="0" t="s">
        <v>101</v>
      </c>
      <c r="C15" s="0" t="s">
        <v>113</v>
      </c>
      <c r="D15" s="0" t="s">
        <v>1533</v>
      </c>
      <c r="E15" s="0" t="n">
        <v>1025000</v>
      </c>
      <c r="F15" s="0" t="n">
        <v>635500</v>
      </c>
      <c r="G15" s="0" t="n">
        <v>389500</v>
      </c>
    </row>
    <row r="16" customFormat="false" ht="15" hidden="false" customHeight="false" outlineLevel="0" collapsed="false">
      <c r="A16" s="0" t="s">
        <v>65</v>
      </c>
      <c r="B16" s="0" t="s">
        <v>101</v>
      </c>
      <c r="C16" s="0" t="s">
        <v>116</v>
      </c>
      <c r="D16" s="0" t="s">
        <v>1533</v>
      </c>
      <c r="E16" s="0" t="n">
        <v>1100000</v>
      </c>
      <c r="F16" s="0" t="n">
        <v>682000</v>
      </c>
      <c r="G16" s="0" t="n">
        <v>418000</v>
      </c>
    </row>
    <row r="17" customFormat="false" ht="15" hidden="false" customHeight="false" outlineLevel="0" collapsed="false">
      <c r="A17" s="0" t="s">
        <v>65</v>
      </c>
      <c r="B17" s="0" t="s">
        <v>100</v>
      </c>
      <c r="C17" s="0" t="s">
        <v>110</v>
      </c>
      <c r="D17" s="0" t="s">
        <v>1533</v>
      </c>
      <c r="E17" s="0" t="n">
        <v>1035000</v>
      </c>
      <c r="F17" s="0" t="n">
        <v>641700</v>
      </c>
      <c r="G17" s="0" t="n">
        <v>393300</v>
      </c>
    </row>
    <row r="18" customFormat="false" ht="15" hidden="false" customHeight="false" outlineLevel="0" collapsed="false">
      <c r="A18" s="0" t="s">
        <v>65</v>
      </c>
      <c r="B18" s="0" t="s">
        <v>100</v>
      </c>
      <c r="C18" s="0" t="s">
        <v>113</v>
      </c>
      <c r="D18" s="0" t="s">
        <v>1533</v>
      </c>
      <c r="E18" s="0" t="n">
        <v>1110000</v>
      </c>
      <c r="F18" s="0" t="n">
        <v>688200</v>
      </c>
      <c r="G18" s="0" t="n">
        <v>421800</v>
      </c>
    </row>
    <row r="19" customFormat="false" ht="15" hidden="false" customHeight="false" outlineLevel="0" collapsed="false">
      <c r="A19" s="0" t="s">
        <v>65</v>
      </c>
      <c r="B19" s="0" t="s">
        <v>100</v>
      </c>
      <c r="C19" s="0" t="s">
        <v>116</v>
      </c>
      <c r="D19" s="0" t="s">
        <v>1533</v>
      </c>
      <c r="E19" s="0" t="n">
        <v>1185000</v>
      </c>
      <c r="F19" s="0" t="n">
        <v>734700</v>
      </c>
      <c r="G19" s="0" t="n">
        <v>450300</v>
      </c>
    </row>
    <row r="20" customFormat="false" ht="15" hidden="false" customHeight="false" outlineLevel="0" collapsed="false">
      <c r="A20" s="0" t="s">
        <v>65</v>
      </c>
      <c r="B20" s="0" t="s">
        <v>102</v>
      </c>
      <c r="C20" s="0" t="s">
        <v>110</v>
      </c>
      <c r="D20" s="0" t="s">
        <v>1533</v>
      </c>
      <c r="E20" s="0" t="n">
        <v>1120000</v>
      </c>
      <c r="F20" s="0" t="n">
        <v>694400</v>
      </c>
      <c r="G20" s="0" t="n">
        <v>425600</v>
      </c>
    </row>
    <row r="21" customFormat="false" ht="15" hidden="false" customHeight="false" outlineLevel="0" collapsed="false">
      <c r="A21" s="0" t="s">
        <v>65</v>
      </c>
      <c r="B21" s="0" t="s">
        <v>102</v>
      </c>
      <c r="C21" s="0" t="s">
        <v>113</v>
      </c>
      <c r="D21" s="0" t="s">
        <v>1533</v>
      </c>
      <c r="E21" s="0" t="n">
        <v>1195000</v>
      </c>
      <c r="F21" s="0" t="n">
        <v>740900</v>
      </c>
      <c r="G21" s="0" t="n">
        <v>454100</v>
      </c>
    </row>
    <row r="22" customFormat="false" ht="15" hidden="false" customHeight="false" outlineLevel="0" collapsed="false">
      <c r="A22" s="0" t="s">
        <v>65</v>
      </c>
      <c r="B22" s="0" t="s">
        <v>102</v>
      </c>
      <c r="C22" s="0" t="s">
        <v>116</v>
      </c>
      <c r="D22" s="0" t="s">
        <v>1533</v>
      </c>
      <c r="E22" s="0" t="n">
        <v>1270000</v>
      </c>
      <c r="F22" s="0" t="n">
        <v>787400</v>
      </c>
      <c r="G22" s="0" t="n">
        <v>482600</v>
      </c>
    </row>
    <row r="23" customFormat="false" ht="15" hidden="false" customHeight="false" outlineLevel="0" collapsed="false">
      <c r="A23" s="0" t="s">
        <v>65</v>
      </c>
      <c r="B23" s="0" t="s">
        <v>99</v>
      </c>
      <c r="C23" s="0" t="s">
        <v>110</v>
      </c>
      <c r="D23" s="0" t="s">
        <v>1533</v>
      </c>
      <c r="E23" s="0" t="n">
        <v>1205000</v>
      </c>
      <c r="F23" s="0" t="n">
        <v>747100</v>
      </c>
      <c r="G23" s="0" t="n">
        <v>457900</v>
      </c>
    </row>
    <row r="24" customFormat="false" ht="15" hidden="false" customHeight="false" outlineLevel="0" collapsed="false">
      <c r="A24" s="0" t="s">
        <v>65</v>
      </c>
      <c r="B24" s="0" t="s">
        <v>99</v>
      </c>
      <c r="C24" s="0" t="s">
        <v>113</v>
      </c>
      <c r="D24" s="0" t="s">
        <v>1533</v>
      </c>
      <c r="E24" s="0" t="n">
        <v>1280000</v>
      </c>
      <c r="F24" s="0" t="n">
        <v>793600</v>
      </c>
      <c r="G24" s="0" t="n">
        <v>486400</v>
      </c>
    </row>
    <row r="25" customFormat="false" ht="15" hidden="false" customHeight="false" outlineLevel="0" collapsed="false">
      <c r="A25" s="0" t="s">
        <v>65</v>
      </c>
      <c r="B25" s="0" t="s">
        <v>99</v>
      </c>
      <c r="C25" s="0" t="s">
        <v>116</v>
      </c>
      <c r="D25" s="0" t="s">
        <v>1533</v>
      </c>
      <c r="E25" s="0" t="n">
        <v>1355000</v>
      </c>
      <c r="F25" s="0" t="n">
        <v>840100</v>
      </c>
      <c r="G25" s="0" t="n">
        <v>514900</v>
      </c>
    </row>
    <row r="26" customFormat="false" ht="15" hidden="false" customHeight="false" outlineLevel="0" collapsed="false">
      <c r="A26" s="0" t="s">
        <v>66</v>
      </c>
      <c r="B26" s="0" t="s">
        <v>101</v>
      </c>
      <c r="C26" s="0" t="s">
        <v>110</v>
      </c>
      <c r="D26" s="0" t="s">
        <v>1533</v>
      </c>
      <c r="E26" s="0" t="n">
        <v>950000</v>
      </c>
      <c r="F26" s="0" t="n">
        <v>589000</v>
      </c>
      <c r="G26" s="0" t="n">
        <v>361000</v>
      </c>
    </row>
    <row r="27" customFormat="false" ht="15" hidden="false" customHeight="false" outlineLevel="0" collapsed="false">
      <c r="A27" s="0" t="s">
        <v>66</v>
      </c>
      <c r="B27" s="0" t="s">
        <v>101</v>
      </c>
      <c r="C27" s="0" t="s">
        <v>113</v>
      </c>
      <c r="D27" s="0" t="s">
        <v>1533</v>
      </c>
      <c r="E27" s="0" t="n">
        <v>1025000</v>
      </c>
      <c r="F27" s="0" t="n">
        <v>635500</v>
      </c>
      <c r="G27" s="0" t="n">
        <v>389500</v>
      </c>
    </row>
    <row r="28" customFormat="false" ht="15" hidden="false" customHeight="false" outlineLevel="0" collapsed="false">
      <c r="A28" s="0" t="s">
        <v>66</v>
      </c>
      <c r="B28" s="0" t="s">
        <v>101</v>
      </c>
      <c r="C28" s="0" t="s">
        <v>116</v>
      </c>
      <c r="D28" s="0" t="s">
        <v>1533</v>
      </c>
      <c r="E28" s="0" t="n">
        <v>1100000</v>
      </c>
      <c r="F28" s="0" t="n">
        <v>682000</v>
      </c>
      <c r="G28" s="0" t="n">
        <v>418000</v>
      </c>
    </row>
    <row r="29" customFormat="false" ht="15" hidden="false" customHeight="false" outlineLevel="0" collapsed="false">
      <c r="A29" s="0" t="s">
        <v>66</v>
      </c>
      <c r="B29" s="0" t="s">
        <v>100</v>
      </c>
      <c r="C29" s="0" t="s">
        <v>110</v>
      </c>
      <c r="D29" s="0" t="s">
        <v>1533</v>
      </c>
      <c r="E29" s="0" t="n">
        <v>1035000</v>
      </c>
      <c r="F29" s="0" t="n">
        <v>641700</v>
      </c>
      <c r="G29" s="0" t="n">
        <v>393300</v>
      </c>
    </row>
    <row r="30" customFormat="false" ht="15" hidden="false" customHeight="false" outlineLevel="0" collapsed="false">
      <c r="A30" s="0" t="s">
        <v>66</v>
      </c>
      <c r="B30" s="0" t="s">
        <v>100</v>
      </c>
      <c r="C30" s="0" t="s">
        <v>113</v>
      </c>
      <c r="D30" s="0" t="s">
        <v>1533</v>
      </c>
      <c r="E30" s="0" t="n">
        <v>1110000</v>
      </c>
      <c r="F30" s="0" t="n">
        <v>688200</v>
      </c>
      <c r="G30" s="0" t="n">
        <v>421800</v>
      </c>
    </row>
    <row r="31" customFormat="false" ht="15" hidden="false" customHeight="false" outlineLevel="0" collapsed="false">
      <c r="A31" s="0" t="s">
        <v>66</v>
      </c>
      <c r="B31" s="0" t="s">
        <v>100</v>
      </c>
      <c r="C31" s="0" t="s">
        <v>116</v>
      </c>
      <c r="D31" s="0" t="s">
        <v>1533</v>
      </c>
      <c r="E31" s="0" t="n">
        <v>1185000</v>
      </c>
      <c r="F31" s="0" t="n">
        <v>734700</v>
      </c>
      <c r="G31" s="0" t="n">
        <v>450300</v>
      </c>
    </row>
    <row r="32" customFormat="false" ht="15" hidden="false" customHeight="false" outlineLevel="0" collapsed="false">
      <c r="A32" s="0" t="s">
        <v>66</v>
      </c>
      <c r="B32" s="0" t="s">
        <v>102</v>
      </c>
      <c r="C32" s="0" t="s">
        <v>110</v>
      </c>
      <c r="D32" s="0" t="s">
        <v>1533</v>
      </c>
      <c r="E32" s="0" t="n">
        <v>1120000</v>
      </c>
      <c r="F32" s="0" t="n">
        <v>694400</v>
      </c>
      <c r="G32" s="0" t="n">
        <v>425600</v>
      </c>
    </row>
    <row r="33" customFormat="false" ht="15" hidden="false" customHeight="false" outlineLevel="0" collapsed="false">
      <c r="A33" s="0" t="s">
        <v>66</v>
      </c>
      <c r="B33" s="0" t="s">
        <v>102</v>
      </c>
      <c r="C33" s="0" t="s">
        <v>113</v>
      </c>
      <c r="D33" s="0" t="s">
        <v>1533</v>
      </c>
      <c r="E33" s="0" t="n">
        <v>1195000</v>
      </c>
      <c r="F33" s="0" t="n">
        <v>740900</v>
      </c>
      <c r="G33" s="0" t="n">
        <v>454100</v>
      </c>
    </row>
    <row r="34" customFormat="false" ht="15" hidden="false" customHeight="false" outlineLevel="0" collapsed="false">
      <c r="A34" s="0" t="s">
        <v>66</v>
      </c>
      <c r="B34" s="0" t="s">
        <v>102</v>
      </c>
      <c r="C34" s="0" t="s">
        <v>116</v>
      </c>
      <c r="D34" s="0" t="s">
        <v>1533</v>
      </c>
      <c r="E34" s="0" t="n">
        <v>1270000</v>
      </c>
      <c r="F34" s="0" t="n">
        <v>787400</v>
      </c>
      <c r="G34" s="0" t="n">
        <v>482600</v>
      </c>
    </row>
    <row r="35" customFormat="false" ht="15" hidden="false" customHeight="false" outlineLevel="0" collapsed="false">
      <c r="A35" s="0" t="s">
        <v>66</v>
      </c>
      <c r="B35" s="0" t="s">
        <v>99</v>
      </c>
      <c r="C35" s="0" t="s">
        <v>110</v>
      </c>
      <c r="D35" s="0" t="s">
        <v>1533</v>
      </c>
      <c r="E35" s="0" t="n">
        <v>1205000</v>
      </c>
      <c r="F35" s="0" t="n">
        <v>747100</v>
      </c>
      <c r="G35" s="0" t="n">
        <v>457900</v>
      </c>
    </row>
    <row r="36" customFormat="false" ht="15" hidden="false" customHeight="false" outlineLevel="0" collapsed="false">
      <c r="A36" s="0" t="s">
        <v>66</v>
      </c>
      <c r="B36" s="0" t="s">
        <v>99</v>
      </c>
      <c r="C36" s="0" t="s">
        <v>113</v>
      </c>
      <c r="D36" s="0" t="s">
        <v>1533</v>
      </c>
      <c r="E36" s="0" t="n">
        <v>1280000</v>
      </c>
      <c r="F36" s="0" t="n">
        <v>793600</v>
      </c>
      <c r="G36" s="0" t="n">
        <v>486400</v>
      </c>
    </row>
    <row r="37" customFormat="false" ht="15" hidden="false" customHeight="false" outlineLevel="0" collapsed="false">
      <c r="A37" s="0" t="s">
        <v>66</v>
      </c>
      <c r="B37" s="0" t="s">
        <v>99</v>
      </c>
      <c r="C37" s="0" t="s">
        <v>116</v>
      </c>
      <c r="D37" s="0" t="s">
        <v>1533</v>
      </c>
      <c r="E37" s="0" t="n">
        <v>1355000</v>
      </c>
      <c r="F37" s="0" t="n">
        <v>840100</v>
      </c>
      <c r="G37" s="0" t="n">
        <v>514900</v>
      </c>
    </row>
    <row r="38" customFormat="false" ht="15" hidden="false" customHeight="false" outlineLevel="0" collapsed="false">
      <c r="A38" s="0" t="s">
        <v>67</v>
      </c>
      <c r="B38" s="0" t="s">
        <v>101</v>
      </c>
      <c r="C38" s="0" t="s">
        <v>110</v>
      </c>
      <c r="D38" s="0" t="s">
        <v>1533</v>
      </c>
      <c r="E38" s="0" t="n">
        <v>950000</v>
      </c>
      <c r="F38" s="0" t="n">
        <v>589000</v>
      </c>
      <c r="G38" s="0" t="n">
        <v>361000</v>
      </c>
    </row>
    <row r="39" customFormat="false" ht="15" hidden="false" customHeight="false" outlineLevel="0" collapsed="false">
      <c r="A39" s="0" t="s">
        <v>67</v>
      </c>
      <c r="B39" s="0" t="s">
        <v>101</v>
      </c>
      <c r="C39" s="0" t="s">
        <v>113</v>
      </c>
      <c r="D39" s="0" t="s">
        <v>1533</v>
      </c>
      <c r="E39" s="0" t="n">
        <v>1025000</v>
      </c>
      <c r="F39" s="0" t="n">
        <v>635500</v>
      </c>
      <c r="G39" s="0" t="n">
        <v>389500</v>
      </c>
    </row>
    <row r="40" customFormat="false" ht="15" hidden="false" customHeight="false" outlineLevel="0" collapsed="false">
      <c r="A40" s="0" t="s">
        <v>67</v>
      </c>
      <c r="B40" s="0" t="s">
        <v>101</v>
      </c>
      <c r="C40" s="0" t="s">
        <v>116</v>
      </c>
      <c r="D40" s="0" t="s">
        <v>1533</v>
      </c>
      <c r="E40" s="0" t="n">
        <v>1100000</v>
      </c>
      <c r="F40" s="0" t="n">
        <v>682000</v>
      </c>
      <c r="G40" s="0" t="n">
        <v>418000</v>
      </c>
    </row>
    <row r="41" customFormat="false" ht="15" hidden="false" customHeight="false" outlineLevel="0" collapsed="false">
      <c r="A41" s="0" t="s">
        <v>67</v>
      </c>
      <c r="B41" s="0" t="s">
        <v>100</v>
      </c>
      <c r="C41" s="0" t="s">
        <v>110</v>
      </c>
      <c r="D41" s="0" t="s">
        <v>1533</v>
      </c>
      <c r="E41" s="0" t="n">
        <v>1035000</v>
      </c>
      <c r="F41" s="0" t="n">
        <v>641700</v>
      </c>
      <c r="G41" s="0" t="n">
        <v>393300</v>
      </c>
    </row>
    <row r="42" customFormat="false" ht="15" hidden="false" customHeight="false" outlineLevel="0" collapsed="false">
      <c r="A42" s="0" t="s">
        <v>67</v>
      </c>
      <c r="B42" s="0" t="s">
        <v>100</v>
      </c>
      <c r="C42" s="0" t="s">
        <v>113</v>
      </c>
      <c r="D42" s="0" t="s">
        <v>1533</v>
      </c>
      <c r="E42" s="0" t="n">
        <v>1110000</v>
      </c>
      <c r="F42" s="0" t="n">
        <v>688200</v>
      </c>
      <c r="G42" s="0" t="n">
        <v>421800</v>
      </c>
    </row>
    <row r="43" customFormat="false" ht="15" hidden="false" customHeight="false" outlineLevel="0" collapsed="false">
      <c r="A43" s="0" t="s">
        <v>67</v>
      </c>
      <c r="B43" s="0" t="s">
        <v>100</v>
      </c>
      <c r="C43" s="0" t="s">
        <v>116</v>
      </c>
      <c r="D43" s="0" t="s">
        <v>1533</v>
      </c>
      <c r="E43" s="0" t="n">
        <v>1185000</v>
      </c>
      <c r="F43" s="0" t="n">
        <v>734700</v>
      </c>
      <c r="G43" s="0" t="n">
        <v>450300</v>
      </c>
    </row>
    <row r="44" customFormat="false" ht="15" hidden="false" customHeight="false" outlineLevel="0" collapsed="false">
      <c r="A44" s="0" t="s">
        <v>67</v>
      </c>
      <c r="B44" s="0" t="s">
        <v>102</v>
      </c>
      <c r="C44" s="0" t="s">
        <v>110</v>
      </c>
      <c r="D44" s="0" t="s">
        <v>1533</v>
      </c>
      <c r="E44" s="0" t="n">
        <v>1120000</v>
      </c>
      <c r="F44" s="0" t="n">
        <v>694400</v>
      </c>
      <c r="G44" s="0" t="n">
        <v>425600</v>
      </c>
    </row>
    <row r="45" customFormat="false" ht="15" hidden="false" customHeight="false" outlineLevel="0" collapsed="false">
      <c r="A45" s="0" t="s">
        <v>67</v>
      </c>
      <c r="B45" s="0" t="s">
        <v>102</v>
      </c>
      <c r="C45" s="0" t="s">
        <v>113</v>
      </c>
      <c r="D45" s="0" t="s">
        <v>1533</v>
      </c>
      <c r="E45" s="0" t="n">
        <v>1195000</v>
      </c>
      <c r="F45" s="0" t="n">
        <v>740900</v>
      </c>
      <c r="G45" s="0" t="n">
        <v>454100</v>
      </c>
    </row>
    <row r="46" customFormat="false" ht="15" hidden="false" customHeight="false" outlineLevel="0" collapsed="false">
      <c r="A46" s="0" t="s">
        <v>67</v>
      </c>
      <c r="B46" s="0" t="s">
        <v>102</v>
      </c>
      <c r="C46" s="0" t="s">
        <v>116</v>
      </c>
      <c r="D46" s="0" t="s">
        <v>1533</v>
      </c>
      <c r="E46" s="0" t="n">
        <v>1270000</v>
      </c>
      <c r="F46" s="0" t="n">
        <v>787400</v>
      </c>
      <c r="G46" s="0" t="n">
        <v>482600</v>
      </c>
    </row>
    <row r="47" customFormat="false" ht="15" hidden="false" customHeight="false" outlineLevel="0" collapsed="false">
      <c r="A47" s="0" t="s">
        <v>67</v>
      </c>
      <c r="B47" s="0" t="s">
        <v>99</v>
      </c>
      <c r="C47" s="0" t="s">
        <v>110</v>
      </c>
      <c r="D47" s="0" t="s">
        <v>1533</v>
      </c>
      <c r="E47" s="0" t="n">
        <v>1205000</v>
      </c>
      <c r="F47" s="0" t="n">
        <v>747100</v>
      </c>
      <c r="G47" s="0" t="n">
        <v>457900</v>
      </c>
    </row>
    <row r="48" customFormat="false" ht="15" hidden="false" customHeight="false" outlineLevel="0" collapsed="false">
      <c r="A48" s="0" t="s">
        <v>67</v>
      </c>
      <c r="B48" s="0" t="s">
        <v>99</v>
      </c>
      <c r="C48" s="0" t="s">
        <v>113</v>
      </c>
      <c r="D48" s="0" t="s">
        <v>1533</v>
      </c>
      <c r="E48" s="0" t="n">
        <v>1280000</v>
      </c>
      <c r="F48" s="0" t="n">
        <v>793600</v>
      </c>
      <c r="G48" s="0" t="n">
        <v>486400</v>
      </c>
    </row>
    <row r="49" customFormat="false" ht="15" hidden="false" customHeight="false" outlineLevel="0" collapsed="false">
      <c r="A49" s="0" t="s">
        <v>67</v>
      </c>
      <c r="B49" s="0" t="s">
        <v>99</v>
      </c>
      <c r="C49" s="0" t="s">
        <v>116</v>
      </c>
      <c r="D49" s="0" t="s">
        <v>1533</v>
      </c>
      <c r="E49" s="0" t="n">
        <v>1355000</v>
      </c>
      <c r="F49" s="0" t="n">
        <v>840100</v>
      </c>
      <c r="G49" s="0" t="n">
        <v>514900</v>
      </c>
    </row>
    <row r="50" customFormat="false" ht="15" hidden="false" customHeight="false" outlineLevel="0" collapsed="false">
      <c r="A50" s="0" t="s">
        <v>68</v>
      </c>
      <c r="B50" s="0" t="s">
        <v>101</v>
      </c>
      <c r="C50" s="0" t="s">
        <v>110</v>
      </c>
      <c r="D50" s="0" t="s">
        <v>1533</v>
      </c>
      <c r="E50" s="0" t="n">
        <v>950000</v>
      </c>
      <c r="F50" s="0" t="n">
        <v>589000</v>
      </c>
      <c r="G50" s="0" t="n">
        <v>361000</v>
      </c>
    </row>
    <row r="51" customFormat="false" ht="15" hidden="false" customHeight="false" outlineLevel="0" collapsed="false">
      <c r="A51" s="0" t="s">
        <v>68</v>
      </c>
      <c r="B51" s="0" t="s">
        <v>101</v>
      </c>
      <c r="C51" s="0" t="s">
        <v>113</v>
      </c>
      <c r="D51" s="0" t="s">
        <v>1533</v>
      </c>
      <c r="E51" s="0" t="n">
        <v>1025000</v>
      </c>
      <c r="F51" s="0" t="n">
        <v>635500</v>
      </c>
      <c r="G51" s="0" t="n">
        <v>389500</v>
      </c>
    </row>
    <row r="52" customFormat="false" ht="15" hidden="false" customHeight="false" outlineLevel="0" collapsed="false">
      <c r="A52" s="0" t="s">
        <v>68</v>
      </c>
      <c r="B52" s="0" t="s">
        <v>101</v>
      </c>
      <c r="C52" s="0" t="s">
        <v>116</v>
      </c>
      <c r="D52" s="0" t="s">
        <v>1533</v>
      </c>
      <c r="E52" s="0" t="n">
        <v>1100000</v>
      </c>
      <c r="F52" s="0" t="n">
        <v>682000</v>
      </c>
      <c r="G52" s="0" t="n">
        <v>418000</v>
      </c>
    </row>
    <row r="53" customFormat="false" ht="15" hidden="false" customHeight="false" outlineLevel="0" collapsed="false">
      <c r="A53" s="0" t="s">
        <v>68</v>
      </c>
      <c r="B53" s="0" t="s">
        <v>100</v>
      </c>
      <c r="C53" s="0" t="s">
        <v>110</v>
      </c>
      <c r="D53" s="0" t="s">
        <v>1533</v>
      </c>
      <c r="E53" s="0" t="n">
        <v>1035000</v>
      </c>
      <c r="F53" s="0" t="n">
        <v>641700</v>
      </c>
      <c r="G53" s="0" t="n">
        <v>393300</v>
      </c>
    </row>
    <row r="54" customFormat="false" ht="15" hidden="false" customHeight="false" outlineLevel="0" collapsed="false">
      <c r="A54" s="0" t="s">
        <v>68</v>
      </c>
      <c r="B54" s="0" t="s">
        <v>100</v>
      </c>
      <c r="C54" s="0" t="s">
        <v>113</v>
      </c>
      <c r="D54" s="0" t="s">
        <v>1533</v>
      </c>
      <c r="E54" s="0" t="n">
        <v>1110000</v>
      </c>
      <c r="F54" s="0" t="n">
        <v>688200</v>
      </c>
      <c r="G54" s="0" t="n">
        <v>421800</v>
      </c>
    </row>
    <row r="55" customFormat="false" ht="15" hidden="false" customHeight="false" outlineLevel="0" collapsed="false">
      <c r="A55" s="0" t="s">
        <v>68</v>
      </c>
      <c r="B55" s="0" t="s">
        <v>100</v>
      </c>
      <c r="C55" s="0" t="s">
        <v>116</v>
      </c>
      <c r="D55" s="0" t="s">
        <v>1533</v>
      </c>
      <c r="E55" s="0" t="n">
        <v>1185000</v>
      </c>
      <c r="F55" s="0" t="n">
        <v>734700</v>
      </c>
      <c r="G55" s="0" t="n">
        <v>450300</v>
      </c>
    </row>
    <row r="56" customFormat="false" ht="15" hidden="false" customHeight="false" outlineLevel="0" collapsed="false">
      <c r="A56" s="0" t="s">
        <v>68</v>
      </c>
      <c r="B56" s="0" t="s">
        <v>102</v>
      </c>
      <c r="C56" s="0" t="s">
        <v>110</v>
      </c>
      <c r="D56" s="0" t="s">
        <v>1533</v>
      </c>
      <c r="E56" s="0" t="n">
        <v>1120000</v>
      </c>
      <c r="F56" s="0" t="n">
        <v>694400</v>
      </c>
      <c r="G56" s="0" t="n">
        <v>425600</v>
      </c>
    </row>
    <row r="57" customFormat="false" ht="15" hidden="false" customHeight="false" outlineLevel="0" collapsed="false">
      <c r="A57" s="0" t="s">
        <v>68</v>
      </c>
      <c r="B57" s="0" t="s">
        <v>102</v>
      </c>
      <c r="C57" s="0" t="s">
        <v>113</v>
      </c>
      <c r="D57" s="0" t="s">
        <v>1533</v>
      </c>
      <c r="E57" s="0" t="n">
        <v>1195000</v>
      </c>
      <c r="F57" s="0" t="n">
        <v>740900</v>
      </c>
      <c r="G57" s="0" t="n">
        <v>454100</v>
      </c>
    </row>
    <row r="58" customFormat="false" ht="15" hidden="false" customHeight="false" outlineLevel="0" collapsed="false">
      <c r="A58" s="0" t="s">
        <v>68</v>
      </c>
      <c r="B58" s="0" t="s">
        <v>102</v>
      </c>
      <c r="C58" s="0" t="s">
        <v>116</v>
      </c>
      <c r="D58" s="0" t="s">
        <v>1533</v>
      </c>
      <c r="E58" s="0" t="n">
        <v>1270000</v>
      </c>
      <c r="F58" s="0" t="n">
        <v>787400</v>
      </c>
      <c r="G58" s="0" t="n">
        <v>482600</v>
      </c>
    </row>
    <row r="59" customFormat="false" ht="15" hidden="false" customHeight="false" outlineLevel="0" collapsed="false">
      <c r="A59" s="0" t="s">
        <v>68</v>
      </c>
      <c r="B59" s="0" t="s">
        <v>99</v>
      </c>
      <c r="C59" s="0" t="s">
        <v>110</v>
      </c>
      <c r="D59" s="0" t="s">
        <v>1533</v>
      </c>
      <c r="E59" s="0" t="n">
        <v>1205000</v>
      </c>
      <c r="F59" s="0" t="n">
        <v>747100</v>
      </c>
      <c r="G59" s="0" t="n">
        <v>457900</v>
      </c>
    </row>
    <row r="60" customFormat="false" ht="15" hidden="false" customHeight="false" outlineLevel="0" collapsed="false">
      <c r="A60" s="0" t="s">
        <v>68</v>
      </c>
      <c r="B60" s="0" t="s">
        <v>99</v>
      </c>
      <c r="C60" s="0" t="s">
        <v>113</v>
      </c>
      <c r="D60" s="0" t="s">
        <v>1533</v>
      </c>
      <c r="E60" s="0" t="n">
        <v>1280000</v>
      </c>
      <c r="F60" s="0" t="n">
        <v>793600</v>
      </c>
      <c r="G60" s="0" t="n">
        <v>486400</v>
      </c>
    </row>
    <row r="61" customFormat="false" ht="15" hidden="false" customHeight="false" outlineLevel="0" collapsed="false">
      <c r="A61" s="0" t="s">
        <v>68</v>
      </c>
      <c r="B61" s="0" t="s">
        <v>99</v>
      </c>
      <c r="C61" s="0" t="s">
        <v>116</v>
      </c>
      <c r="D61" s="0" t="s">
        <v>1533</v>
      </c>
      <c r="E61" s="0" t="n">
        <v>1355000</v>
      </c>
      <c r="F61" s="0" t="n">
        <v>840100</v>
      </c>
      <c r="G61" s="0" t="n">
        <v>514900</v>
      </c>
    </row>
    <row r="62" customFormat="false" ht="15" hidden="false" customHeight="false" outlineLevel="0" collapsed="false">
      <c r="A62" s="0" t="s">
        <v>69</v>
      </c>
      <c r="B62" s="0" t="s">
        <v>101</v>
      </c>
      <c r="C62" s="0" t="s">
        <v>110</v>
      </c>
      <c r="D62" s="0" t="s">
        <v>1533</v>
      </c>
      <c r="E62" s="0" t="n">
        <v>950000</v>
      </c>
      <c r="F62" s="0" t="n">
        <v>589000</v>
      </c>
      <c r="G62" s="0" t="n">
        <v>361000</v>
      </c>
    </row>
    <row r="63" customFormat="false" ht="15" hidden="false" customHeight="false" outlineLevel="0" collapsed="false">
      <c r="A63" s="0" t="s">
        <v>69</v>
      </c>
      <c r="B63" s="0" t="s">
        <v>101</v>
      </c>
      <c r="C63" s="0" t="s">
        <v>113</v>
      </c>
      <c r="D63" s="0" t="s">
        <v>1533</v>
      </c>
      <c r="E63" s="0" t="n">
        <v>1025000</v>
      </c>
      <c r="F63" s="0" t="n">
        <v>635500</v>
      </c>
      <c r="G63" s="0" t="n">
        <v>389500</v>
      </c>
    </row>
    <row r="64" customFormat="false" ht="15" hidden="false" customHeight="false" outlineLevel="0" collapsed="false">
      <c r="A64" s="0" t="s">
        <v>69</v>
      </c>
      <c r="B64" s="0" t="s">
        <v>101</v>
      </c>
      <c r="C64" s="0" t="s">
        <v>116</v>
      </c>
      <c r="D64" s="0" t="s">
        <v>1533</v>
      </c>
      <c r="E64" s="0" t="n">
        <v>1100000</v>
      </c>
      <c r="F64" s="0" t="n">
        <v>682000</v>
      </c>
      <c r="G64" s="0" t="n">
        <v>418000</v>
      </c>
    </row>
    <row r="65" customFormat="false" ht="15" hidden="false" customHeight="false" outlineLevel="0" collapsed="false">
      <c r="A65" s="0" t="s">
        <v>69</v>
      </c>
      <c r="B65" s="0" t="s">
        <v>100</v>
      </c>
      <c r="C65" s="0" t="s">
        <v>110</v>
      </c>
      <c r="D65" s="0" t="s">
        <v>1533</v>
      </c>
      <c r="E65" s="0" t="n">
        <v>1035000</v>
      </c>
      <c r="F65" s="0" t="n">
        <v>641700</v>
      </c>
      <c r="G65" s="0" t="n">
        <v>393300</v>
      </c>
    </row>
    <row r="66" customFormat="false" ht="15" hidden="false" customHeight="false" outlineLevel="0" collapsed="false">
      <c r="A66" s="0" t="s">
        <v>69</v>
      </c>
      <c r="B66" s="0" t="s">
        <v>100</v>
      </c>
      <c r="C66" s="0" t="s">
        <v>113</v>
      </c>
      <c r="D66" s="0" t="s">
        <v>1533</v>
      </c>
      <c r="E66" s="0" t="n">
        <v>1110000</v>
      </c>
      <c r="F66" s="0" t="n">
        <v>688200</v>
      </c>
      <c r="G66" s="0" t="n">
        <v>421800</v>
      </c>
    </row>
    <row r="67" customFormat="false" ht="15" hidden="false" customHeight="false" outlineLevel="0" collapsed="false">
      <c r="A67" s="0" t="s">
        <v>69</v>
      </c>
      <c r="B67" s="0" t="s">
        <v>100</v>
      </c>
      <c r="C67" s="0" t="s">
        <v>116</v>
      </c>
      <c r="D67" s="0" t="s">
        <v>1533</v>
      </c>
      <c r="E67" s="0" t="n">
        <v>1185000</v>
      </c>
      <c r="F67" s="0" t="n">
        <v>734700</v>
      </c>
      <c r="G67" s="0" t="n">
        <v>450300</v>
      </c>
    </row>
    <row r="68" customFormat="false" ht="15" hidden="false" customHeight="false" outlineLevel="0" collapsed="false">
      <c r="A68" s="0" t="s">
        <v>69</v>
      </c>
      <c r="B68" s="0" t="s">
        <v>102</v>
      </c>
      <c r="C68" s="0" t="s">
        <v>110</v>
      </c>
      <c r="D68" s="0" t="s">
        <v>1533</v>
      </c>
      <c r="E68" s="0" t="n">
        <v>1120000</v>
      </c>
      <c r="F68" s="0" t="n">
        <v>694400</v>
      </c>
      <c r="G68" s="0" t="n">
        <v>425600</v>
      </c>
    </row>
    <row r="69" customFormat="false" ht="15" hidden="false" customHeight="false" outlineLevel="0" collapsed="false">
      <c r="A69" s="0" t="s">
        <v>69</v>
      </c>
      <c r="B69" s="0" t="s">
        <v>102</v>
      </c>
      <c r="C69" s="0" t="s">
        <v>113</v>
      </c>
      <c r="D69" s="0" t="s">
        <v>1533</v>
      </c>
      <c r="E69" s="0" t="n">
        <v>1195000</v>
      </c>
      <c r="F69" s="0" t="n">
        <v>740900</v>
      </c>
      <c r="G69" s="0" t="n">
        <v>454100</v>
      </c>
    </row>
    <row r="70" customFormat="false" ht="15" hidden="false" customHeight="false" outlineLevel="0" collapsed="false">
      <c r="A70" s="0" t="s">
        <v>69</v>
      </c>
      <c r="B70" s="0" t="s">
        <v>102</v>
      </c>
      <c r="C70" s="0" t="s">
        <v>116</v>
      </c>
      <c r="D70" s="0" t="s">
        <v>1533</v>
      </c>
      <c r="E70" s="0" t="n">
        <v>1270000</v>
      </c>
      <c r="F70" s="0" t="n">
        <v>787400</v>
      </c>
      <c r="G70" s="0" t="n">
        <v>482600</v>
      </c>
    </row>
    <row r="71" customFormat="false" ht="15" hidden="false" customHeight="false" outlineLevel="0" collapsed="false">
      <c r="A71" s="0" t="s">
        <v>69</v>
      </c>
      <c r="B71" s="0" t="s">
        <v>99</v>
      </c>
      <c r="C71" s="0" t="s">
        <v>110</v>
      </c>
      <c r="D71" s="0" t="s">
        <v>1533</v>
      </c>
      <c r="E71" s="0" t="n">
        <v>1205000</v>
      </c>
      <c r="F71" s="0" t="n">
        <v>747100</v>
      </c>
      <c r="G71" s="0" t="n">
        <v>457900</v>
      </c>
    </row>
    <row r="72" customFormat="false" ht="15" hidden="false" customHeight="false" outlineLevel="0" collapsed="false">
      <c r="A72" s="0" t="s">
        <v>69</v>
      </c>
      <c r="B72" s="0" t="s">
        <v>99</v>
      </c>
      <c r="C72" s="0" t="s">
        <v>113</v>
      </c>
      <c r="D72" s="0" t="s">
        <v>1533</v>
      </c>
      <c r="E72" s="0" t="n">
        <v>1280000</v>
      </c>
      <c r="F72" s="0" t="n">
        <v>793600</v>
      </c>
      <c r="G72" s="0" t="n">
        <v>486400</v>
      </c>
    </row>
    <row r="73" customFormat="false" ht="15" hidden="false" customHeight="false" outlineLevel="0" collapsed="false">
      <c r="A73" s="0" t="s">
        <v>69</v>
      </c>
      <c r="B73" s="0" t="s">
        <v>99</v>
      </c>
      <c r="C73" s="0" t="s">
        <v>116</v>
      </c>
      <c r="D73" s="0" t="s">
        <v>1533</v>
      </c>
      <c r="E73" s="0" t="n">
        <v>1355000</v>
      </c>
      <c r="F73" s="0" t="n">
        <v>840100</v>
      </c>
      <c r="G73" s="0" t="n">
        <v>514900</v>
      </c>
    </row>
    <row r="74" customFormat="false" ht="15" hidden="false" customHeight="false" outlineLevel="0" collapsed="false">
      <c r="A74" s="0" t="s">
        <v>70</v>
      </c>
      <c r="B74" s="0" t="s">
        <v>101</v>
      </c>
      <c r="C74" s="0" t="s">
        <v>110</v>
      </c>
      <c r="D74" s="0" t="s">
        <v>1533</v>
      </c>
      <c r="E74" s="0" t="n">
        <v>950000</v>
      </c>
      <c r="F74" s="0" t="n">
        <v>589000</v>
      </c>
      <c r="G74" s="0" t="n">
        <v>361000</v>
      </c>
    </row>
    <row r="75" customFormat="false" ht="15" hidden="false" customHeight="false" outlineLevel="0" collapsed="false">
      <c r="A75" s="0" t="s">
        <v>70</v>
      </c>
      <c r="B75" s="0" t="s">
        <v>101</v>
      </c>
      <c r="C75" s="0" t="s">
        <v>113</v>
      </c>
      <c r="D75" s="0" t="s">
        <v>1533</v>
      </c>
      <c r="E75" s="0" t="n">
        <v>1025000</v>
      </c>
      <c r="F75" s="0" t="n">
        <v>635500</v>
      </c>
      <c r="G75" s="0" t="n">
        <v>389500</v>
      </c>
    </row>
    <row r="76" customFormat="false" ht="15" hidden="false" customHeight="false" outlineLevel="0" collapsed="false">
      <c r="A76" s="0" t="s">
        <v>70</v>
      </c>
      <c r="B76" s="0" t="s">
        <v>101</v>
      </c>
      <c r="C76" s="0" t="s">
        <v>116</v>
      </c>
      <c r="D76" s="0" t="s">
        <v>1533</v>
      </c>
      <c r="E76" s="0" t="n">
        <v>1100000</v>
      </c>
      <c r="F76" s="0" t="n">
        <v>682000</v>
      </c>
      <c r="G76" s="0" t="n">
        <v>418000</v>
      </c>
    </row>
    <row r="77" customFormat="false" ht="15" hidden="false" customHeight="false" outlineLevel="0" collapsed="false">
      <c r="A77" s="0" t="s">
        <v>70</v>
      </c>
      <c r="B77" s="0" t="s">
        <v>100</v>
      </c>
      <c r="C77" s="0" t="s">
        <v>110</v>
      </c>
      <c r="D77" s="0" t="s">
        <v>1533</v>
      </c>
      <c r="E77" s="0" t="n">
        <v>1035000</v>
      </c>
      <c r="F77" s="0" t="n">
        <v>641700</v>
      </c>
      <c r="G77" s="0" t="n">
        <v>393300</v>
      </c>
    </row>
    <row r="78" customFormat="false" ht="15" hidden="false" customHeight="false" outlineLevel="0" collapsed="false">
      <c r="A78" s="0" t="s">
        <v>70</v>
      </c>
      <c r="B78" s="0" t="s">
        <v>100</v>
      </c>
      <c r="C78" s="0" t="s">
        <v>113</v>
      </c>
      <c r="D78" s="0" t="s">
        <v>1533</v>
      </c>
      <c r="E78" s="0" t="n">
        <v>1110000</v>
      </c>
      <c r="F78" s="0" t="n">
        <v>688200</v>
      </c>
      <c r="G78" s="0" t="n">
        <v>421800</v>
      </c>
    </row>
    <row r="79" customFormat="false" ht="15" hidden="false" customHeight="false" outlineLevel="0" collapsed="false">
      <c r="A79" s="0" t="s">
        <v>70</v>
      </c>
      <c r="B79" s="0" t="s">
        <v>100</v>
      </c>
      <c r="C79" s="0" t="s">
        <v>116</v>
      </c>
      <c r="D79" s="0" t="s">
        <v>1533</v>
      </c>
      <c r="E79" s="0" t="n">
        <v>1185000</v>
      </c>
      <c r="F79" s="0" t="n">
        <v>734700</v>
      </c>
      <c r="G79" s="0" t="n">
        <v>450300</v>
      </c>
    </row>
    <row r="80" customFormat="false" ht="15" hidden="false" customHeight="false" outlineLevel="0" collapsed="false">
      <c r="A80" s="0" t="s">
        <v>70</v>
      </c>
      <c r="B80" s="0" t="s">
        <v>102</v>
      </c>
      <c r="C80" s="0" t="s">
        <v>110</v>
      </c>
      <c r="D80" s="0" t="s">
        <v>1533</v>
      </c>
      <c r="E80" s="0" t="n">
        <v>1120000</v>
      </c>
      <c r="F80" s="0" t="n">
        <v>694400</v>
      </c>
      <c r="G80" s="0" t="n">
        <v>425600</v>
      </c>
    </row>
    <row r="81" customFormat="false" ht="15" hidden="false" customHeight="false" outlineLevel="0" collapsed="false">
      <c r="A81" s="0" t="s">
        <v>70</v>
      </c>
      <c r="B81" s="0" t="s">
        <v>102</v>
      </c>
      <c r="C81" s="0" t="s">
        <v>113</v>
      </c>
      <c r="D81" s="0" t="s">
        <v>1533</v>
      </c>
      <c r="E81" s="0" t="n">
        <v>1195000</v>
      </c>
      <c r="F81" s="0" t="n">
        <v>740900</v>
      </c>
      <c r="G81" s="0" t="n">
        <v>454100</v>
      </c>
    </row>
    <row r="82" customFormat="false" ht="15" hidden="false" customHeight="false" outlineLevel="0" collapsed="false">
      <c r="A82" s="0" t="s">
        <v>70</v>
      </c>
      <c r="B82" s="0" t="s">
        <v>102</v>
      </c>
      <c r="C82" s="0" t="s">
        <v>116</v>
      </c>
      <c r="D82" s="0" t="s">
        <v>1533</v>
      </c>
      <c r="E82" s="0" t="n">
        <v>1270000</v>
      </c>
      <c r="F82" s="0" t="n">
        <v>787400</v>
      </c>
      <c r="G82" s="0" t="n">
        <v>482600</v>
      </c>
    </row>
    <row r="83" customFormat="false" ht="15" hidden="false" customHeight="false" outlineLevel="0" collapsed="false">
      <c r="A83" s="0" t="s">
        <v>70</v>
      </c>
      <c r="B83" s="0" t="s">
        <v>99</v>
      </c>
      <c r="C83" s="0" t="s">
        <v>110</v>
      </c>
      <c r="D83" s="0" t="s">
        <v>1533</v>
      </c>
      <c r="E83" s="0" t="n">
        <v>1205000</v>
      </c>
      <c r="F83" s="0" t="n">
        <v>747100</v>
      </c>
      <c r="G83" s="0" t="n">
        <v>457900</v>
      </c>
    </row>
    <row r="84" customFormat="false" ht="15" hidden="false" customHeight="false" outlineLevel="0" collapsed="false">
      <c r="A84" s="0" t="s">
        <v>70</v>
      </c>
      <c r="B84" s="0" t="s">
        <v>99</v>
      </c>
      <c r="C84" s="0" t="s">
        <v>113</v>
      </c>
      <c r="D84" s="0" t="s">
        <v>1533</v>
      </c>
      <c r="E84" s="0" t="n">
        <v>1280000</v>
      </c>
      <c r="F84" s="0" t="n">
        <v>793600</v>
      </c>
      <c r="G84" s="0" t="n">
        <v>486400</v>
      </c>
    </row>
    <row r="85" customFormat="false" ht="15" hidden="false" customHeight="false" outlineLevel="0" collapsed="false">
      <c r="A85" s="0" t="s">
        <v>70</v>
      </c>
      <c r="B85" s="0" t="s">
        <v>99</v>
      </c>
      <c r="C85" s="0" t="s">
        <v>116</v>
      </c>
      <c r="D85" s="0" t="s">
        <v>1533</v>
      </c>
      <c r="E85" s="0" t="n">
        <v>1355000</v>
      </c>
      <c r="F85" s="0" t="n">
        <v>840100</v>
      </c>
      <c r="G85" s="0" t="n">
        <v>514900</v>
      </c>
    </row>
    <row r="86" customFormat="false" ht="15" hidden="false" customHeight="false" outlineLevel="0" collapsed="false">
      <c r="A86" s="0" t="s">
        <v>71</v>
      </c>
      <c r="B86" s="0" t="s">
        <v>101</v>
      </c>
      <c r="C86" s="0" t="s">
        <v>110</v>
      </c>
      <c r="D86" s="0" t="s">
        <v>1533</v>
      </c>
      <c r="E86" s="0" t="n">
        <v>950000</v>
      </c>
      <c r="F86" s="0" t="n">
        <v>589000</v>
      </c>
      <c r="G86" s="0" t="n">
        <v>361000</v>
      </c>
    </row>
    <row r="87" customFormat="false" ht="15" hidden="false" customHeight="false" outlineLevel="0" collapsed="false">
      <c r="A87" s="0" t="s">
        <v>71</v>
      </c>
      <c r="B87" s="0" t="s">
        <v>101</v>
      </c>
      <c r="C87" s="0" t="s">
        <v>113</v>
      </c>
      <c r="D87" s="0" t="s">
        <v>1533</v>
      </c>
      <c r="E87" s="0" t="n">
        <v>1025000</v>
      </c>
      <c r="F87" s="0" t="n">
        <v>635500</v>
      </c>
      <c r="G87" s="0" t="n">
        <v>389500</v>
      </c>
    </row>
    <row r="88" customFormat="false" ht="15" hidden="false" customHeight="false" outlineLevel="0" collapsed="false">
      <c r="A88" s="0" t="s">
        <v>71</v>
      </c>
      <c r="B88" s="0" t="s">
        <v>101</v>
      </c>
      <c r="C88" s="0" t="s">
        <v>116</v>
      </c>
      <c r="D88" s="0" t="s">
        <v>1533</v>
      </c>
      <c r="E88" s="0" t="n">
        <v>1100000</v>
      </c>
      <c r="F88" s="0" t="n">
        <v>682000</v>
      </c>
      <c r="G88" s="0" t="n">
        <v>418000</v>
      </c>
    </row>
    <row r="89" customFormat="false" ht="15" hidden="false" customHeight="false" outlineLevel="0" collapsed="false">
      <c r="A89" s="0" t="s">
        <v>71</v>
      </c>
      <c r="B89" s="0" t="s">
        <v>100</v>
      </c>
      <c r="C89" s="0" t="s">
        <v>110</v>
      </c>
      <c r="D89" s="0" t="s">
        <v>1533</v>
      </c>
      <c r="E89" s="0" t="n">
        <v>1035000</v>
      </c>
      <c r="F89" s="0" t="n">
        <v>641700</v>
      </c>
      <c r="G89" s="0" t="n">
        <v>393300</v>
      </c>
    </row>
    <row r="90" customFormat="false" ht="15" hidden="false" customHeight="false" outlineLevel="0" collapsed="false">
      <c r="A90" s="0" t="s">
        <v>71</v>
      </c>
      <c r="B90" s="0" t="s">
        <v>100</v>
      </c>
      <c r="C90" s="0" t="s">
        <v>113</v>
      </c>
      <c r="D90" s="0" t="s">
        <v>1533</v>
      </c>
      <c r="E90" s="0" t="n">
        <v>1110000</v>
      </c>
      <c r="F90" s="0" t="n">
        <v>688200</v>
      </c>
      <c r="G90" s="0" t="n">
        <v>421800</v>
      </c>
    </row>
    <row r="91" customFormat="false" ht="15" hidden="false" customHeight="false" outlineLevel="0" collapsed="false">
      <c r="A91" s="0" t="s">
        <v>71</v>
      </c>
      <c r="B91" s="0" t="s">
        <v>100</v>
      </c>
      <c r="C91" s="0" t="s">
        <v>116</v>
      </c>
      <c r="D91" s="0" t="s">
        <v>1533</v>
      </c>
      <c r="E91" s="0" t="n">
        <v>1185000</v>
      </c>
      <c r="F91" s="0" t="n">
        <v>734700</v>
      </c>
      <c r="G91" s="0" t="n">
        <v>450300</v>
      </c>
    </row>
    <row r="92" customFormat="false" ht="15" hidden="false" customHeight="false" outlineLevel="0" collapsed="false">
      <c r="A92" s="0" t="s">
        <v>71</v>
      </c>
      <c r="B92" s="0" t="s">
        <v>102</v>
      </c>
      <c r="C92" s="0" t="s">
        <v>110</v>
      </c>
      <c r="D92" s="0" t="s">
        <v>1533</v>
      </c>
      <c r="E92" s="0" t="n">
        <v>1120000</v>
      </c>
      <c r="F92" s="0" t="n">
        <v>694400</v>
      </c>
      <c r="G92" s="0" t="n">
        <v>425600</v>
      </c>
    </row>
    <row r="93" customFormat="false" ht="15" hidden="false" customHeight="false" outlineLevel="0" collapsed="false">
      <c r="A93" s="0" t="s">
        <v>71</v>
      </c>
      <c r="B93" s="0" t="s">
        <v>102</v>
      </c>
      <c r="C93" s="0" t="s">
        <v>113</v>
      </c>
      <c r="D93" s="0" t="s">
        <v>1533</v>
      </c>
      <c r="E93" s="0" t="n">
        <v>1195000</v>
      </c>
      <c r="F93" s="0" t="n">
        <v>740900</v>
      </c>
      <c r="G93" s="0" t="n">
        <v>454100</v>
      </c>
    </row>
    <row r="94" customFormat="false" ht="15" hidden="false" customHeight="false" outlineLevel="0" collapsed="false">
      <c r="A94" s="0" t="s">
        <v>71</v>
      </c>
      <c r="B94" s="0" t="s">
        <v>102</v>
      </c>
      <c r="C94" s="0" t="s">
        <v>116</v>
      </c>
      <c r="D94" s="0" t="s">
        <v>1533</v>
      </c>
      <c r="E94" s="0" t="n">
        <v>1270000</v>
      </c>
      <c r="F94" s="0" t="n">
        <v>787400</v>
      </c>
      <c r="G94" s="0" t="n">
        <v>482600</v>
      </c>
    </row>
    <row r="95" customFormat="false" ht="15" hidden="false" customHeight="false" outlineLevel="0" collapsed="false">
      <c r="A95" s="0" t="s">
        <v>71</v>
      </c>
      <c r="B95" s="0" t="s">
        <v>99</v>
      </c>
      <c r="C95" s="0" t="s">
        <v>110</v>
      </c>
      <c r="D95" s="0" t="s">
        <v>1533</v>
      </c>
      <c r="E95" s="0" t="n">
        <v>1205000</v>
      </c>
      <c r="F95" s="0" t="n">
        <v>747100</v>
      </c>
      <c r="G95" s="0" t="n">
        <v>457900</v>
      </c>
    </row>
    <row r="96" customFormat="false" ht="15" hidden="false" customHeight="false" outlineLevel="0" collapsed="false">
      <c r="A96" s="0" t="s">
        <v>71</v>
      </c>
      <c r="B96" s="0" t="s">
        <v>99</v>
      </c>
      <c r="C96" s="0" t="s">
        <v>113</v>
      </c>
      <c r="D96" s="0" t="s">
        <v>1533</v>
      </c>
      <c r="E96" s="0" t="n">
        <v>1280000</v>
      </c>
      <c r="F96" s="0" t="n">
        <v>793600</v>
      </c>
      <c r="G96" s="0" t="n">
        <v>486400</v>
      </c>
    </row>
    <row r="97" customFormat="false" ht="15" hidden="false" customHeight="false" outlineLevel="0" collapsed="false">
      <c r="A97" s="0" t="s">
        <v>71</v>
      </c>
      <c r="B97" s="0" t="s">
        <v>99</v>
      </c>
      <c r="C97" s="0" t="s">
        <v>116</v>
      </c>
      <c r="D97" s="0" t="s">
        <v>1533</v>
      </c>
      <c r="E97" s="0" t="n">
        <v>1355000</v>
      </c>
      <c r="F97" s="0" t="n">
        <v>840100</v>
      </c>
      <c r="G97" s="0" t="n">
        <v>514900</v>
      </c>
    </row>
    <row r="98" customFormat="false" ht="15" hidden="false" customHeight="false" outlineLevel="0" collapsed="false">
      <c r="A98" s="0" t="s">
        <v>72</v>
      </c>
      <c r="B98" s="0" t="s">
        <v>101</v>
      </c>
      <c r="C98" s="0" t="s">
        <v>110</v>
      </c>
      <c r="D98" s="0" t="s">
        <v>1533</v>
      </c>
      <c r="E98" s="0" t="n">
        <v>950000</v>
      </c>
      <c r="F98" s="0" t="n">
        <v>589000</v>
      </c>
      <c r="G98" s="0" t="n">
        <v>361000</v>
      </c>
    </row>
    <row r="99" customFormat="false" ht="15" hidden="false" customHeight="false" outlineLevel="0" collapsed="false">
      <c r="A99" s="0" t="s">
        <v>72</v>
      </c>
      <c r="B99" s="0" t="s">
        <v>101</v>
      </c>
      <c r="C99" s="0" t="s">
        <v>113</v>
      </c>
      <c r="D99" s="0" t="s">
        <v>1533</v>
      </c>
      <c r="E99" s="0" t="n">
        <v>1025000</v>
      </c>
      <c r="F99" s="0" t="n">
        <v>635500</v>
      </c>
      <c r="G99" s="0" t="n">
        <v>389500</v>
      </c>
    </row>
    <row r="100" customFormat="false" ht="15" hidden="false" customHeight="false" outlineLevel="0" collapsed="false">
      <c r="A100" s="0" t="s">
        <v>72</v>
      </c>
      <c r="B100" s="0" t="s">
        <v>101</v>
      </c>
      <c r="C100" s="0" t="s">
        <v>116</v>
      </c>
      <c r="D100" s="0" t="s">
        <v>1533</v>
      </c>
      <c r="E100" s="0" t="n">
        <v>1100000</v>
      </c>
      <c r="F100" s="0" t="n">
        <v>682000</v>
      </c>
      <c r="G100" s="0" t="n">
        <v>418000</v>
      </c>
    </row>
    <row r="101" customFormat="false" ht="15" hidden="false" customHeight="false" outlineLevel="0" collapsed="false">
      <c r="A101" s="0" t="s">
        <v>72</v>
      </c>
      <c r="B101" s="0" t="s">
        <v>100</v>
      </c>
      <c r="C101" s="0" t="s">
        <v>110</v>
      </c>
      <c r="D101" s="0" t="s">
        <v>1533</v>
      </c>
      <c r="E101" s="0" t="n">
        <v>1035000</v>
      </c>
      <c r="F101" s="0" t="n">
        <v>641700</v>
      </c>
      <c r="G101" s="0" t="n">
        <v>393300</v>
      </c>
    </row>
    <row r="102" customFormat="false" ht="15" hidden="false" customHeight="false" outlineLevel="0" collapsed="false">
      <c r="A102" s="0" t="s">
        <v>72</v>
      </c>
      <c r="B102" s="0" t="s">
        <v>100</v>
      </c>
      <c r="C102" s="0" t="s">
        <v>113</v>
      </c>
      <c r="D102" s="0" t="s">
        <v>1533</v>
      </c>
      <c r="E102" s="0" t="n">
        <v>1110000</v>
      </c>
      <c r="F102" s="0" t="n">
        <v>688200</v>
      </c>
      <c r="G102" s="0" t="n">
        <v>421800</v>
      </c>
    </row>
    <row r="103" customFormat="false" ht="15" hidden="false" customHeight="false" outlineLevel="0" collapsed="false">
      <c r="A103" s="0" t="s">
        <v>72</v>
      </c>
      <c r="B103" s="0" t="s">
        <v>100</v>
      </c>
      <c r="C103" s="0" t="s">
        <v>116</v>
      </c>
      <c r="D103" s="0" t="s">
        <v>1533</v>
      </c>
      <c r="E103" s="0" t="n">
        <v>1185000</v>
      </c>
      <c r="F103" s="0" t="n">
        <v>734700</v>
      </c>
      <c r="G103" s="0" t="n">
        <v>450300</v>
      </c>
    </row>
    <row r="104" customFormat="false" ht="15" hidden="false" customHeight="false" outlineLevel="0" collapsed="false">
      <c r="A104" s="0" t="s">
        <v>72</v>
      </c>
      <c r="B104" s="0" t="s">
        <v>102</v>
      </c>
      <c r="C104" s="0" t="s">
        <v>110</v>
      </c>
      <c r="D104" s="0" t="s">
        <v>1533</v>
      </c>
      <c r="E104" s="0" t="n">
        <v>1120000</v>
      </c>
      <c r="F104" s="0" t="n">
        <v>694400</v>
      </c>
      <c r="G104" s="0" t="n">
        <v>425600</v>
      </c>
    </row>
    <row r="105" customFormat="false" ht="15" hidden="false" customHeight="false" outlineLevel="0" collapsed="false">
      <c r="A105" s="0" t="s">
        <v>72</v>
      </c>
      <c r="B105" s="0" t="s">
        <v>102</v>
      </c>
      <c r="C105" s="0" t="s">
        <v>113</v>
      </c>
      <c r="D105" s="0" t="s">
        <v>1533</v>
      </c>
      <c r="E105" s="0" t="n">
        <v>1195000</v>
      </c>
      <c r="F105" s="0" t="n">
        <v>740900</v>
      </c>
      <c r="G105" s="0" t="n">
        <v>454100</v>
      </c>
    </row>
    <row r="106" customFormat="false" ht="15" hidden="false" customHeight="false" outlineLevel="0" collapsed="false">
      <c r="A106" s="0" t="s">
        <v>72</v>
      </c>
      <c r="B106" s="0" t="s">
        <v>102</v>
      </c>
      <c r="C106" s="0" t="s">
        <v>116</v>
      </c>
      <c r="D106" s="0" t="s">
        <v>1533</v>
      </c>
      <c r="E106" s="0" t="n">
        <v>1270000</v>
      </c>
      <c r="F106" s="0" t="n">
        <v>787400</v>
      </c>
      <c r="G106" s="0" t="n">
        <v>482600</v>
      </c>
    </row>
    <row r="107" customFormat="false" ht="15" hidden="false" customHeight="false" outlineLevel="0" collapsed="false">
      <c r="A107" s="0" t="s">
        <v>72</v>
      </c>
      <c r="B107" s="0" t="s">
        <v>99</v>
      </c>
      <c r="C107" s="0" t="s">
        <v>110</v>
      </c>
      <c r="D107" s="0" t="s">
        <v>1533</v>
      </c>
      <c r="E107" s="0" t="n">
        <v>1205000</v>
      </c>
      <c r="F107" s="0" t="n">
        <v>747100</v>
      </c>
      <c r="G107" s="0" t="n">
        <v>457900</v>
      </c>
    </row>
    <row r="108" customFormat="false" ht="15" hidden="false" customHeight="false" outlineLevel="0" collapsed="false">
      <c r="A108" s="0" t="s">
        <v>72</v>
      </c>
      <c r="B108" s="0" t="s">
        <v>99</v>
      </c>
      <c r="C108" s="0" t="s">
        <v>113</v>
      </c>
      <c r="D108" s="0" t="s">
        <v>1533</v>
      </c>
      <c r="E108" s="0" t="n">
        <v>1280000</v>
      </c>
      <c r="F108" s="0" t="n">
        <v>793600</v>
      </c>
      <c r="G108" s="0" t="n">
        <v>486400</v>
      </c>
    </row>
    <row r="109" customFormat="false" ht="15" hidden="false" customHeight="false" outlineLevel="0" collapsed="false">
      <c r="A109" s="0" t="s">
        <v>72</v>
      </c>
      <c r="B109" s="0" t="s">
        <v>99</v>
      </c>
      <c r="C109" s="0" t="s">
        <v>116</v>
      </c>
      <c r="D109" s="0" t="s">
        <v>1533</v>
      </c>
      <c r="E109" s="0" t="n">
        <v>1355000</v>
      </c>
      <c r="F109" s="0" t="n">
        <v>840100</v>
      </c>
      <c r="G109" s="0" t="n">
        <v>514900</v>
      </c>
    </row>
    <row r="110" customFormat="false" ht="15" hidden="false" customHeight="false" outlineLevel="0" collapsed="false">
      <c r="A110" s="0" t="s">
        <v>73</v>
      </c>
      <c r="B110" s="0" t="s">
        <v>101</v>
      </c>
      <c r="C110" s="0" t="s">
        <v>110</v>
      </c>
      <c r="D110" s="0" t="s">
        <v>1533</v>
      </c>
      <c r="E110" s="0" t="n">
        <v>950000</v>
      </c>
      <c r="F110" s="0" t="n">
        <v>589000</v>
      </c>
      <c r="G110" s="0" t="n">
        <v>361000</v>
      </c>
    </row>
    <row r="111" customFormat="false" ht="15" hidden="false" customHeight="false" outlineLevel="0" collapsed="false">
      <c r="A111" s="0" t="s">
        <v>73</v>
      </c>
      <c r="B111" s="0" t="s">
        <v>101</v>
      </c>
      <c r="C111" s="0" t="s">
        <v>113</v>
      </c>
      <c r="D111" s="0" t="s">
        <v>1533</v>
      </c>
      <c r="E111" s="0" t="n">
        <v>1025000</v>
      </c>
      <c r="F111" s="0" t="n">
        <v>635500</v>
      </c>
      <c r="G111" s="0" t="n">
        <v>389500</v>
      </c>
    </row>
    <row r="112" customFormat="false" ht="15" hidden="false" customHeight="false" outlineLevel="0" collapsed="false">
      <c r="A112" s="0" t="s">
        <v>73</v>
      </c>
      <c r="B112" s="0" t="s">
        <v>101</v>
      </c>
      <c r="C112" s="0" t="s">
        <v>116</v>
      </c>
      <c r="D112" s="0" t="s">
        <v>1533</v>
      </c>
      <c r="E112" s="0" t="n">
        <v>1100000</v>
      </c>
      <c r="F112" s="0" t="n">
        <v>682000</v>
      </c>
      <c r="G112" s="0" t="n">
        <v>418000</v>
      </c>
    </row>
    <row r="113" customFormat="false" ht="15" hidden="false" customHeight="false" outlineLevel="0" collapsed="false">
      <c r="A113" s="0" t="s">
        <v>73</v>
      </c>
      <c r="B113" s="0" t="s">
        <v>100</v>
      </c>
      <c r="C113" s="0" t="s">
        <v>110</v>
      </c>
      <c r="D113" s="0" t="s">
        <v>1533</v>
      </c>
      <c r="E113" s="0" t="n">
        <v>1035000</v>
      </c>
      <c r="F113" s="0" t="n">
        <v>641700</v>
      </c>
      <c r="G113" s="0" t="n">
        <v>393300</v>
      </c>
    </row>
    <row r="114" customFormat="false" ht="15" hidden="false" customHeight="false" outlineLevel="0" collapsed="false">
      <c r="A114" s="0" t="s">
        <v>73</v>
      </c>
      <c r="B114" s="0" t="s">
        <v>100</v>
      </c>
      <c r="C114" s="0" t="s">
        <v>113</v>
      </c>
      <c r="D114" s="0" t="s">
        <v>1533</v>
      </c>
      <c r="E114" s="0" t="n">
        <v>1110000</v>
      </c>
      <c r="F114" s="0" t="n">
        <v>688200</v>
      </c>
      <c r="G114" s="0" t="n">
        <v>421800</v>
      </c>
    </row>
    <row r="115" customFormat="false" ht="15" hidden="false" customHeight="false" outlineLevel="0" collapsed="false">
      <c r="A115" s="0" t="s">
        <v>73</v>
      </c>
      <c r="B115" s="0" t="s">
        <v>100</v>
      </c>
      <c r="C115" s="0" t="s">
        <v>116</v>
      </c>
      <c r="D115" s="0" t="s">
        <v>1533</v>
      </c>
      <c r="E115" s="0" t="n">
        <v>1185000</v>
      </c>
      <c r="F115" s="0" t="n">
        <v>734700</v>
      </c>
      <c r="G115" s="0" t="n">
        <v>450300</v>
      </c>
    </row>
    <row r="116" customFormat="false" ht="15" hidden="false" customHeight="false" outlineLevel="0" collapsed="false">
      <c r="A116" s="0" t="s">
        <v>73</v>
      </c>
      <c r="B116" s="0" t="s">
        <v>102</v>
      </c>
      <c r="C116" s="0" t="s">
        <v>110</v>
      </c>
      <c r="D116" s="0" t="s">
        <v>1533</v>
      </c>
      <c r="E116" s="0" t="n">
        <v>1120000</v>
      </c>
      <c r="F116" s="0" t="n">
        <v>694400</v>
      </c>
      <c r="G116" s="0" t="n">
        <v>425600</v>
      </c>
    </row>
    <row r="117" customFormat="false" ht="15" hidden="false" customHeight="false" outlineLevel="0" collapsed="false">
      <c r="A117" s="0" t="s">
        <v>73</v>
      </c>
      <c r="B117" s="0" t="s">
        <v>102</v>
      </c>
      <c r="C117" s="0" t="s">
        <v>113</v>
      </c>
      <c r="D117" s="0" t="s">
        <v>1533</v>
      </c>
      <c r="E117" s="0" t="n">
        <v>1195000</v>
      </c>
      <c r="F117" s="0" t="n">
        <v>740900</v>
      </c>
      <c r="G117" s="0" t="n">
        <v>454100</v>
      </c>
    </row>
    <row r="118" customFormat="false" ht="15" hidden="false" customHeight="false" outlineLevel="0" collapsed="false">
      <c r="A118" s="0" t="s">
        <v>73</v>
      </c>
      <c r="B118" s="0" t="s">
        <v>102</v>
      </c>
      <c r="C118" s="0" t="s">
        <v>116</v>
      </c>
      <c r="D118" s="0" t="s">
        <v>1533</v>
      </c>
      <c r="E118" s="0" t="n">
        <v>1270000</v>
      </c>
      <c r="F118" s="0" t="n">
        <v>787400</v>
      </c>
      <c r="G118" s="0" t="n">
        <v>482600</v>
      </c>
    </row>
    <row r="119" customFormat="false" ht="15" hidden="false" customHeight="false" outlineLevel="0" collapsed="false">
      <c r="A119" s="0" t="s">
        <v>73</v>
      </c>
      <c r="B119" s="0" t="s">
        <v>99</v>
      </c>
      <c r="C119" s="0" t="s">
        <v>110</v>
      </c>
      <c r="D119" s="0" t="s">
        <v>1533</v>
      </c>
      <c r="E119" s="0" t="n">
        <v>1205000</v>
      </c>
      <c r="F119" s="0" t="n">
        <v>747100</v>
      </c>
      <c r="G119" s="0" t="n">
        <v>457900</v>
      </c>
    </row>
    <row r="120" customFormat="false" ht="15" hidden="false" customHeight="false" outlineLevel="0" collapsed="false">
      <c r="A120" s="0" t="s">
        <v>73</v>
      </c>
      <c r="B120" s="0" t="s">
        <v>99</v>
      </c>
      <c r="C120" s="0" t="s">
        <v>113</v>
      </c>
      <c r="D120" s="0" t="s">
        <v>1533</v>
      </c>
      <c r="E120" s="0" t="n">
        <v>1280000</v>
      </c>
      <c r="F120" s="0" t="n">
        <v>793600</v>
      </c>
      <c r="G120" s="0" t="n">
        <v>486400</v>
      </c>
    </row>
    <row r="121" customFormat="false" ht="15" hidden="false" customHeight="false" outlineLevel="0" collapsed="false">
      <c r="A121" s="0" t="s">
        <v>73</v>
      </c>
      <c r="B121" s="0" t="s">
        <v>99</v>
      </c>
      <c r="C121" s="0" t="s">
        <v>116</v>
      </c>
      <c r="D121" s="0" t="s">
        <v>1533</v>
      </c>
      <c r="E121" s="0" t="n">
        <v>1355000</v>
      </c>
      <c r="F121" s="0" t="n">
        <v>840100</v>
      </c>
      <c r="G121" s="0" t="n">
        <v>514900</v>
      </c>
    </row>
    <row r="122" customFormat="false" ht="15" hidden="false" customHeight="false" outlineLevel="0" collapsed="false">
      <c r="A122" s="0" t="s">
        <v>74</v>
      </c>
      <c r="B122" s="0" t="s">
        <v>101</v>
      </c>
      <c r="C122" s="0" t="s">
        <v>110</v>
      </c>
      <c r="D122" s="0" t="s">
        <v>1533</v>
      </c>
      <c r="E122" s="0" t="n">
        <v>950000</v>
      </c>
      <c r="F122" s="0" t="n">
        <v>589000</v>
      </c>
      <c r="G122" s="0" t="n">
        <v>361000</v>
      </c>
    </row>
    <row r="123" customFormat="false" ht="15" hidden="false" customHeight="false" outlineLevel="0" collapsed="false">
      <c r="A123" s="0" t="s">
        <v>74</v>
      </c>
      <c r="B123" s="0" t="s">
        <v>101</v>
      </c>
      <c r="C123" s="0" t="s">
        <v>113</v>
      </c>
      <c r="D123" s="0" t="s">
        <v>1533</v>
      </c>
      <c r="E123" s="0" t="n">
        <v>1025000</v>
      </c>
      <c r="F123" s="0" t="n">
        <v>635500</v>
      </c>
      <c r="G123" s="0" t="n">
        <v>389500</v>
      </c>
    </row>
    <row r="124" customFormat="false" ht="15" hidden="false" customHeight="false" outlineLevel="0" collapsed="false">
      <c r="A124" s="0" t="s">
        <v>74</v>
      </c>
      <c r="B124" s="0" t="s">
        <v>101</v>
      </c>
      <c r="C124" s="0" t="s">
        <v>116</v>
      </c>
      <c r="D124" s="0" t="s">
        <v>1533</v>
      </c>
      <c r="E124" s="0" t="n">
        <v>1100000</v>
      </c>
      <c r="F124" s="0" t="n">
        <v>682000</v>
      </c>
      <c r="G124" s="0" t="n">
        <v>418000</v>
      </c>
    </row>
    <row r="125" customFormat="false" ht="15" hidden="false" customHeight="false" outlineLevel="0" collapsed="false">
      <c r="A125" s="0" t="s">
        <v>74</v>
      </c>
      <c r="B125" s="0" t="s">
        <v>100</v>
      </c>
      <c r="C125" s="0" t="s">
        <v>110</v>
      </c>
      <c r="D125" s="0" t="s">
        <v>1533</v>
      </c>
      <c r="E125" s="0" t="n">
        <v>1035000</v>
      </c>
      <c r="F125" s="0" t="n">
        <v>641700</v>
      </c>
      <c r="G125" s="0" t="n">
        <v>393300</v>
      </c>
    </row>
    <row r="126" customFormat="false" ht="15" hidden="false" customHeight="false" outlineLevel="0" collapsed="false">
      <c r="A126" s="0" t="s">
        <v>74</v>
      </c>
      <c r="B126" s="0" t="s">
        <v>100</v>
      </c>
      <c r="C126" s="0" t="s">
        <v>113</v>
      </c>
      <c r="D126" s="0" t="s">
        <v>1533</v>
      </c>
      <c r="E126" s="0" t="n">
        <v>1110000</v>
      </c>
      <c r="F126" s="0" t="n">
        <v>688200</v>
      </c>
      <c r="G126" s="0" t="n">
        <v>421800</v>
      </c>
    </row>
    <row r="127" customFormat="false" ht="15" hidden="false" customHeight="false" outlineLevel="0" collapsed="false">
      <c r="A127" s="0" t="s">
        <v>74</v>
      </c>
      <c r="B127" s="0" t="s">
        <v>100</v>
      </c>
      <c r="C127" s="0" t="s">
        <v>116</v>
      </c>
      <c r="D127" s="0" t="s">
        <v>1533</v>
      </c>
      <c r="E127" s="0" t="n">
        <v>1185000</v>
      </c>
      <c r="F127" s="0" t="n">
        <v>734700</v>
      </c>
      <c r="G127" s="0" t="n">
        <v>450300</v>
      </c>
    </row>
    <row r="128" customFormat="false" ht="15" hidden="false" customHeight="false" outlineLevel="0" collapsed="false">
      <c r="A128" s="0" t="s">
        <v>74</v>
      </c>
      <c r="B128" s="0" t="s">
        <v>102</v>
      </c>
      <c r="C128" s="0" t="s">
        <v>110</v>
      </c>
      <c r="D128" s="0" t="s">
        <v>1533</v>
      </c>
      <c r="E128" s="0" t="n">
        <v>1120000</v>
      </c>
      <c r="F128" s="0" t="n">
        <v>694400</v>
      </c>
      <c r="G128" s="0" t="n">
        <v>425600</v>
      </c>
    </row>
    <row r="129" customFormat="false" ht="15" hidden="false" customHeight="false" outlineLevel="0" collapsed="false">
      <c r="A129" s="0" t="s">
        <v>74</v>
      </c>
      <c r="B129" s="0" t="s">
        <v>102</v>
      </c>
      <c r="C129" s="0" t="s">
        <v>113</v>
      </c>
      <c r="D129" s="0" t="s">
        <v>1533</v>
      </c>
      <c r="E129" s="0" t="n">
        <v>1195000</v>
      </c>
      <c r="F129" s="0" t="n">
        <v>740900</v>
      </c>
      <c r="G129" s="0" t="n">
        <v>454100</v>
      </c>
    </row>
    <row r="130" customFormat="false" ht="15" hidden="false" customHeight="false" outlineLevel="0" collapsed="false">
      <c r="A130" s="0" t="s">
        <v>74</v>
      </c>
      <c r="B130" s="0" t="s">
        <v>102</v>
      </c>
      <c r="C130" s="0" t="s">
        <v>116</v>
      </c>
      <c r="D130" s="0" t="s">
        <v>1533</v>
      </c>
      <c r="E130" s="0" t="n">
        <v>1270000</v>
      </c>
      <c r="F130" s="0" t="n">
        <v>787400</v>
      </c>
      <c r="G130" s="0" t="n">
        <v>482600</v>
      </c>
    </row>
    <row r="131" customFormat="false" ht="15" hidden="false" customHeight="false" outlineLevel="0" collapsed="false">
      <c r="A131" s="0" t="s">
        <v>74</v>
      </c>
      <c r="B131" s="0" t="s">
        <v>99</v>
      </c>
      <c r="C131" s="0" t="s">
        <v>110</v>
      </c>
      <c r="D131" s="0" t="s">
        <v>1533</v>
      </c>
      <c r="E131" s="0" t="n">
        <v>1205000</v>
      </c>
      <c r="F131" s="0" t="n">
        <v>747100</v>
      </c>
      <c r="G131" s="0" t="n">
        <v>457900</v>
      </c>
    </row>
    <row r="132" customFormat="false" ht="15" hidden="false" customHeight="false" outlineLevel="0" collapsed="false">
      <c r="A132" s="0" t="s">
        <v>74</v>
      </c>
      <c r="B132" s="0" t="s">
        <v>99</v>
      </c>
      <c r="C132" s="0" t="s">
        <v>113</v>
      </c>
      <c r="D132" s="0" t="s">
        <v>1533</v>
      </c>
      <c r="E132" s="0" t="n">
        <v>1280000</v>
      </c>
      <c r="F132" s="0" t="n">
        <v>793600</v>
      </c>
      <c r="G132" s="0" t="n">
        <v>486400</v>
      </c>
    </row>
    <row r="133" customFormat="false" ht="15" hidden="false" customHeight="false" outlineLevel="0" collapsed="false">
      <c r="A133" s="0" t="s">
        <v>74</v>
      </c>
      <c r="B133" s="0" t="s">
        <v>99</v>
      </c>
      <c r="C133" s="0" t="s">
        <v>116</v>
      </c>
      <c r="D133" s="0" t="s">
        <v>1533</v>
      </c>
      <c r="E133" s="0" t="n">
        <v>1355000</v>
      </c>
      <c r="F133" s="0" t="n">
        <v>840100</v>
      </c>
      <c r="G133" s="0" t="n">
        <v>514900</v>
      </c>
    </row>
    <row r="134" customFormat="false" ht="15" hidden="false" customHeight="false" outlineLevel="0" collapsed="false">
      <c r="A134" s="0" t="s">
        <v>75</v>
      </c>
      <c r="B134" s="0" t="s">
        <v>101</v>
      </c>
      <c r="C134" s="0" t="s">
        <v>110</v>
      </c>
      <c r="D134" s="0" t="s">
        <v>1533</v>
      </c>
      <c r="E134" s="0" t="n">
        <v>950000</v>
      </c>
      <c r="F134" s="0" t="n">
        <v>589000</v>
      </c>
      <c r="G134" s="0" t="n">
        <v>361000</v>
      </c>
    </row>
    <row r="135" customFormat="false" ht="15" hidden="false" customHeight="false" outlineLevel="0" collapsed="false">
      <c r="A135" s="0" t="s">
        <v>75</v>
      </c>
      <c r="B135" s="0" t="s">
        <v>101</v>
      </c>
      <c r="C135" s="0" t="s">
        <v>113</v>
      </c>
      <c r="D135" s="0" t="s">
        <v>1533</v>
      </c>
      <c r="E135" s="0" t="n">
        <v>1025000</v>
      </c>
      <c r="F135" s="0" t="n">
        <v>635500</v>
      </c>
      <c r="G135" s="0" t="n">
        <v>389500</v>
      </c>
    </row>
    <row r="136" customFormat="false" ht="15" hidden="false" customHeight="false" outlineLevel="0" collapsed="false">
      <c r="A136" s="0" t="s">
        <v>75</v>
      </c>
      <c r="B136" s="0" t="s">
        <v>101</v>
      </c>
      <c r="C136" s="0" t="s">
        <v>116</v>
      </c>
      <c r="D136" s="0" t="s">
        <v>1533</v>
      </c>
      <c r="E136" s="0" t="n">
        <v>1100000</v>
      </c>
      <c r="F136" s="0" t="n">
        <v>682000</v>
      </c>
      <c r="G136" s="0" t="n">
        <v>418000</v>
      </c>
    </row>
    <row r="137" customFormat="false" ht="15" hidden="false" customHeight="false" outlineLevel="0" collapsed="false">
      <c r="A137" s="0" t="s">
        <v>75</v>
      </c>
      <c r="B137" s="0" t="s">
        <v>100</v>
      </c>
      <c r="C137" s="0" t="s">
        <v>110</v>
      </c>
      <c r="D137" s="0" t="s">
        <v>1533</v>
      </c>
      <c r="E137" s="0" t="n">
        <v>1035000</v>
      </c>
      <c r="F137" s="0" t="n">
        <v>641700</v>
      </c>
      <c r="G137" s="0" t="n">
        <v>393300</v>
      </c>
    </row>
    <row r="138" customFormat="false" ht="15" hidden="false" customHeight="false" outlineLevel="0" collapsed="false">
      <c r="A138" s="0" t="s">
        <v>75</v>
      </c>
      <c r="B138" s="0" t="s">
        <v>100</v>
      </c>
      <c r="C138" s="0" t="s">
        <v>113</v>
      </c>
      <c r="D138" s="0" t="s">
        <v>1533</v>
      </c>
      <c r="E138" s="0" t="n">
        <v>1110000</v>
      </c>
      <c r="F138" s="0" t="n">
        <v>688200</v>
      </c>
      <c r="G138" s="0" t="n">
        <v>421800</v>
      </c>
    </row>
    <row r="139" customFormat="false" ht="15" hidden="false" customHeight="false" outlineLevel="0" collapsed="false">
      <c r="A139" s="0" t="s">
        <v>75</v>
      </c>
      <c r="B139" s="0" t="s">
        <v>100</v>
      </c>
      <c r="C139" s="0" t="s">
        <v>116</v>
      </c>
      <c r="D139" s="0" t="s">
        <v>1533</v>
      </c>
      <c r="E139" s="0" t="n">
        <v>1185000</v>
      </c>
      <c r="F139" s="0" t="n">
        <v>734700</v>
      </c>
      <c r="G139" s="0" t="n">
        <v>450300</v>
      </c>
    </row>
    <row r="140" customFormat="false" ht="15" hidden="false" customHeight="false" outlineLevel="0" collapsed="false">
      <c r="A140" s="0" t="s">
        <v>75</v>
      </c>
      <c r="B140" s="0" t="s">
        <v>102</v>
      </c>
      <c r="C140" s="0" t="s">
        <v>110</v>
      </c>
      <c r="D140" s="0" t="s">
        <v>1533</v>
      </c>
      <c r="E140" s="0" t="n">
        <v>1120000</v>
      </c>
      <c r="F140" s="0" t="n">
        <v>694400</v>
      </c>
      <c r="G140" s="0" t="n">
        <v>425600</v>
      </c>
    </row>
    <row r="141" customFormat="false" ht="15" hidden="false" customHeight="false" outlineLevel="0" collapsed="false">
      <c r="A141" s="0" t="s">
        <v>75</v>
      </c>
      <c r="B141" s="0" t="s">
        <v>102</v>
      </c>
      <c r="C141" s="0" t="s">
        <v>113</v>
      </c>
      <c r="D141" s="0" t="s">
        <v>1533</v>
      </c>
      <c r="E141" s="0" t="n">
        <v>1195000</v>
      </c>
      <c r="F141" s="0" t="n">
        <v>740900</v>
      </c>
      <c r="G141" s="0" t="n">
        <v>454100</v>
      </c>
    </row>
    <row r="142" customFormat="false" ht="15" hidden="false" customHeight="false" outlineLevel="0" collapsed="false">
      <c r="A142" s="0" t="s">
        <v>75</v>
      </c>
      <c r="B142" s="0" t="s">
        <v>102</v>
      </c>
      <c r="C142" s="0" t="s">
        <v>116</v>
      </c>
      <c r="D142" s="0" t="s">
        <v>1533</v>
      </c>
      <c r="E142" s="0" t="n">
        <v>1270000</v>
      </c>
      <c r="F142" s="0" t="n">
        <v>787400</v>
      </c>
      <c r="G142" s="0" t="n">
        <v>482600</v>
      </c>
    </row>
    <row r="143" customFormat="false" ht="15" hidden="false" customHeight="false" outlineLevel="0" collapsed="false">
      <c r="A143" s="0" t="s">
        <v>75</v>
      </c>
      <c r="B143" s="0" t="s">
        <v>99</v>
      </c>
      <c r="C143" s="0" t="s">
        <v>110</v>
      </c>
      <c r="D143" s="0" t="s">
        <v>1533</v>
      </c>
      <c r="E143" s="0" t="n">
        <v>1205000</v>
      </c>
      <c r="F143" s="0" t="n">
        <v>747100</v>
      </c>
      <c r="G143" s="0" t="n">
        <v>457900</v>
      </c>
    </row>
    <row r="144" customFormat="false" ht="15" hidden="false" customHeight="false" outlineLevel="0" collapsed="false">
      <c r="A144" s="0" t="s">
        <v>75</v>
      </c>
      <c r="B144" s="0" t="s">
        <v>99</v>
      </c>
      <c r="C144" s="0" t="s">
        <v>113</v>
      </c>
      <c r="D144" s="0" t="s">
        <v>1533</v>
      </c>
      <c r="E144" s="0" t="n">
        <v>1280000</v>
      </c>
      <c r="F144" s="0" t="n">
        <v>793600</v>
      </c>
      <c r="G144" s="0" t="n">
        <v>486400</v>
      </c>
    </row>
    <row r="145" customFormat="false" ht="15" hidden="false" customHeight="false" outlineLevel="0" collapsed="false">
      <c r="A145" s="0" t="s">
        <v>75</v>
      </c>
      <c r="B145" s="0" t="s">
        <v>99</v>
      </c>
      <c r="C145" s="0" t="s">
        <v>116</v>
      </c>
      <c r="D145" s="0" t="s">
        <v>1533</v>
      </c>
      <c r="E145" s="0" t="n">
        <v>1355000</v>
      </c>
      <c r="F145" s="0" t="n">
        <v>840100</v>
      </c>
      <c r="G145" s="0" t="n">
        <v>514900</v>
      </c>
    </row>
    <row r="146" customFormat="false" ht="15" hidden="false" customHeight="false" outlineLevel="0" collapsed="false">
      <c r="A146" s="0" t="s">
        <v>76</v>
      </c>
      <c r="B146" s="0" t="s">
        <v>101</v>
      </c>
      <c r="C146" s="0" t="s">
        <v>110</v>
      </c>
      <c r="D146" s="0" t="s">
        <v>1533</v>
      </c>
      <c r="E146" s="0" t="n">
        <v>1026000</v>
      </c>
      <c r="F146" s="0" t="n">
        <v>636120</v>
      </c>
      <c r="G146" s="0" t="n">
        <v>389880</v>
      </c>
    </row>
    <row r="147" customFormat="false" ht="15" hidden="false" customHeight="false" outlineLevel="0" collapsed="false">
      <c r="A147" s="0" t="s">
        <v>76</v>
      </c>
      <c r="B147" s="0" t="s">
        <v>101</v>
      </c>
      <c r="C147" s="0" t="s">
        <v>113</v>
      </c>
      <c r="D147" s="0" t="s">
        <v>1533</v>
      </c>
      <c r="E147" s="0" t="n">
        <v>1107000</v>
      </c>
      <c r="F147" s="0" t="n">
        <v>686340</v>
      </c>
      <c r="G147" s="0" t="n">
        <v>420660</v>
      </c>
    </row>
    <row r="148" customFormat="false" ht="15" hidden="false" customHeight="false" outlineLevel="0" collapsed="false">
      <c r="A148" s="0" t="s">
        <v>76</v>
      </c>
      <c r="B148" s="0" t="s">
        <v>101</v>
      </c>
      <c r="C148" s="0" t="s">
        <v>116</v>
      </c>
      <c r="D148" s="0" t="s">
        <v>1533</v>
      </c>
      <c r="E148" s="0" t="n">
        <v>1188000</v>
      </c>
      <c r="F148" s="0" t="n">
        <v>736560</v>
      </c>
      <c r="G148" s="0" t="n">
        <v>451440</v>
      </c>
    </row>
    <row r="149" customFormat="false" ht="15" hidden="false" customHeight="false" outlineLevel="0" collapsed="false">
      <c r="A149" s="0" t="s">
        <v>76</v>
      </c>
      <c r="B149" s="0" t="s">
        <v>100</v>
      </c>
      <c r="C149" s="0" t="s">
        <v>110</v>
      </c>
      <c r="D149" s="0" t="s">
        <v>1533</v>
      </c>
      <c r="E149" s="0" t="n">
        <v>1117800</v>
      </c>
      <c r="F149" s="0" t="n">
        <v>693036</v>
      </c>
      <c r="G149" s="0" t="n">
        <v>424764</v>
      </c>
    </row>
    <row r="150" customFormat="false" ht="15" hidden="false" customHeight="false" outlineLevel="0" collapsed="false">
      <c r="A150" s="0" t="s">
        <v>76</v>
      </c>
      <c r="B150" s="0" t="s">
        <v>100</v>
      </c>
      <c r="C150" s="0" t="s">
        <v>113</v>
      </c>
      <c r="D150" s="0" t="s">
        <v>1533</v>
      </c>
      <c r="E150" s="0" t="n">
        <v>1198800</v>
      </c>
      <c r="F150" s="0" t="n">
        <v>743256</v>
      </c>
      <c r="G150" s="0" t="n">
        <v>455544</v>
      </c>
    </row>
    <row r="151" customFormat="false" ht="15" hidden="false" customHeight="false" outlineLevel="0" collapsed="false">
      <c r="A151" s="0" t="s">
        <v>76</v>
      </c>
      <c r="B151" s="0" t="s">
        <v>100</v>
      </c>
      <c r="C151" s="0" t="s">
        <v>116</v>
      </c>
      <c r="D151" s="0" t="s">
        <v>1533</v>
      </c>
      <c r="E151" s="0" t="n">
        <v>1279800</v>
      </c>
      <c r="F151" s="0" t="n">
        <v>793476</v>
      </c>
      <c r="G151" s="0" t="n">
        <v>486324</v>
      </c>
    </row>
    <row r="152" customFormat="false" ht="15" hidden="false" customHeight="false" outlineLevel="0" collapsed="false">
      <c r="A152" s="0" t="s">
        <v>76</v>
      </c>
      <c r="B152" s="0" t="s">
        <v>102</v>
      </c>
      <c r="C152" s="0" t="s">
        <v>110</v>
      </c>
      <c r="D152" s="0" t="s">
        <v>1533</v>
      </c>
      <c r="E152" s="0" t="n">
        <v>1209600</v>
      </c>
      <c r="F152" s="0" t="n">
        <v>749952</v>
      </c>
      <c r="G152" s="0" t="n">
        <v>459648</v>
      </c>
    </row>
    <row r="153" customFormat="false" ht="15" hidden="false" customHeight="false" outlineLevel="0" collapsed="false">
      <c r="A153" s="0" t="s">
        <v>76</v>
      </c>
      <c r="B153" s="0" t="s">
        <v>102</v>
      </c>
      <c r="C153" s="0" t="s">
        <v>113</v>
      </c>
      <c r="D153" s="0" t="s">
        <v>1533</v>
      </c>
      <c r="E153" s="0" t="n">
        <v>1290600</v>
      </c>
      <c r="F153" s="0" t="n">
        <v>800172</v>
      </c>
      <c r="G153" s="0" t="n">
        <v>490428</v>
      </c>
    </row>
    <row r="154" customFormat="false" ht="15" hidden="false" customHeight="false" outlineLevel="0" collapsed="false">
      <c r="A154" s="0" t="s">
        <v>76</v>
      </c>
      <c r="B154" s="0" t="s">
        <v>102</v>
      </c>
      <c r="C154" s="0" t="s">
        <v>116</v>
      </c>
      <c r="D154" s="0" t="s">
        <v>1533</v>
      </c>
      <c r="E154" s="0" t="n">
        <v>1371600</v>
      </c>
      <c r="F154" s="0" t="n">
        <v>850392</v>
      </c>
      <c r="G154" s="0" t="n">
        <v>521208</v>
      </c>
    </row>
    <row r="155" customFormat="false" ht="15" hidden="false" customHeight="false" outlineLevel="0" collapsed="false">
      <c r="A155" s="0" t="s">
        <v>76</v>
      </c>
      <c r="B155" s="0" t="s">
        <v>99</v>
      </c>
      <c r="C155" s="0" t="s">
        <v>110</v>
      </c>
      <c r="D155" s="0" t="s">
        <v>1533</v>
      </c>
      <c r="E155" s="0" t="n">
        <v>1301400</v>
      </c>
      <c r="F155" s="0" t="n">
        <v>806868</v>
      </c>
      <c r="G155" s="0" t="n">
        <v>494532</v>
      </c>
    </row>
    <row r="156" customFormat="false" ht="15" hidden="false" customHeight="false" outlineLevel="0" collapsed="false">
      <c r="A156" s="0" t="s">
        <v>76</v>
      </c>
      <c r="B156" s="0" t="s">
        <v>99</v>
      </c>
      <c r="C156" s="0" t="s">
        <v>113</v>
      </c>
      <c r="D156" s="0" t="s">
        <v>1533</v>
      </c>
      <c r="E156" s="0" t="n">
        <v>1382400</v>
      </c>
      <c r="F156" s="0" t="n">
        <v>857088</v>
      </c>
      <c r="G156" s="0" t="n">
        <v>525312</v>
      </c>
    </row>
    <row r="157" customFormat="false" ht="15" hidden="false" customHeight="false" outlineLevel="0" collapsed="false">
      <c r="A157" s="0" t="s">
        <v>76</v>
      </c>
      <c r="B157" s="0" t="s">
        <v>99</v>
      </c>
      <c r="C157" s="0" t="s">
        <v>116</v>
      </c>
      <c r="D157" s="0" t="s">
        <v>1533</v>
      </c>
      <c r="E157" s="0" t="n">
        <v>1463400</v>
      </c>
      <c r="F157" s="0" t="n">
        <v>907308</v>
      </c>
      <c r="G157" s="0" t="n">
        <v>556092</v>
      </c>
    </row>
    <row r="158" customFormat="false" ht="15" hidden="false" customHeight="false" outlineLevel="0" collapsed="false">
      <c r="A158" s="0" t="s">
        <v>77</v>
      </c>
      <c r="B158" s="0" t="s">
        <v>101</v>
      </c>
      <c r="C158" s="0" t="s">
        <v>110</v>
      </c>
      <c r="D158" s="0" t="s">
        <v>1533</v>
      </c>
      <c r="E158" s="0" t="n">
        <v>1026000</v>
      </c>
      <c r="F158" s="0" t="n">
        <v>636120</v>
      </c>
      <c r="G158" s="0" t="n">
        <v>389880</v>
      </c>
    </row>
    <row r="159" customFormat="false" ht="15" hidden="false" customHeight="false" outlineLevel="0" collapsed="false">
      <c r="A159" s="0" t="s">
        <v>77</v>
      </c>
      <c r="B159" s="0" t="s">
        <v>101</v>
      </c>
      <c r="C159" s="0" t="s">
        <v>113</v>
      </c>
      <c r="D159" s="0" t="s">
        <v>1533</v>
      </c>
      <c r="E159" s="0" t="n">
        <v>1107000</v>
      </c>
      <c r="F159" s="0" t="n">
        <v>686340</v>
      </c>
      <c r="G159" s="0" t="n">
        <v>420660</v>
      </c>
    </row>
    <row r="160" customFormat="false" ht="15" hidden="false" customHeight="false" outlineLevel="0" collapsed="false">
      <c r="A160" s="0" t="s">
        <v>77</v>
      </c>
      <c r="B160" s="0" t="s">
        <v>101</v>
      </c>
      <c r="C160" s="0" t="s">
        <v>116</v>
      </c>
      <c r="D160" s="0" t="s">
        <v>1533</v>
      </c>
      <c r="E160" s="0" t="n">
        <v>1188000</v>
      </c>
      <c r="F160" s="0" t="n">
        <v>736560</v>
      </c>
      <c r="G160" s="0" t="n">
        <v>451440</v>
      </c>
    </row>
    <row r="161" customFormat="false" ht="15" hidden="false" customHeight="false" outlineLevel="0" collapsed="false">
      <c r="A161" s="0" t="s">
        <v>77</v>
      </c>
      <c r="B161" s="0" t="s">
        <v>100</v>
      </c>
      <c r="C161" s="0" t="s">
        <v>110</v>
      </c>
      <c r="D161" s="0" t="s">
        <v>1533</v>
      </c>
      <c r="E161" s="0" t="n">
        <v>1117800</v>
      </c>
      <c r="F161" s="0" t="n">
        <v>693036</v>
      </c>
      <c r="G161" s="0" t="n">
        <v>424764</v>
      </c>
    </row>
    <row r="162" customFormat="false" ht="15" hidden="false" customHeight="false" outlineLevel="0" collapsed="false">
      <c r="A162" s="0" t="s">
        <v>77</v>
      </c>
      <c r="B162" s="0" t="s">
        <v>100</v>
      </c>
      <c r="C162" s="0" t="s">
        <v>113</v>
      </c>
      <c r="D162" s="0" t="s">
        <v>1533</v>
      </c>
      <c r="E162" s="0" t="n">
        <v>1198800</v>
      </c>
      <c r="F162" s="0" t="n">
        <v>743256</v>
      </c>
      <c r="G162" s="0" t="n">
        <v>455544</v>
      </c>
    </row>
    <row r="163" customFormat="false" ht="15" hidden="false" customHeight="false" outlineLevel="0" collapsed="false">
      <c r="A163" s="0" t="s">
        <v>77</v>
      </c>
      <c r="B163" s="0" t="s">
        <v>100</v>
      </c>
      <c r="C163" s="0" t="s">
        <v>116</v>
      </c>
      <c r="D163" s="0" t="s">
        <v>1533</v>
      </c>
      <c r="E163" s="0" t="n">
        <v>1279800</v>
      </c>
      <c r="F163" s="0" t="n">
        <v>793476</v>
      </c>
      <c r="G163" s="0" t="n">
        <v>486324</v>
      </c>
    </row>
    <row r="164" customFormat="false" ht="15" hidden="false" customHeight="false" outlineLevel="0" collapsed="false">
      <c r="A164" s="0" t="s">
        <v>77</v>
      </c>
      <c r="B164" s="0" t="s">
        <v>102</v>
      </c>
      <c r="C164" s="0" t="s">
        <v>110</v>
      </c>
      <c r="D164" s="0" t="s">
        <v>1533</v>
      </c>
      <c r="E164" s="0" t="n">
        <v>1209600</v>
      </c>
      <c r="F164" s="0" t="n">
        <v>749952</v>
      </c>
      <c r="G164" s="0" t="n">
        <v>459648</v>
      </c>
    </row>
    <row r="165" customFormat="false" ht="15" hidden="false" customHeight="false" outlineLevel="0" collapsed="false">
      <c r="A165" s="0" t="s">
        <v>77</v>
      </c>
      <c r="B165" s="0" t="s">
        <v>102</v>
      </c>
      <c r="C165" s="0" t="s">
        <v>113</v>
      </c>
      <c r="D165" s="0" t="s">
        <v>1533</v>
      </c>
      <c r="E165" s="0" t="n">
        <v>1290600</v>
      </c>
      <c r="F165" s="0" t="n">
        <v>800172</v>
      </c>
      <c r="G165" s="0" t="n">
        <v>490428</v>
      </c>
    </row>
    <row r="166" customFormat="false" ht="15" hidden="false" customHeight="false" outlineLevel="0" collapsed="false">
      <c r="A166" s="0" t="s">
        <v>77</v>
      </c>
      <c r="B166" s="0" t="s">
        <v>102</v>
      </c>
      <c r="C166" s="0" t="s">
        <v>116</v>
      </c>
      <c r="D166" s="0" t="s">
        <v>1533</v>
      </c>
      <c r="E166" s="0" t="n">
        <v>1371600</v>
      </c>
      <c r="F166" s="0" t="n">
        <v>850392</v>
      </c>
      <c r="G166" s="0" t="n">
        <v>521208</v>
      </c>
    </row>
    <row r="167" customFormat="false" ht="15" hidden="false" customHeight="false" outlineLevel="0" collapsed="false">
      <c r="A167" s="0" t="s">
        <v>77</v>
      </c>
      <c r="B167" s="0" t="s">
        <v>99</v>
      </c>
      <c r="C167" s="0" t="s">
        <v>110</v>
      </c>
      <c r="D167" s="0" t="s">
        <v>1533</v>
      </c>
      <c r="E167" s="0" t="n">
        <v>1301400</v>
      </c>
      <c r="F167" s="0" t="n">
        <v>806868</v>
      </c>
      <c r="G167" s="0" t="n">
        <v>494532</v>
      </c>
    </row>
    <row r="168" customFormat="false" ht="15" hidden="false" customHeight="false" outlineLevel="0" collapsed="false">
      <c r="A168" s="0" t="s">
        <v>77</v>
      </c>
      <c r="B168" s="0" t="s">
        <v>99</v>
      </c>
      <c r="C168" s="0" t="s">
        <v>113</v>
      </c>
      <c r="D168" s="0" t="s">
        <v>1533</v>
      </c>
      <c r="E168" s="0" t="n">
        <v>1382400</v>
      </c>
      <c r="F168" s="0" t="n">
        <v>857088</v>
      </c>
      <c r="G168" s="0" t="n">
        <v>525312</v>
      </c>
    </row>
    <row r="169" customFormat="false" ht="15" hidden="false" customHeight="false" outlineLevel="0" collapsed="false">
      <c r="A169" s="0" t="s">
        <v>77</v>
      </c>
      <c r="B169" s="0" t="s">
        <v>99</v>
      </c>
      <c r="C169" s="0" t="s">
        <v>116</v>
      </c>
      <c r="D169" s="0" t="s">
        <v>1533</v>
      </c>
      <c r="E169" s="0" t="n">
        <v>1463400</v>
      </c>
      <c r="F169" s="0" t="n">
        <v>907308</v>
      </c>
      <c r="G169" s="0" t="n">
        <v>556092</v>
      </c>
    </row>
    <row r="170" customFormat="false" ht="15" hidden="false" customHeight="false" outlineLevel="0" collapsed="false">
      <c r="A170" s="0" t="s">
        <v>78</v>
      </c>
      <c r="B170" s="0" t="s">
        <v>101</v>
      </c>
      <c r="C170" s="0" t="s">
        <v>110</v>
      </c>
      <c r="D170" s="0" t="s">
        <v>1533</v>
      </c>
      <c r="E170" s="0" t="n">
        <v>1026000</v>
      </c>
      <c r="F170" s="0" t="n">
        <v>636120</v>
      </c>
      <c r="G170" s="0" t="n">
        <v>389880</v>
      </c>
    </row>
    <row r="171" customFormat="false" ht="15" hidden="false" customHeight="false" outlineLevel="0" collapsed="false">
      <c r="A171" s="0" t="s">
        <v>78</v>
      </c>
      <c r="B171" s="0" t="s">
        <v>101</v>
      </c>
      <c r="C171" s="0" t="s">
        <v>113</v>
      </c>
      <c r="D171" s="0" t="s">
        <v>1533</v>
      </c>
      <c r="E171" s="0" t="n">
        <v>1107000</v>
      </c>
      <c r="F171" s="0" t="n">
        <v>686340</v>
      </c>
      <c r="G171" s="0" t="n">
        <v>420660</v>
      </c>
    </row>
    <row r="172" customFormat="false" ht="15" hidden="false" customHeight="false" outlineLevel="0" collapsed="false">
      <c r="A172" s="0" t="s">
        <v>78</v>
      </c>
      <c r="B172" s="0" t="s">
        <v>101</v>
      </c>
      <c r="C172" s="0" t="s">
        <v>116</v>
      </c>
      <c r="D172" s="0" t="s">
        <v>1533</v>
      </c>
      <c r="E172" s="0" t="n">
        <v>1188000</v>
      </c>
      <c r="F172" s="0" t="n">
        <v>736560</v>
      </c>
      <c r="G172" s="0" t="n">
        <v>451440</v>
      </c>
    </row>
    <row r="173" customFormat="false" ht="15" hidden="false" customHeight="false" outlineLevel="0" collapsed="false">
      <c r="A173" s="0" t="s">
        <v>78</v>
      </c>
      <c r="B173" s="0" t="s">
        <v>100</v>
      </c>
      <c r="C173" s="0" t="s">
        <v>110</v>
      </c>
      <c r="D173" s="0" t="s">
        <v>1533</v>
      </c>
      <c r="E173" s="0" t="n">
        <v>1117800</v>
      </c>
      <c r="F173" s="0" t="n">
        <v>693036</v>
      </c>
      <c r="G173" s="0" t="n">
        <v>424764</v>
      </c>
    </row>
    <row r="174" customFormat="false" ht="15" hidden="false" customHeight="false" outlineLevel="0" collapsed="false">
      <c r="A174" s="0" t="s">
        <v>78</v>
      </c>
      <c r="B174" s="0" t="s">
        <v>100</v>
      </c>
      <c r="C174" s="0" t="s">
        <v>113</v>
      </c>
      <c r="D174" s="0" t="s">
        <v>1533</v>
      </c>
      <c r="E174" s="0" t="n">
        <v>1198800</v>
      </c>
      <c r="F174" s="0" t="n">
        <v>743256</v>
      </c>
      <c r="G174" s="0" t="n">
        <v>455544</v>
      </c>
    </row>
    <row r="175" customFormat="false" ht="15" hidden="false" customHeight="false" outlineLevel="0" collapsed="false">
      <c r="A175" s="0" t="s">
        <v>78</v>
      </c>
      <c r="B175" s="0" t="s">
        <v>100</v>
      </c>
      <c r="C175" s="0" t="s">
        <v>116</v>
      </c>
      <c r="D175" s="0" t="s">
        <v>1533</v>
      </c>
      <c r="E175" s="0" t="n">
        <v>1279800</v>
      </c>
      <c r="F175" s="0" t="n">
        <v>793476</v>
      </c>
      <c r="G175" s="0" t="n">
        <v>486324</v>
      </c>
    </row>
    <row r="176" customFormat="false" ht="15" hidden="false" customHeight="false" outlineLevel="0" collapsed="false">
      <c r="A176" s="0" t="s">
        <v>78</v>
      </c>
      <c r="B176" s="0" t="s">
        <v>102</v>
      </c>
      <c r="C176" s="0" t="s">
        <v>110</v>
      </c>
      <c r="D176" s="0" t="s">
        <v>1533</v>
      </c>
      <c r="E176" s="0" t="n">
        <v>1209600</v>
      </c>
      <c r="F176" s="0" t="n">
        <v>749952</v>
      </c>
      <c r="G176" s="0" t="n">
        <v>459648</v>
      </c>
    </row>
    <row r="177" customFormat="false" ht="15" hidden="false" customHeight="false" outlineLevel="0" collapsed="false">
      <c r="A177" s="0" t="s">
        <v>78</v>
      </c>
      <c r="B177" s="0" t="s">
        <v>102</v>
      </c>
      <c r="C177" s="0" t="s">
        <v>113</v>
      </c>
      <c r="D177" s="0" t="s">
        <v>1533</v>
      </c>
      <c r="E177" s="0" t="n">
        <v>1290600</v>
      </c>
      <c r="F177" s="0" t="n">
        <v>800172</v>
      </c>
      <c r="G177" s="0" t="n">
        <v>490428</v>
      </c>
    </row>
    <row r="178" customFormat="false" ht="15" hidden="false" customHeight="false" outlineLevel="0" collapsed="false">
      <c r="A178" s="0" t="s">
        <v>78</v>
      </c>
      <c r="B178" s="0" t="s">
        <v>102</v>
      </c>
      <c r="C178" s="0" t="s">
        <v>116</v>
      </c>
      <c r="D178" s="0" t="s">
        <v>1533</v>
      </c>
      <c r="E178" s="0" t="n">
        <v>1371600</v>
      </c>
      <c r="F178" s="0" t="n">
        <v>850392</v>
      </c>
      <c r="G178" s="0" t="n">
        <v>521208</v>
      </c>
    </row>
    <row r="179" customFormat="false" ht="15" hidden="false" customHeight="false" outlineLevel="0" collapsed="false">
      <c r="A179" s="0" t="s">
        <v>78</v>
      </c>
      <c r="B179" s="0" t="s">
        <v>99</v>
      </c>
      <c r="C179" s="0" t="s">
        <v>110</v>
      </c>
      <c r="D179" s="0" t="s">
        <v>1533</v>
      </c>
      <c r="E179" s="0" t="n">
        <v>1301400</v>
      </c>
      <c r="F179" s="0" t="n">
        <v>806868</v>
      </c>
      <c r="G179" s="0" t="n">
        <v>494532</v>
      </c>
    </row>
    <row r="180" customFormat="false" ht="15" hidden="false" customHeight="false" outlineLevel="0" collapsed="false">
      <c r="A180" s="0" t="s">
        <v>78</v>
      </c>
      <c r="B180" s="0" t="s">
        <v>99</v>
      </c>
      <c r="C180" s="0" t="s">
        <v>113</v>
      </c>
      <c r="D180" s="0" t="s">
        <v>1533</v>
      </c>
      <c r="E180" s="0" t="n">
        <v>1382400</v>
      </c>
      <c r="F180" s="0" t="n">
        <v>857088</v>
      </c>
      <c r="G180" s="0" t="n">
        <v>525312</v>
      </c>
    </row>
    <row r="181" customFormat="false" ht="15" hidden="false" customHeight="false" outlineLevel="0" collapsed="false">
      <c r="A181" s="0" t="s">
        <v>78</v>
      </c>
      <c r="B181" s="0" t="s">
        <v>99</v>
      </c>
      <c r="C181" s="0" t="s">
        <v>116</v>
      </c>
      <c r="D181" s="0" t="s">
        <v>1533</v>
      </c>
      <c r="E181" s="0" t="n">
        <v>1463400</v>
      </c>
      <c r="F181" s="0" t="n">
        <v>907308</v>
      </c>
      <c r="G181" s="0" t="n">
        <v>556092</v>
      </c>
    </row>
    <row r="182" customFormat="false" ht="15" hidden="false" customHeight="false" outlineLevel="0" collapsed="false">
      <c r="A182" s="0" t="s">
        <v>79</v>
      </c>
      <c r="B182" s="0" t="s">
        <v>101</v>
      </c>
      <c r="C182" s="0" t="s">
        <v>110</v>
      </c>
      <c r="D182" s="0" t="s">
        <v>1533</v>
      </c>
      <c r="E182" s="0" t="n">
        <v>1026000</v>
      </c>
      <c r="F182" s="0" t="n">
        <v>636120</v>
      </c>
      <c r="G182" s="0" t="n">
        <v>389880</v>
      </c>
    </row>
    <row r="183" customFormat="false" ht="15" hidden="false" customHeight="false" outlineLevel="0" collapsed="false">
      <c r="A183" s="0" t="s">
        <v>79</v>
      </c>
      <c r="B183" s="0" t="s">
        <v>101</v>
      </c>
      <c r="C183" s="0" t="s">
        <v>113</v>
      </c>
      <c r="D183" s="0" t="s">
        <v>1533</v>
      </c>
      <c r="E183" s="0" t="n">
        <v>1107000</v>
      </c>
      <c r="F183" s="0" t="n">
        <v>686340</v>
      </c>
      <c r="G183" s="0" t="n">
        <v>420660</v>
      </c>
    </row>
    <row r="184" customFormat="false" ht="15" hidden="false" customHeight="false" outlineLevel="0" collapsed="false">
      <c r="A184" s="0" t="s">
        <v>79</v>
      </c>
      <c r="B184" s="0" t="s">
        <v>101</v>
      </c>
      <c r="C184" s="0" t="s">
        <v>116</v>
      </c>
      <c r="D184" s="0" t="s">
        <v>1533</v>
      </c>
      <c r="E184" s="0" t="n">
        <v>1188000</v>
      </c>
      <c r="F184" s="0" t="n">
        <v>736560</v>
      </c>
      <c r="G184" s="0" t="n">
        <v>451440</v>
      </c>
    </row>
    <row r="185" customFormat="false" ht="15" hidden="false" customHeight="false" outlineLevel="0" collapsed="false">
      <c r="A185" s="0" t="s">
        <v>79</v>
      </c>
      <c r="B185" s="0" t="s">
        <v>100</v>
      </c>
      <c r="C185" s="0" t="s">
        <v>110</v>
      </c>
      <c r="D185" s="0" t="s">
        <v>1533</v>
      </c>
      <c r="E185" s="0" t="n">
        <v>1117800</v>
      </c>
      <c r="F185" s="0" t="n">
        <v>693036</v>
      </c>
      <c r="G185" s="0" t="n">
        <v>424764</v>
      </c>
    </row>
    <row r="186" customFormat="false" ht="15" hidden="false" customHeight="false" outlineLevel="0" collapsed="false">
      <c r="A186" s="0" t="s">
        <v>79</v>
      </c>
      <c r="B186" s="0" t="s">
        <v>100</v>
      </c>
      <c r="C186" s="0" t="s">
        <v>113</v>
      </c>
      <c r="D186" s="0" t="s">
        <v>1533</v>
      </c>
      <c r="E186" s="0" t="n">
        <v>1198800</v>
      </c>
      <c r="F186" s="0" t="n">
        <v>743256</v>
      </c>
      <c r="G186" s="0" t="n">
        <v>455544</v>
      </c>
    </row>
    <row r="187" customFormat="false" ht="15" hidden="false" customHeight="false" outlineLevel="0" collapsed="false">
      <c r="A187" s="0" t="s">
        <v>79</v>
      </c>
      <c r="B187" s="0" t="s">
        <v>100</v>
      </c>
      <c r="C187" s="0" t="s">
        <v>116</v>
      </c>
      <c r="D187" s="0" t="s">
        <v>1533</v>
      </c>
      <c r="E187" s="0" t="n">
        <v>1279800</v>
      </c>
      <c r="F187" s="0" t="n">
        <v>793476</v>
      </c>
      <c r="G187" s="0" t="n">
        <v>486324</v>
      </c>
    </row>
    <row r="188" customFormat="false" ht="15" hidden="false" customHeight="false" outlineLevel="0" collapsed="false">
      <c r="A188" s="0" t="s">
        <v>79</v>
      </c>
      <c r="B188" s="0" t="s">
        <v>102</v>
      </c>
      <c r="C188" s="0" t="s">
        <v>110</v>
      </c>
      <c r="D188" s="0" t="s">
        <v>1533</v>
      </c>
      <c r="E188" s="0" t="n">
        <v>1209600</v>
      </c>
      <c r="F188" s="0" t="n">
        <v>749952</v>
      </c>
      <c r="G188" s="0" t="n">
        <v>459648</v>
      </c>
    </row>
    <row r="189" customFormat="false" ht="15" hidden="false" customHeight="false" outlineLevel="0" collapsed="false">
      <c r="A189" s="0" t="s">
        <v>79</v>
      </c>
      <c r="B189" s="0" t="s">
        <v>102</v>
      </c>
      <c r="C189" s="0" t="s">
        <v>113</v>
      </c>
      <c r="D189" s="0" t="s">
        <v>1533</v>
      </c>
      <c r="E189" s="0" t="n">
        <v>1290600</v>
      </c>
      <c r="F189" s="0" t="n">
        <v>800172</v>
      </c>
      <c r="G189" s="0" t="n">
        <v>490428</v>
      </c>
    </row>
    <row r="190" customFormat="false" ht="15" hidden="false" customHeight="false" outlineLevel="0" collapsed="false">
      <c r="A190" s="0" t="s">
        <v>79</v>
      </c>
      <c r="B190" s="0" t="s">
        <v>102</v>
      </c>
      <c r="C190" s="0" t="s">
        <v>116</v>
      </c>
      <c r="D190" s="0" t="s">
        <v>1533</v>
      </c>
      <c r="E190" s="0" t="n">
        <v>1371600</v>
      </c>
      <c r="F190" s="0" t="n">
        <v>850392</v>
      </c>
      <c r="G190" s="0" t="n">
        <v>521208</v>
      </c>
    </row>
    <row r="191" customFormat="false" ht="15" hidden="false" customHeight="false" outlineLevel="0" collapsed="false">
      <c r="A191" s="0" t="s">
        <v>79</v>
      </c>
      <c r="B191" s="0" t="s">
        <v>99</v>
      </c>
      <c r="C191" s="0" t="s">
        <v>110</v>
      </c>
      <c r="D191" s="0" t="s">
        <v>1533</v>
      </c>
      <c r="E191" s="0" t="n">
        <v>1301400</v>
      </c>
      <c r="F191" s="0" t="n">
        <v>806868</v>
      </c>
      <c r="G191" s="0" t="n">
        <v>494532</v>
      </c>
    </row>
    <row r="192" customFormat="false" ht="15" hidden="false" customHeight="false" outlineLevel="0" collapsed="false">
      <c r="A192" s="0" t="s">
        <v>79</v>
      </c>
      <c r="B192" s="0" t="s">
        <v>99</v>
      </c>
      <c r="C192" s="0" t="s">
        <v>113</v>
      </c>
      <c r="D192" s="0" t="s">
        <v>1533</v>
      </c>
      <c r="E192" s="0" t="n">
        <v>1382400</v>
      </c>
      <c r="F192" s="0" t="n">
        <v>857088</v>
      </c>
      <c r="G192" s="0" t="n">
        <v>525312</v>
      </c>
    </row>
    <row r="193" customFormat="false" ht="15" hidden="false" customHeight="false" outlineLevel="0" collapsed="false">
      <c r="A193" s="0" t="s">
        <v>79</v>
      </c>
      <c r="B193" s="0" t="s">
        <v>99</v>
      </c>
      <c r="C193" s="0" t="s">
        <v>116</v>
      </c>
      <c r="D193" s="0" t="s">
        <v>1533</v>
      </c>
      <c r="E193" s="0" t="n">
        <v>1463400</v>
      </c>
      <c r="F193" s="0" t="n">
        <v>907308</v>
      </c>
      <c r="G193" s="0" t="n">
        <v>556092</v>
      </c>
    </row>
    <row r="194" customFormat="false" ht="15" hidden="false" customHeight="false" outlineLevel="0" collapsed="false">
      <c r="A194" s="0" t="s">
        <v>80</v>
      </c>
      <c r="B194" s="0" t="s">
        <v>101</v>
      </c>
      <c r="C194" s="0" t="s">
        <v>110</v>
      </c>
      <c r="D194" s="0" t="s">
        <v>1533</v>
      </c>
      <c r="E194" s="0" t="n">
        <v>1026000</v>
      </c>
      <c r="F194" s="0" t="n">
        <v>636120</v>
      </c>
      <c r="G194" s="0" t="n">
        <v>389880</v>
      </c>
    </row>
    <row r="195" customFormat="false" ht="15" hidden="false" customHeight="false" outlineLevel="0" collapsed="false">
      <c r="A195" s="0" t="s">
        <v>80</v>
      </c>
      <c r="B195" s="0" t="s">
        <v>101</v>
      </c>
      <c r="C195" s="0" t="s">
        <v>113</v>
      </c>
      <c r="D195" s="0" t="s">
        <v>1533</v>
      </c>
      <c r="E195" s="0" t="n">
        <v>1107000</v>
      </c>
      <c r="F195" s="0" t="n">
        <v>686340</v>
      </c>
      <c r="G195" s="0" t="n">
        <v>420660</v>
      </c>
    </row>
    <row r="196" customFormat="false" ht="15" hidden="false" customHeight="false" outlineLevel="0" collapsed="false">
      <c r="A196" s="0" t="s">
        <v>80</v>
      </c>
      <c r="B196" s="0" t="s">
        <v>101</v>
      </c>
      <c r="C196" s="0" t="s">
        <v>116</v>
      </c>
      <c r="D196" s="0" t="s">
        <v>1533</v>
      </c>
      <c r="E196" s="0" t="n">
        <v>1188000</v>
      </c>
      <c r="F196" s="0" t="n">
        <v>736560</v>
      </c>
      <c r="G196" s="0" t="n">
        <v>451440</v>
      </c>
    </row>
    <row r="197" customFormat="false" ht="15" hidden="false" customHeight="false" outlineLevel="0" collapsed="false">
      <c r="A197" s="0" t="s">
        <v>80</v>
      </c>
      <c r="B197" s="0" t="s">
        <v>100</v>
      </c>
      <c r="C197" s="0" t="s">
        <v>110</v>
      </c>
      <c r="D197" s="0" t="s">
        <v>1533</v>
      </c>
      <c r="E197" s="0" t="n">
        <v>1117800</v>
      </c>
      <c r="F197" s="0" t="n">
        <v>693036</v>
      </c>
      <c r="G197" s="0" t="n">
        <v>424764</v>
      </c>
    </row>
    <row r="198" customFormat="false" ht="15" hidden="false" customHeight="false" outlineLevel="0" collapsed="false">
      <c r="A198" s="0" t="s">
        <v>80</v>
      </c>
      <c r="B198" s="0" t="s">
        <v>100</v>
      </c>
      <c r="C198" s="0" t="s">
        <v>113</v>
      </c>
      <c r="D198" s="0" t="s">
        <v>1533</v>
      </c>
      <c r="E198" s="0" t="n">
        <v>1198800</v>
      </c>
      <c r="F198" s="0" t="n">
        <v>743256</v>
      </c>
      <c r="G198" s="0" t="n">
        <v>455544</v>
      </c>
    </row>
    <row r="199" customFormat="false" ht="15" hidden="false" customHeight="false" outlineLevel="0" collapsed="false">
      <c r="A199" s="0" t="s">
        <v>80</v>
      </c>
      <c r="B199" s="0" t="s">
        <v>100</v>
      </c>
      <c r="C199" s="0" t="s">
        <v>116</v>
      </c>
      <c r="D199" s="0" t="s">
        <v>1533</v>
      </c>
      <c r="E199" s="0" t="n">
        <v>1279800</v>
      </c>
      <c r="F199" s="0" t="n">
        <v>793476</v>
      </c>
      <c r="G199" s="0" t="n">
        <v>486324</v>
      </c>
    </row>
    <row r="200" customFormat="false" ht="15" hidden="false" customHeight="false" outlineLevel="0" collapsed="false">
      <c r="A200" s="0" t="s">
        <v>80</v>
      </c>
      <c r="B200" s="0" t="s">
        <v>102</v>
      </c>
      <c r="C200" s="0" t="s">
        <v>110</v>
      </c>
      <c r="D200" s="0" t="s">
        <v>1533</v>
      </c>
      <c r="E200" s="0" t="n">
        <v>1209600</v>
      </c>
      <c r="F200" s="0" t="n">
        <v>749952</v>
      </c>
      <c r="G200" s="0" t="n">
        <v>459648</v>
      </c>
    </row>
    <row r="201" customFormat="false" ht="15" hidden="false" customHeight="false" outlineLevel="0" collapsed="false">
      <c r="A201" s="0" t="s">
        <v>80</v>
      </c>
      <c r="B201" s="0" t="s">
        <v>102</v>
      </c>
      <c r="C201" s="0" t="s">
        <v>113</v>
      </c>
      <c r="D201" s="0" t="s">
        <v>1533</v>
      </c>
      <c r="E201" s="0" t="n">
        <v>1290600</v>
      </c>
      <c r="F201" s="0" t="n">
        <v>800172</v>
      </c>
      <c r="G201" s="0" t="n">
        <v>490428</v>
      </c>
    </row>
    <row r="202" customFormat="false" ht="15" hidden="false" customHeight="false" outlineLevel="0" collapsed="false">
      <c r="A202" s="0" t="s">
        <v>80</v>
      </c>
      <c r="B202" s="0" t="s">
        <v>102</v>
      </c>
      <c r="C202" s="0" t="s">
        <v>116</v>
      </c>
      <c r="D202" s="0" t="s">
        <v>1533</v>
      </c>
      <c r="E202" s="0" t="n">
        <v>1371600</v>
      </c>
      <c r="F202" s="0" t="n">
        <v>850392</v>
      </c>
      <c r="G202" s="0" t="n">
        <v>521208</v>
      </c>
    </row>
    <row r="203" customFormat="false" ht="15" hidden="false" customHeight="false" outlineLevel="0" collapsed="false">
      <c r="A203" s="0" t="s">
        <v>80</v>
      </c>
      <c r="B203" s="0" t="s">
        <v>99</v>
      </c>
      <c r="C203" s="0" t="s">
        <v>110</v>
      </c>
      <c r="D203" s="0" t="s">
        <v>1533</v>
      </c>
      <c r="E203" s="0" t="n">
        <v>1301400</v>
      </c>
      <c r="F203" s="0" t="n">
        <v>806868</v>
      </c>
      <c r="G203" s="0" t="n">
        <v>494532</v>
      </c>
    </row>
    <row r="204" customFormat="false" ht="15" hidden="false" customHeight="false" outlineLevel="0" collapsed="false">
      <c r="A204" s="0" t="s">
        <v>80</v>
      </c>
      <c r="B204" s="0" t="s">
        <v>99</v>
      </c>
      <c r="C204" s="0" t="s">
        <v>113</v>
      </c>
      <c r="D204" s="0" t="s">
        <v>1533</v>
      </c>
      <c r="E204" s="0" t="n">
        <v>1382400</v>
      </c>
      <c r="F204" s="0" t="n">
        <v>857088</v>
      </c>
      <c r="G204" s="0" t="n">
        <v>525312</v>
      </c>
    </row>
    <row r="205" customFormat="false" ht="15" hidden="false" customHeight="false" outlineLevel="0" collapsed="false">
      <c r="A205" s="0" t="s">
        <v>80</v>
      </c>
      <c r="B205" s="0" t="s">
        <v>99</v>
      </c>
      <c r="C205" s="0" t="s">
        <v>116</v>
      </c>
      <c r="D205" s="0" t="s">
        <v>1533</v>
      </c>
      <c r="E205" s="0" t="n">
        <v>1463400</v>
      </c>
      <c r="F205" s="0" t="n">
        <v>907308</v>
      </c>
      <c r="G205" s="0" t="n">
        <v>556092</v>
      </c>
    </row>
    <row r="206" customFormat="false" ht="15" hidden="false" customHeight="false" outlineLevel="0" collapsed="false">
      <c r="A206" s="0" t="s">
        <v>81</v>
      </c>
      <c r="B206" s="0" t="s">
        <v>101</v>
      </c>
      <c r="C206" s="0" t="s">
        <v>110</v>
      </c>
      <c r="D206" s="0" t="s">
        <v>1533</v>
      </c>
      <c r="E206" s="0" t="n">
        <v>1026000</v>
      </c>
      <c r="F206" s="0" t="n">
        <v>636120</v>
      </c>
      <c r="G206" s="0" t="n">
        <v>389880</v>
      </c>
    </row>
    <row r="207" customFormat="false" ht="15" hidden="false" customHeight="false" outlineLevel="0" collapsed="false">
      <c r="A207" s="0" t="s">
        <v>81</v>
      </c>
      <c r="B207" s="0" t="s">
        <v>101</v>
      </c>
      <c r="C207" s="0" t="s">
        <v>113</v>
      </c>
      <c r="D207" s="0" t="s">
        <v>1533</v>
      </c>
      <c r="E207" s="0" t="n">
        <v>1107000</v>
      </c>
      <c r="F207" s="0" t="n">
        <v>686340</v>
      </c>
      <c r="G207" s="0" t="n">
        <v>420660</v>
      </c>
    </row>
    <row r="208" customFormat="false" ht="15" hidden="false" customHeight="false" outlineLevel="0" collapsed="false">
      <c r="A208" s="0" t="s">
        <v>81</v>
      </c>
      <c r="B208" s="0" t="s">
        <v>101</v>
      </c>
      <c r="C208" s="0" t="s">
        <v>116</v>
      </c>
      <c r="D208" s="0" t="s">
        <v>1533</v>
      </c>
      <c r="E208" s="0" t="n">
        <v>1188000</v>
      </c>
      <c r="F208" s="0" t="n">
        <v>736560</v>
      </c>
      <c r="G208" s="0" t="n">
        <v>451440</v>
      </c>
    </row>
    <row r="209" customFormat="false" ht="15" hidden="false" customHeight="false" outlineLevel="0" collapsed="false">
      <c r="A209" s="0" t="s">
        <v>81</v>
      </c>
      <c r="B209" s="0" t="s">
        <v>100</v>
      </c>
      <c r="C209" s="0" t="s">
        <v>110</v>
      </c>
      <c r="D209" s="0" t="s">
        <v>1533</v>
      </c>
      <c r="E209" s="0" t="n">
        <v>1117800</v>
      </c>
      <c r="F209" s="0" t="n">
        <v>693036</v>
      </c>
      <c r="G209" s="0" t="n">
        <v>424764</v>
      </c>
    </row>
    <row r="210" customFormat="false" ht="15" hidden="false" customHeight="false" outlineLevel="0" collapsed="false">
      <c r="A210" s="0" t="s">
        <v>81</v>
      </c>
      <c r="B210" s="0" t="s">
        <v>100</v>
      </c>
      <c r="C210" s="0" t="s">
        <v>113</v>
      </c>
      <c r="D210" s="0" t="s">
        <v>1533</v>
      </c>
      <c r="E210" s="0" t="n">
        <v>1198800</v>
      </c>
      <c r="F210" s="0" t="n">
        <v>743256</v>
      </c>
      <c r="G210" s="0" t="n">
        <v>455544</v>
      </c>
    </row>
    <row r="211" customFormat="false" ht="15" hidden="false" customHeight="false" outlineLevel="0" collapsed="false">
      <c r="A211" s="0" t="s">
        <v>81</v>
      </c>
      <c r="B211" s="0" t="s">
        <v>100</v>
      </c>
      <c r="C211" s="0" t="s">
        <v>116</v>
      </c>
      <c r="D211" s="0" t="s">
        <v>1533</v>
      </c>
      <c r="E211" s="0" t="n">
        <v>1279800</v>
      </c>
      <c r="F211" s="0" t="n">
        <v>793476</v>
      </c>
      <c r="G211" s="0" t="n">
        <v>486324</v>
      </c>
    </row>
    <row r="212" customFormat="false" ht="15" hidden="false" customHeight="false" outlineLevel="0" collapsed="false">
      <c r="A212" s="0" t="s">
        <v>81</v>
      </c>
      <c r="B212" s="0" t="s">
        <v>102</v>
      </c>
      <c r="C212" s="0" t="s">
        <v>110</v>
      </c>
      <c r="D212" s="0" t="s">
        <v>1533</v>
      </c>
      <c r="E212" s="0" t="n">
        <v>1209600</v>
      </c>
      <c r="F212" s="0" t="n">
        <v>749952</v>
      </c>
      <c r="G212" s="0" t="n">
        <v>459648</v>
      </c>
    </row>
    <row r="213" customFormat="false" ht="15" hidden="false" customHeight="false" outlineLevel="0" collapsed="false">
      <c r="A213" s="0" t="s">
        <v>81</v>
      </c>
      <c r="B213" s="0" t="s">
        <v>102</v>
      </c>
      <c r="C213" s="0" t="s">
        <v>113</v>
      </c>
      <c r="D213" s="0" t="s">
        <v>1533</v>
      </c>
      <c r="E213" s="0" t="n">
        <v>1290600</v>
      </c>
      <c r="F213" s="0" t="n">
        <v>800172</v>
      </c>
      <c r="G213" s="0" t="n">
        <v>490428</v>
      </c>
    </row>
    <row r="214" customFormat="false" ht="15" hidden="false" customHeight="false" outlineLevel="0" collapsed="false">
      <c r="A214" s="0" t="s">
        <v>81</v>
      </c>
      <c r="B214" s="0" t="s">
        <v>102</v>
      </c>
      <c r="C214" s="0" t="s">
        <v>116</v>
      </c>
      <c r="D214" s="0" t="s">
        <v>1533</v>
      </c>
      <c r="E214" s="0" t="n">
        <v>1371600</v>
      </c>
      <c r="F214" s="0" t="n">
        <v>850392</v>
      </c>
      <c r="G214" s="0" t="n">
        <v>521208</v>
      </c>
    </row>
    <row r="215" customFormat="false" ht="15" hidden="false" customHeight="false" outlineLevel="0" collapsed="false">
      <c r="A215" s="0" t="s">
        <v>81</v>
      </c>
      <c r="B215" s="0" t="s">
        <v>99</v>
      </c>
      <c r="C215" s="0" t="s">
        <v>110</v>
      </c>
      <c r="D215" s="0" t="s">
        <v>1533</v>
      </c>
      <c r="E215" s="0" t="n">
        <v>1301400</v>
      </c>
      <c r="F215" s="0" t="n">
        <v>806868</v>
      </c>
      <c r="G215" s="0" t="n">
        <v>494532</v>
      </c>
    </row>
    <row r="216" customFormat="false" ht="15" hidden="false" customHeight="false" outlineLevel="0" collapsed="false">
      <c r="A216" s="0" t="s">
        <v>81</v>
      </c>
      <c r="B216" s="0" t="s">
        <v>99</v>
      </c>
      <c r="C216" s="0" t="s">
        <v>113</v>
      </c>
      <c r="D216" s="0" t="s">
        <v>1533</v>
      </c>
      <c r="E216" s="0" t="n">
        <v>1382400</v>
      </c>
      <c r="F216" s="0" t="n">
        <v>857088</v>
      </c>
      <c r="G216" s="0" t="n">
        <v>525312</v>
      </c>
    </row>
    <row r="217" customFormat="false" ht="15" hidden="false" customHeight="false" outlineLevel="0" collapsed="false">
      <c r="A217" s="0" t="s">
        <v>81</v>
      </c>
      <c r="B217" s="0" t="s">
        <v>99</v>
      </c>
      <c r="C217" s="0" t="s">
        <v>116</v>
      </c>
      <c r="D217" s="0" t="s">
        <v>1533</v>
      </c>
      <c r="E217" s="0" t="n">
        <v>1463400</v>
      </c>
      <c r="F217" s="0" t="n">
        <v>907308</v>
      </c>
      <c r="G217" s="0" t="n">
        <v>556092</v>
      </c>
    </row>
    <row r="218" customFormat="false" ht="15" hidden="false" customHeight="false" outlineLevel="0" collapsed="false">
      <c r="A218" s="0" t="s">
        <v>82</v>
      </c>
      <c r="B218" s="0" t="s">
        <v>101</v>
      </c>
      <c r="C218" s="0" t="s">
        <v>110</v>
      </c>
      <c r="D218" s="0" t="s">
        <v>1533</v>
      </c>
      <c r="E218" s="0" t="n">
        <v>1026000</v>
      </c>
      <c r="F218" s="0" t="n">
        <v>636120</v>
      </c>
      <c r="G218" s="0" t="n">
        <v>389880</v>
      </c>
    </row>
    <row r="219" customFormat="false" ht="15" hidden="false" customHeight="false" outlineLevel="0" collapsed="false">
      <c r="A219" s="0" t="s">
        <v>82</v>
      </c>
      <c r="B219" s="0" t="s">
        <v>101</v>
      </c>
      <c r="C219" s="0" t="s">
        <v>113</v>
      </c>
      <c r="D219" s="0" t="s">
        <v>1533</v>
      </c>
      <c r="E219" s="0" t="n">
        <v>1107000</v>
      </c>
      <c r="F219" s="0" t="n">
        <v>686340</v>
      </c>
      <c r="G219" s="0" t="n">
        <v>420660</v>
      </c>
    </row>
    <row r="220" customFormat="false" ht="15" hidden="false" customHeight="false" outlineLevel="0" collapsed="false">
      <c r="A220" s="0" t="s">
        <v>82</v>
      </c>
      <c r="B220" s="0" t="s">
        <v>101</v>
      </c>
      <c r="C220" s="0" t="s">
        <v>116</v>
      </c>
      <c r="D220" s="0" t="s">
        <v>1533</v>
      </c>
      <c r="E220" s="0" t="n">
        <v>1188000</v>
      </c>
      <c r="F220" s="0" t="n">
        <v>736560</v>
      </c>
      <c r="G220" s="0" t="n">
        <v>451440</v>
      </c>
    </row>
    <row r="221" customFormat="false" ht="15" hidden="false" customHeight="false" outlineLevel="0" collapsed="false">
      <c r="A221" s="0" t="s">
        <v>82</v>
      </c>
      <c r="B221" s="0" t="s">
        <v>100</v>
      </c>
      <c r="C221" s="0" t="s">
        <v>110</v>
      </c>
      <c r="D221" s="0" t="s">
        <v>1533</v>
      </c>
      <c r="E221" s="0" t="n">
        <v>1117800</v>
      </c>
      <c r="F221" s="0" t="n">
        <v>693036</v>
      </c>
      <c r="G221" s="0" t="n">
        <v>424764</v>
      </c>
    </row>
    <row r="222" customFormat="false" ht="15" hidden="false" customHeight="false" outlineLevel="0" collapsed="false">
      <c r="A222" s="0" t="s">
        <v>82</v>
      </c>
      <c r="B222" s="0" t="s">
        <v>100</v>
      </c>
      <c r="C222" s="0" t="s">
        <v>113</v>
      </c>
      <c r="D222" s="0" t="s">
        <v>1533</v>
      </c>
      <c r="E222" s="0" t="n">
        <v>1198800</v>
      </c>
      <c r="F222" s="0" t="n">
        <v>743256</v>
      </c>
      <c r="G222" s="0" t="n">
        <v>455544</v>
      </c>
    </row>
    <row r="223" customFormat="false" ht="15" hidden="false" customHeight="false" outlineLevel="0" collapsed="false">
      <c r="A223" s="0" t="s">
        <v>82</v>
      </c>
      <c r="B223" s="0" t="s">
        <v>100</v>
      </c>
      <c r="C223" s="0" t="s">
        <v>116</v>
      </c>
      <c r="D223" s="0" t="s">
        <v>1533</v>
      </c>
      <c r="E223" s="0" t="n">
        <v>1279800</v>
      </c>
      <c r="F223" s="0" t="n">
        <v>793476</v>
      </c>
      <c r="G223" s="0" t="n">
        <v>486324</v>
      </c>
    </row>
    <row r="224" customFormat="false" ht="15" hidden="false" customHeight="false" outlineLevel="0" collapsed="false">
      <c r="A224" s="0" t="s">
        <v>82</v>
      </c>
      <c r="B224" s="0" t="s">
        <v>102</v>
      </c>
      <c r="C224" s="0" t="s">
        <v>110</v>
      </c>
      <c r="D224" s="0" t="s">
        <v>1533</v>
      </c>
      <c r="E224" s="0" t="n">
        <v>1209600</v>
      </c>
      <c r="F224" s="0" t="n">
        <v>749952</v>
      </c>
      <c r="G224" s="0" t="n">
        <v>459648</v>
      </c>
    </row>
    <row r="225" customFormat="false" ht="15" hidden="false" customHeight="false" outlineLevel="0" collapsed="false">
      <c r="A225" s="0" t="s">
        <v>82</v>
      </c>
      <c r="B225" s="0" t="s">
        <v>102</v>
      </c>
      <c r="C225" s="0" t="s">
        <v>113</v>
      </c>
      <c r="D225" s="0" t="s">
        <v>1533</v>
      </c>
      <c r="E225" s="0" t="n">
        <v>1290600</v>
      </c>
      <c r="F225" s="0" t="n">
        <v>800172</v>
      </c>
      <c r="G225" s="0" t="n">
        <v>490428</v>
      </c>
    </row>
    <row r="226" customFormat="false" ht="15" hidden="false" customHeight="false" outlineLevel="0" collapsed="false">
      <c r="A226" s="0" t="s">
        <v>82</v>
      </c>
      <c r="B226" s="0" t="s">
        <v>102</v>
      </c>
      <c r="C226" s="0" t="s">
        <v>116</v>
      </c>
      <c r="D226" s="0" t="s">
        <v>1533</v>
      </c>
      <c r="E226" s="0" t="n">
        <v>1371600</v>
      </c>
      <c r="F226" s="0" t="n">
        <v>850392</v>
      </c>
      <c r="G226" s="0" t="n">
        <v>521208</v>
      </c>
    </row>
    <row r="227" customFormat="false" ht="15" hidden="false" customHeight="false" outlineLevel="0" collapsed="false">
      <c r="A227" s="0" t="s">
        <v>82</v>
      </c>
      <c r="B227" s="0" t="s">
        <v>99</v>
      </c>
      <c r="C227" s="0" t="s">
        <v>110</v>
      </c>
      <c r="D227" s="0" t="s">
        <v>1533</v>
      </c>
      <c r="E227" s="0" t="n">
        <v>1301400</v>
      </c>
      <c r="F227" s="0" t="n">
        <v>806868</v>
      </c>
      <c r="G227" s="0" t="n">
        <v>494532</v>
      </c>
    </row>
    <row r="228" customFormat="false" ht="15" hidden="false" customHeight="false" outlineLevel="0" collapsed="false">
      <c r="A228" s="0" t="s">
        <v>82</v>
      </c>
      <c r="B228" s="0" t="s">
        <v>99</v>
      </c>
      <c r="C228" s="0" t="s">
        <v>113</v>
      </c>
      <c r="D228" s="0" t="s">
        <v>1533</v>
      </c>
      <c r="E228" s="0" t="n">
        <v>1382400</v>
      </c>
      <c r="F228" s="0" t="n">
        <v>857088</v>
      </c>
      <c r="G228" s="0" t="n">
        <v>525312</v>
      </c>
    </row>
    <row r="229" customFormat="false" ht="15" hidden="false" customHeight="false" outlineLevel="0" collapsed="false">
      <c r="A229" s="0" t="s">
        <v>82</v>
      </c>
      <c r="B229" s="0" t="s">
        <v>99</v>
      </c>
      <c r="C229" s="0" t="s">
        <v>116</v>
      </c>
      <c r="D229" s="0" t="s">
        <v>1533</v>
      </c>
      <c r="E229" s="0" t="n">
        <v>1463400</v>
      </c>
      <c r="F229" s="0" t="n">
        <v>907308</v>
      </c>
      <c r="G229" s="0" t="n">
        <v>556092</v>
      </c>
    </row>
    <row r="230" customFormat="false" ht="15" hidden="false" customHeight="false" outlineLevel="0" collapsed="false">
      <c r="A230" s="0" t="s">
        <v>83</v>
      </c>
      <c r="B230" s="0" t="s">
        <v>101</v>
      </c>
      <c r="C230" s="0" t="s">
        <v>110</v>
      </c>
      <c r="D230" s="0" t="s">
        <v>1533</v>
      </c>
      <c r="E230" s="0" t="n">
        <v>1026000</v>
      </c>
      <c r="F230" s="0" t="n">
        <v>636120</v>
      </c>
      <c r="G230" s="0" t="n">
        <v>389880</v>
      </c>
    </row>
    <row r="231" customFormat="false" ht="15" hidden="false" customHeight="false" outlineLevel="0" collapsed="false">
      <c r="A231" s="0" t="s">
        <v>83</v>
      </c>
      <c r="B231" s="0" t="s">
        <v>101</v>
      </c>
      <c r="C231" s="0" t="s">
        <v>113</v>
      </c>
      <c r="D231" s="0" t="s">
        <v>1533</v>
      </c>
      <c r="E231" s="0" t="n">
        <v>1107000</v>
      </c>
      <c r="F231" s="0" t="n">
        <v>686340</v>
      </c>
      <c r="G231" s="0" t="n">
        <v>420660</v>
      </c>
    </row>
    <row r="232" customFormat="false" ht="15" hidden="false" customHeight="false" outlineLevel="0" collapsed="false">
      <c r="A232" s="0" t="s">
        <v>83</v>
      </c>
      <c r="B232" s="0" t="s">
        <v>101</v>
      </c>
      <c r="C232" s="0" t="s">
        <v>116</v>
      </c>
      <c r="D232" s="0" t="s">
        <v>1533</v>
      </c>
      <c r="E232" s="0" t="n">
        <v>1188000</v>
      </c>
      <c r="F232" s="0" t="n">
        <v>736560</v>
      </c>
      <c r="G232" s="0" t="n">
        <v>451440</v>
      </c>
    </row>
    <row r="233" customFormat="false" ht="15" hidden="false" customHeight="false" outlineLevel="0" collapsed="false">
      <c r="A233" s="0" t="s">
        <v>83</v>
      </c>
      <c r="B233" s="0" t="s">
        <v>100</v>
      </c>
      <c r="C233" s="0" t="s">
        <v>110</v>
      </c>
      <c r="D233" s="0" t="s">
        <v>1533</v>
      </c>
      <c r="E233" s="0" t="n">
        <v>1117800</v>
      </c>
      <c r="F233" s="0" t="n">
        <v>693036</v>
      </c>
      <c r="G233" s="0" t="n">
        <v>424764</v>
      </c>
    </row>
    <row r="234" customFormat="false" ht="15" hidden="false" customHeight="false" outlineLevel="0" collapsed="false">
      <c r="A234" s="0" t="s">
        <v>83</v>
      </c>
      <c r="B234" s="0" t="s">
        <v>100</v>
      </c>
      <c r="C234" s="0" t="s">
        <v>113</v>
      </c>
      <c r="D234" s="0" t="s">
        <v>1533</v>
      </c>
      <c r="E234" s="0" t="n">
        <v>1198800</v>
      </c>
      <c r="F234" s="0" t="n">
        <v>743256</v>
      </c>
      <c r="G234" s="0" t="n">
        <v>455544</v>
      </c>
    </row>
    <row r="235" customFormat="false" ht="15" hidden="false" customHeight="false" outlineLevel="0" collapsed="false">
      <c r="A235" s="0" t="s">
        <v>83</v>
      </c>
      <c r="B235" s="0" t="s">
        <v>100</v>
      </c>
      <c r="C235" s="0" t="s">
        <v>116</v>
      </c>
      <c r="D235" s="0" t="s">
        <v>1533</v>
      </c>
      <c r="E235" s="0" t="n">
        <v>1279800</v>
      </c>
      <c r="F235" s="0" t="n">
        <v>793476</v>
      </c>
      <c r="G235" s="0" t="n">
        <v>486324</v>
      </c>
    </row>
    <row r="236" customFormat="false" ht="15" hidden="false" customHeight="false" outlineLevel="0" collapsed="false">
      <c r="A236" s="0" t="s">
        <v>83</v>
      </c>
      <c r="B236" s="0" t="s">
        <v>102</v>
      </c>
      <c r="C236" s="0" t="s">
        <v>110</v>
      </c>
      <c r="D236" s="0" t="s">
        <v>1533</v>
      </c>
      <c r="E236" s="0" t="n">
        <v>1209600</v>
      </c>
      <c r="F236" s="0" t="n">
        <v>749952</v>
      </c>
      <c r="G236" s="0" t="n">
        <v>459648</v>
      </c>
    </row>
    <row r="237" customFormat="false" ht="15" hidden="false" customHeight="false" outlineLevel="0" collapsed="false">
      <c r="A237" s="0" t="s">
        <v>83</v>
      </c>
      <c r="B237" s="0" t="s">
        <v>102</v>
      </c>
      <c r="C237" s="0" t="s">
        <v>113</v>
      </c>
      <c r="D237" s="0" t="s">
        <v>1533</v>
      </c>
      <c r="E237" s="0" t="n">
        <v>1290600</v>
      </c>
      <c r="F237" s="0" t="n">
        <v>800172</v>
      </c>
      <c r="G237" s="0" t="n">
        <v>490428</v>
      </c>
    </row>
    <row r="238" customFormat="false" ht="15" hidden="false" customHeight="false" outlineLevel="0" collapsed="false">
      <c r="A238" s="0" t="s">
        <v>83</v>
      </c>
      <c r="B238" s="0" t="s">
        <v>102</v>
      </c>
      <c r="C238" s="0" t="s">
        <v>116</v>
      </c>
      <c r="D238" s="0" t="s">
        <v>1533</v>
      </c>
      <c r="E238" s="0" t="n">
        <v>1371600</v>
      </c>
      <c r="F238" s="0" t="n">
        <v>850392</v>
      </c>
      <c r="G238" s="0" t="n">
        <v>521208</v>
      </c>
    </row>
    <row r="239" customFormat="false" ht="15" hidden="false" customHeight="false" outlineLevel="0" collapsed="false">
      <c r="A239" s="0" t="s">
        <v>83</v>
      </c>
      <c r="B239" s="0" t="s">
        <v>99</v>
      </c>
      <c r="C239" s="0" t="s">
        <v>110</v>
      </c>
      <c r="D239" s="0" t="s">
        <v>1533</v>
      </c>
      <c r="E239" s="0" t="n">
        <v>1301400</v>
      </c>
      <c r="F239" s="0" t="n">
        <v>806868</v>
      </c>
      <c r="G239" s="0" t="n">
        <v>494532</v>
      </c>
    </row>
    <row r="240" customFormat="false" ht="15" hidden="false" customHeight="false" outlineLevel="0" collapsed="false">
      <c r="A240" s="0" t="s">
        <v>83</v>
      </c>
      <c r="B240" s="0" t="s">
        <v>99</v>
      </c>
      <c r="C240" s="0" t="s">
        <v>113</v>
      </c>
      <c r="D240" s="0" t="s">
        <v>1533</v>
      </c>
      <c r="E240" s="0" t="n">
        <v>1382400</v>
      </c>
      <c r="F240" s="0" t="n">
        <v>857088</v>
      </c>
      <c r="G240" s="0" t="n">
        <v>525312</v>
      </c>
    </row>
    <row r="241" customFormat="false" ht="15" hidden="false" customHeight="false" outlineLevel="0" collapsed="false">
      <c r="A241" s="0" t="s">
        <v>83</v>
      </c>
      <c r="B241" s="0" t="s">
        <v>99</v>
      </c>
      <c r="C241" s="0" t="s">
        <v>116</v>
      </c>
      <c r="D241" s="0" t="s">
        <v>1533</v>
      </c>
      <c r="E241" s="0" t="n">
        <v>1463400</v>
      </c>
      <c r="F241" s="0" t="n">
        <v>907308</v>
      </c>
      <c r="G241" s="0" t="n">
        <v>556092</v>
      </c>
    </row>
    <row r="242" customFormat="false" ht="15" hidden="false" customHeight="false" outlineLevel="0" collapsed="false">
      <c r="A242" s="0" t="s">
        <v>84</v>
      </c>
      <c r="B242" s="0" t="s">
        <v>101</v>
      </c>
      <c r="C242" s="0" t="s">
        <v>110</v>
      </c>
      <c r="D242" s="0" t="s">
        <v>1533</v>
      </c>
      <c r="E242" s="0" t="n">
        <v>1026000</v>
      </c>
      <c r="F242" s="0" t="n">
        <v>636120</v>
      </c>
      <c r="G242" s="0" t="n">
        <v>389880</v>
      </c>
    </row>
    <row r="243" customFormat="false" ht="15" hidden="false" customHeight="false" outlineLevel="0" collapsed="false">
      <c r="A243" s="0" t="s">
        <v>84</v>
      </c>
      <c r="B243" s="0" t="s">
        <v>101</v>
      </c>
      <c r="C243" s="0" t="s">
        <v>113</v>
      </c>
      <c r="D243" s="0" t="s">
        <v>1533</v>
      </c>
      <c r="E243" s="0" t="n">
        <v>1107000</v>
      </c>
      <c r="F243" s="0" t="n">
        <v>686340</v>
      </c>
      <c r="G243" s="0" t="n">
        <v>420660</v>
      </c>
    </row>
    <row r="244" customFormat="false" ht="15" hidden="false" customHeight="false" outlineLevel="0" collapsed="false">
      <c r="A244" s="0" t="s">
        <v>84</v>
      </c>
      <c r="B244" s="0" t="s">
        <v>101</v>
      </c>
      <c r="C244" s="0" t="s">
        <v>116</v>
      </c>
      <c r="D244" s="0" t="s">
        <v>1533</v>
      </c>
      <c r="E244" s="0" t="n">
        <v>1188000</v>
      </c>
      <c r="F244" s="0" t="n">
        <v>736560</v>
      </c>
      <c r="G244" s="0" t="n">
        <v>451440</v>
      </c>
    </row>
    <row r="245" customFormat="false" ht="15" hidden="false" customHeight="false" outlineLevel="0" collapsed="false">
      <c r="A245" s="0" t="s">
        <v>84</v>
      </c>
      <c r="B245" s="0" t="s">
        <v>100</v>
      </c>
      <c r="C245" s="0" t="s">
        <v>110</v>
      </c>
      <c r="D245" s="0" t="s">
        <v>1533</v>
      </c>
      <c r="E245" s="0" t="n">
        <v>1117800</v>
      </c>
      <c r="F245" s="0" t="n">
        <v>693036</v>
      </c>
      <c r="G245" s="0" t="n">
        <v>424764</v>
      </c>
    </row>
    <row r="246" customFormat="false" ht="15" hidden="false" customHeight="false" outlineLevel="0" collapsed="false">
      <c r="A246" s="0" t="s">
        <v>84</v>
      </c>
      <c r="B246" s="0" t="s">
        <v>100</v>
      </c>
      <c r="C246" s="0" t="s">
        <v>113</v>
      </c>
      <c r="D246" s="0" t="s">
        <v>1533</v>
      </c>
      <c r="E246" s="0" t="n">
        <v>1198800</v>
      </c>
      <c r="F246" s="0" t="n">
        <v>743256</v>
      </c>
      <c r="G246" s="0" t="n">
        <v>455544</v>
      </c>
    </row>
    <row r="247" customFormat="false" ht="15" hidden="false" customHeight="false" outlineLevel="0" collapsed="false">
      <c r="A247" s="0" t="s">
        <v>84</v>
      </c>
      <c r="B247" s="0" t="s">
        <v>100</v>
      </c>
      <c r="C247" s="0" t="s">
        <v>116</v>
      </c>
      <c r="D247" s="0" t="s">
        <v>1533</v>
      </c>
      <c r="E247" s="0" t="n">
        <v>1279800</v>
      </c>
      <c r="F247" s="0" t="n">
        <v>793476</v>
      </c>
      <c r="G247" s="0" t="n">
        <v>486324</v>
      </c>
    </row>
    <row r="248" customFormat="false" ht="15" hidden="false" customHeight="false" outlineLevel="0" collapsed="false">
      <c r="A248" s="0" t="s">
        <v>84</v>
      </c>
      <c r="B248" s="0" t="s">
        <v>102</v>
      </c>
      <c r="C248" s="0" t="s">
        <v>110</v>
      </c>
      <c r="D248" s="0" t="s">
        <v>1533</v>
      </c>
      <c r="E248" s="0" t="n">
        <v>1209600</v>
      </c>
      <c r="F248" s="0" t="n">
        <v>749952</v>
      </c>
      <c r="G248" s="0" t="n">
        <v>459648</v>
      </c>
    </row>
    <row r="249" customFormat="false" ht="15" hidden="false" customHeight="false" outlineLevel="0" collapsed="false">
      <c r="A249" s="0" t="s">
        <v>84</v>
      </c>
      <c r="B249" s="0" t="s">
        <v>102</v>
      </c>
      <c r="C249" s="0" t="s">
        <v>113</v>
      </c>
      <c r="D249" s="0" t="s">
        <v>1533</v>
      </c>
      <c r="E249" s="0" t="n">
        <v>1290600</v>
      </c>
      <c r="F249" s="0" t="n">
        <v>800172</v>
      </c>
      <c r="G249" s="0" t="n">
        <v>490428</v>
      </c>
    </row>
    <row r="250" customFormat="false" ht="15" hidden="false" customHeight="false" outlineLevel="0" collapsed="false">
      <c r="A250" s="0" t="s">
        <v>84</v>
      </c>
      <c r="B250" s="0" t="s">
        <v>102</v>
      </c>
      <c r="C250" s="0" t="s">
        <v>116</v>
      </c>
      <c r="D250" s="0" t="s">
        <v>1533</v>
      </c>
      <c r="E250" s="0" t="n">
        <v>1371600</v>
      </c>
      <c r="F250" s="0" t="n">
        <v>850392</v>
      </c>
      <c r="G250" s="0" t="n">
        <v>521208</v>
      </c>
    </row>
    <row r="251" customFormat="false" ht="15" hidden="false" customHeight="false" outlineLevel="0" collapsed="false">
      <c r="A251" s="0" t="s">
        <v>84</v>
      </c>
      <c r="B251" s="0" t="s">
        <v>99</v>
      </c>
      <c r="C251" s="0" t="s">
        <v>110</v>
      </c>
      <c r="D251" s="0" t="s">
        <v>1533</v>
      </c>
      <c r="E251" s="0" t="n">
        <v>1301400</v>
      </c>
      <c r="F251" s="0" t="n">
        <v>806868</v>
      </c>
      <c r="G251" s="0" t="n">
        <v>494532</v>
      </c>
    </row>
    <row r="252" customFormat="false" ht="15" hidden="false" customHeight="false" outlineLevel="0" collapsed="false">
      <c r="A252" s="0" t="s">
        <v>84</v>
      </c>
      <c r="B252" s="0" t="s">
        <v>99</v>
      </c>
      <c r="C252" s="0" t="s">
        <v>113</v>
      </c>
      <c r="D252" s="0" t="s">
        <v>1533</v>
      </c>
      <c r="E252" s="0" t="n">
        <v>1382400</v>
      </c>
      <c r="F252" s="0" t="n">
        <v>857088</v>
      </c>
      <c r="G252" s="0" t="n">
        <v>525312</v>
      </c>
    </row>
    <row r="253" customFormat="false" ht="15" hidden="false" customHeight="false" outlineLevel="0" collapsed="false">
      <c r="A253" s="0" t="s">
        <v>84</v>
      </c>
      <c r="B253" s="0" t="s">
        <v>99</v>
      </c>
      <c r="C253" s="0" t="s">
        <v>116</v>
      </c>
      <c r="D253" s="0" t="s">
        <v>1533</v>
      </c>
      <c r="E253" s="0" t="n">
        <v>1463400</v>
      </c>
      <c r="F253" s="0" t="n">
        <v>907308</v>
      </c>
      <c r="G253" s="0" t="n">
        <v>556092</v>
      </c>
    </row>
    <row r="254" customFormat="false" ht="15" hidden="false" customHeight="false" outlineLevel="0" collapsed="false">
      <c r="A254" s="0" t="s">
        <v>1345</v>
      </c>
      <c r="B254" s="0" t="s">
        <v>101</v>
      </c>
      <c r="C254" s="0" t="s">
        <v>110</v>
      </c>
      <c r="D254" s="0" t="s">
        <v>1533</v>
      </c>
      <c r="E254" s="0" t="n">
        <v>1026000</v>
      </c>
      <c r="F254" s="0" t="n">
        <v>636120</v>
      </c>
      <c r="G254" s="0" t="n">
        <v>389880</v>
      </c>
    </row>
    <row r="255" customFormat="false" ht="15" hidden="false" customHeight="false" outlineLevel="0" collapsed="false">
      <c r="A255" s="0" t="s">
        <v>1345</v>
      </c>
      <c r="B255" s="0" t="s">
        <v>101</v>
      </c>
      <c r="C255" s="0" t="s">
        <v>113</v>
      </c>
      <c r="D255" s="0" t="s">
        <v>1533</v>
      </c>
      <c r="E255" s="0" t="n">
        <v>1107000</v>
      </c>
      <c r="F255" s="0" t="n">
        <v>686340</v>
      </c>
      <c r="G255" s="0" t="n">
        <v>420660</v>
      </c>
    </row>
    <row r="256" customFormat="false" ht="15" hidden="false" customHeight="false" outlineLevel="0" collapsed="false">
      <c r="A256" s="0" t="s">
        <v>1345</v>
      </c>
      <c r="B256" s="0" t="s">
        <v>101</v>
      </c>
      <c r="C256" s="0" t="s">
        <v>116</v>
      </c>
      <c r="D256" s="0" t="s">
        <v>1533</v>
      </c>
      <c r="E256" s="0" t="n">
        <v>1188000</v>
      </c>
      <c r="F256" s="0" t="n">
        <v>736560</v>
      </c>
      <c r="G256" s="0" t="n">
        <v>451440</v>
      </c>
    </row>
    <row r="257" customFormat="false" ht="15" hidden="false" customHeight="false" outlineLevel="0" collapsed="false">
      <c r="A257" s="0" t="s">
        <v>1345</v>
      </c>
      <c r="B257" s="0" t="s">
        <v>100</v>
      </c>
      <c r="C257" s="0" t="s">
        <v>110</v>
      </c>
      <c r="D257" s="0" t="s">
        <v>1533</v>
      </c>
      <c r="E257" s="0" t="n">
        <v>1117800</v>
      </c>
      <c r="F257" s="0" t="n">
        <v>693036</v>
      </c>
      <c r="G257" s="0" t="n">
        <v>424764</v>
      </c>
    </row>
    <row r="258" customFormat="false" ht="15" hidden="false" customHeight="false" outlineLevel="0" collapsed="false">
      <c r="A258" s="0" t="s">
        <v>1345</v>
      </c>
      <c r="B258" s="0" t="s">
        <v>100</v>
      </c>
      <c r="C258" s="0" t="s">
        <v>113</v>
      </c>
      <c r="D258" s="0" t="s">
        <v>1533</v>
      </c>
      <c r="E258" s="0" t="n">
        <v>1198800</v>
      </c>
      <c r="F258" s="0" t="n">
        <v>743256</v>
      </c>
      <c r="G258" s="0" t="n">
        <v>455544</v>
      </c>
    </row>
    <row r="259" customFormat="false" ht="15" hidden="false" customHeight="false" outlineLevel="0" collapsed="false">
      <c r="A259" s="0" t="s">
        <v>1345</v>
      </c>
      <c r="B259" s="0" t="s">
        <v>100</v>
      </c>
      <c r="C259" s="0" t="s">
        <v>116</v>
      </c>
      <c r="D259" s="0" t="s">
        <v>1533</v>
      </c>
      <c r="E259" s="0" t="n">
        <v>1279800</v>
      </c>
      <c r="F259" s="0" t="n">
        <v>793476</v>
      </c>
      <c r="G259" s="0" t="n">
        <v>486324</v>
      </c>
    </row>
    <row r="260" customFormat="false" ht="15" hidden="false" customHeight="false" outlineLevel="0" collapsed="false">
      <c r="A260" s="0" t="s">
        <v>1345</v>
      </c>
      <c r="B260" s="0" t="s">
        <v>102</v>
      </c>
      <c r="C260" s="0" t="s">
        <v>110</v>
      </c>
      <c r="D260" s="0" t="s">
        <v>1533</v>
      </c>
      <c r="E260" s="0" t="n">
        <v>1209600</v>
      </c>
      <c r="F260" s="0" t="n">
        <v>749952</v>
      </c>
      <c r="G260" s="0" t="n">
        <v>459648</v>
      </c>
    </row>
    <row r="261" customFormat="false" ht="15" hidden="false" customHeight="false" outlineLevel="0" collapsed="false">
      <c r="A261" s="0" t="s">
        <v>1345</v>
      </c>
      <c r="B261" s="0" t="s">
        <v>102</v>
      </c>
      <c r="C261" s="0" t="s">
        <v>113</v>
      </c>
      <c r="D261" s="0" t="s">
        <v>1533</v>
      </c>
      <c r="E261" s="0" t="n">
        <v>1290600</v>
      </c>
      <c r="F261" s="0" t="n">
        <v>800172</v>
      </c>
      <c r="G261" s="0" t="n">
        <v>490428</v>
      </c>
    </row>
    <row r="262" customFormat="false" ht="15" hidden="false" customHeight="false" outlineLevel="0" collapsed="false">
      <c r="A262" s="0" t="s">
        <v>1345</v>
      </c>
      <c r="B262" s="0" t="s">
        <v>102</v>
      </c>
      <c r="C262" s="0" t="s">
        <v>116</v>
      </c>
      <c r="D262" s="0" t="s">
        <v>1533</v>
      </c>
      <c r="E262" s="0" t="n">
        <v>1371600</v>
      </c>
      <c r="F262" s="0" t="n">
        <v>850392</v>
      </c>
      <c r="G262" s="0" t="n">
        <v>521208</v>
      </c>
    </row>
    <row r="263" customFormat="false" ht="15" hidden="false" customHeight="false" outlineLevel="0" collapsed="false">
      <c r="A263" s="0" t="s">
        <v>1345</v>
      </c>
      <c r="B263" s="0" t="s">
        <v>99</v>
      </c>
      <c r="C263" s="0" t="s">
        <v>110</v>
      </c>
      <c r="D263" s="0" t="s">
        <v>1533</v>
      </c>
      <c r="E263" s="0" t="n">
        <v>1301400</v>
      </c>
      <c r="F263" s="0" t="n">
        <v>806868</v>
      </c>
      <c r="G263" s="0" t="n">
        <v>494532</v>
      </c>
    </row>
    <row r="264" customFormat="false" ht="15" hidden="false" customHeight="false" outlineLevel="0" collapsed="false">
      <c r="A264" s="0" t="s">
        <v>1345</v>
      </c>
      <c r="B264" s="0" t="s">
        <v>99</v>
      </c>
      <c r="C264" s="0" t="s">
        <v>113</v>
      </c>
      <c r="D264" s="0" t="s">
        <v>1533</v>
      </c>
      <c r="E264" s="0" t="n">
        <v>1382400</v>
      </c>
      <c r="F264" s="0" t="n">
        <v>857088</v>
      </c>
      <c r="G264" s="0" t="n">
        <v>525312</v>
      </c>
    </row>
    <row r="265" customFormat="false" ht="15" hidden="false" customHeight="false" outlineLevel="0" collapsed="false">
      <c r="A265" s="0" t="s">
        <v>1345</v>
      </c>
      <c r="B265" s="0" t="s">
        <v>99</v>
      </c>
      <c r="C265" s="0" t="s">
        <v>116</v>
      </c>
      <c r="D265" s="0" t="s">
        <v>1533</v>
      </c>
      <c r="E265" s="0" t="n">
        <v>1463400</v>
      </c>
      <c r="F265" s="0" t="n">
        <v>907308</v>
      </c>
      <c r="G265" s="0" t="n">
        <v>556092</v>
      </c>
    </row>
    <row r="266" customFormat="false" ht="15" hidden="false" customHeight="false" outlineLevel="0" collapsed="false">
      <c r="A266" s="0" t="s">
        <v>1383</v>
      </c>
      <c r="B266" s="0" t="s">
        <v>101</v>
      </c>
      <c r="C266" s="0" t="s">
        <v>110</v>
      </c>
      <c r="D266" s="0" t="s">
        <v>1533</v>
      </c>
      <c r="E266" s="0" t="n">
        <v>1026000</v>
      </c>
      <c r="F266" s="0" t="n">
        <v>636120</v>
      </c>
      <c r="G266" s="0" t="n">
        <v>389880</v>
      </c>
    </row>
    <row r="267" customFormat="false" ht="15" hidden="false" customHeight="false" outlineLevel="0" collapsed="false">
      <c r="A267" s="0" t="s">
        <v>1383</v>
      </c>
      <c r="B267" s="0" t="s">
        <v>101</v>
      </c>
      <c r="C267" s="0" t="s">
        <v>113</v>
      </c>
      <c r="D267" s="0" t="s">
        <v>1533</v>
      </c>
      <c r="E267" s="0" t="n">
        <v>1107000</v>
      </c>
      <c r="F267" s="0" t="n">
        <v>686340</v>
      </c>
      <c r="G267" s="0" t="n">
        <v>420660</v>
      </c>
    </row>
    <row r="268" customFormat="false" ht="15" hidden="false" customHeight="false" outlineLevel="0" collapsed="false">
      <c r="A268" s="0" t="s">
        <v>1383</v>
      </c>
      <c r="B268" s="0" t="s">
        <v>101</v>
      </c>
      <c r="C268" s="0" t="s">
        <v>116</v>
      </c>
      <c r="D268" s="0" t="s">
        <v>1533</v>
      </c>
      <c r="E268" s="0" t="n">
        <v>1188000</v>
      </c>
      <c r="F268" s="0" t="n">
        <v>736560</v>
      </c>
      <c r="G268" s="0" t="n">
        <v>451440</v>
      </c>
    </row>
    <row r="269" customFormat="false" ht="15" hidden="false" customHeight="false" outlineLevel="0" collapsed="false">
      <c r="A269" s="0" t="s">
        <v>1383</v>
      </c>
      <c r="B269" s="0" t="s">
        <v>100</v>
      </c>
      <c r="C269" s="0" t="s">
        <v>110</v>
      </c>
      <c r="D269" s="0" t="s">
        <v>1533</v>
      </c>
      <c r="E269" s="0" t="n">
        <v>1117800</v>
      </c>
      <c r="F269" s="0" t="n">
        <v>693036</v>
      </c>
      <c r="G269" s="0" t="n">
        <v>424764</v>
      </c>
    </row>
    <row r="270" customFormat="false" ht="15" hidden="false" customHeight="false" outlineLevel="0" collapsed="false">
      <c r="A270" s="0" t="s">
        <v>1383</v>
      </c>
      <c r="B270" s="0" t="s">
        <v>100</v>
      </c>
      <c r="C270" s="0" t="s">
        <v>113</v>
      </c>
      <c r="D270" s="0" t="s">
        <v>1533</v>
      </c>
      <c r="E270" s="0" t="n">
        <v>1198800</v>
      </c>
      <c r="F270" s="0" t="n">
        <v>743256</v>
      </c>
      <c r="G270" s="0" t="n">
        <v>455544</v>
      </c>
    </row>
    <row r="271" customFormat="false" ht="15" hidden="false" customHeight="false" outlineLevel="0" collapsed="false">
      <c r="A271" s="0" t="s">
        <v>1383</v>
      </c>
      <c r="B271" s="0" t="s">
        <v>100</v>
      </c>
      <c r="C271" s="0" t="s">
        <v>116</v>
      </c>
      <c r="D271" s="0" t="s">
        <v>1533</v>
      </c>
      <c r="E271" s="0" t="n">
        <v>1279800</v>
      </c>
      <c r="F271" s="0" t="n">
        <v>793476</v>
      </c>
      <c r="G271" s="0" t="n">
        <v>486324</v>
      </c>
    </row>
    <row r="272" customFormat="false" ht="15" hidden="false" customHeight="false" outlineLevel="0" collapsed="false">
      <c r="A272" s="0" t="s">
        <v>1383</v>
      </c>
      <c r="B272" s="0" t="s">
        <v>102</v>
      </c>
      <c r="C272" s="0" t="s">
        <v>110</v>
      </c>
      <c r="D272" s="0" t="s">
        <v>1533</v>
      </c>
      <c r="E272" s="0" t="n">
        <v>1209600</v>
      </c>
      <c r="F272" s="0" t="n">
        <v>749952</v>
      </c>
      <c r="G272" s="0" t="n">
        <v>459648</v>
      </c>
    </row>
    <row r="273" customFormat="false" ht="15" hidden="false" customHeight="false" outlineLevel="0" collapsed="false">
      <c r="A273" s="0" t="s">
        <v>1383</v>
      </c>
      <c r="B273" s="0" t="s">
        <v>102</v>
      </c>
      <c r="C273" s="0" t="s">
        <v>113</v>
      </c>
      <c r="D273" s="0" t="s">
        <v>1533</v>
      </c>
      <c r="E273" s="0" t="n">
        <v>1290600</v>
      </c>
      <c r="F273" s="0" t="n">
        <v>800172</v>
      </c>
      <c r="G273" s="0" t="n">
        <v>490428</v>
      </c>
    </row>
    <row r="274" customFormat="false" ht="15" hidden="false" customHeight="false" outlineLevel="0" collapsed="false">
      <c r="A274" s="0" t="s">
        <v>1383</v>
      </c>
      <c r="B274" s="0" t="s">
        <v>102</v>
      </c>
      <c r="C274" s="0" t="s">
        <v>116</v>
      </c>
      <c r="D274" s="0" t="s">
        <v>1533</v>
      </c>
      <c r="E274" s="0" t="n">
        <v>1371600</v>
      </c>
      <c r="F274" s="0" t="n">
        <v>850392</v>
      </c>
      <c r="G274" s="0" t="n">
        <v>521208</v>
      </c>
    </row>
    <row r="275" customFormat="false" ht="15" hidden="false" customHeight="false" outlineLevel="0" collapsed="false">
      <c r="A275" s="0" t="s">
        <v>1383</v>
      </c>
      <c r="B275" s="0" t="s">
        <v>99</v>
      </c>
      <c r="C275" s="0" t="s">
        <v>110</v>
      </c>
      <c r="D275" s="0" t="s">
        <v>1533</v>
      </c>
      <c r="E275" s="0" t="n">
        <v>1301400</v>
      </c>
      <c r="F275" s="0" t="n">
        <v>806868</v>
      </c>
      <c r="G275" s="0" t="n">
        <v>494532</v>
      </c>
    </row>
    <row r="276" customFormat="false" ht="15" hidden="false" customHeight="false" outlineLevel="0" collapsed="false">
      <c r="A276" s="0" t="s">
        <v>1383</v>
      </c>
      <c r="B276" s="0" t="s">
        <v>99</v>
      </c>
      <c r="C276" s="0" t="s">
        <v>113</v>
      </c>
      <c r="D276" s="0" t="s">
        <v>1533</v>
      </c>
      <c r="E276" s="0" t="n">
        <v>1382400</v>
      </c>
      <c r="F276" s="0" t="n">
        <v>857088</v>
      </c>
      <c r="G276" s="0" t="n">
        <v>525312</v>
      </c>
    </row>
    <row r="277" customFormat="false" ht="15" hidden="false" customHeight="false" outlineLevel="0" collapsed="false">
      <c r="A277" s="0" t="s">
        <v>1383</v>
      </c>
      <c r="B277" s="0" t="s">
        <v>99</v>
      </c>
      <c r="C277" s="0" t="s">
        <v>116</v>
      </c>
      <c r="D277" s="0" t="s">
        <v>1533</v>
      </c>
      <c r="E277" s="0" t="n">
        <v>1463400</v>
      </c>
      <c r="F277" s="0" t="n">
        <v>907308</v>
      </c>
      <c r="G277" s="0" t="n">
        <v>556092</v>
      </c>
    </row>
    <row r="278" customFormat="false" ht="15" hidden="false" customHeight="false" outlineLevel="0" collapsed="false">
      <c r="A278" s="0" t="s">
        <v>1420</v>
      </c>
      <c r="B278" s="0" t="s">
        <v>101</v>
      </c>
      <c r="C278" s="0" t="s">
        <v>110</v>
      </c>
      <c r="D278" s="0" t="s">
        <v>1533</v>
      </c>
      <c r="E278" s="0" t="n">
        <v>1026000</v>
      </c>
      <c r="F278" s="0" t="n">
        <v>636120</v>
      </c>
      <c r="G278" s="0" t="n">
        <v>389880</v>
      </c>
    </row>
    <row r="279" customFormat="false" ht="15" hidden="false" customHeight="false" outlineLevel="0" collapsed="false">
      <c r="A279" s="0" t="s">
        <v>1420</v>
      </c>
      <c r="B279" s="0" t="s">
        <v>101</v>
      </c>
      <c r="C279" s="0" t="s">
        <v>113</v>
      </c>
      <c r="D279" s="0" t="s">
        <v>1533</v>
      </c>
      <c r="E279" s="0" t="n">
        <v>1107000</v>
      </c>
      <c r="F279" s="0" t="n">
        <v>686340</v>
      </c>
      <c r="G279" s="0" t="n">
        <v>420660</v>
      </c>
    </row>
    <row r="280" customFormat="false" ht="15" hidden="false" customHeight="false" outlineLevel="0" collapsed="false">
      <c r="A280" s="0" t="s">
        <v>1420</v>
      </c>
      <c r="B280" s="0" t="s">
        <v>101</v>
      </c>
      <c r="C280" s="0" t="s">
        <v>116</v>
      </c>
      <c r="D280" s="0" t="s">
        <v>1533</v>
      </c>
      <c r="E280" s="0" t="n">
        <v>1188000</v>
      </c>
      <c r="F280" s="0" t="n">
        <v>736560</v>
      </c>
      <c r="G280" s="0" t="n">
        <v>451440</v>
      </c>
    </row>
    <row r="281" customFormat="false" ht="15" hidden="false" customHeight="false" outlineLevel="0" collapsed="false">
      <c r="A281" s="0" t="s">
        <v>1420</v>
      </c>
      <c r="B281" s="0" t="s">
        <v>100</v>
      </c>
      <c r="C281" s="0" t="s">
        <v>110</v>
      </c>
      <c r="D281" s="0" t="s">
        <v>1533</v>
      </c>
      <c r="E281" s="0" t="n">
        <v>1117800</v>
      </c>
      <c r="F281" s="0" t="n">
        <v>693036</v>
      </c>
      <c r="G281" s="0" t="n">
        <v>424764</v>
      </c>
    </row>
    <row r="282" customFormat="false" ht="15" hidden="false" customHeight="false" outlineLevel="0" collapsed="false">
      <c r="A282" s="0" t="s">
        <v>1420</v>
      </c>
      <c r="B282" s="0" t="s">
        <v>100</v>
      </c>
      <c r="C282" s="0" t="s">
        <v>113</v>
      </c>
      <c r="D282" s="0" t="s">
        <v>1533</v>
      </c>
      <c r="E282" s="0" t="n">
        <v>1198800</v>
      </c>
      <c r="F282" s="0" t="n">
        <v>743256</v>
      </c>
      <c r="G282" s="0" t="n">
        <v>455544</v>
      </c>
    </row>
    <row r="283" customFormat="false" ht="15" hidden="false" customHeight="false" outlineLevel="0" collapsed="false">
      <c r="A283" s="0" t="s">
        <v>1420</v>
      </c>
      <c r="B283" s="0" t="s">
        <v>100</v>
      </c>
      <c r="C283" s="0" t="s">
        <v>116</v>
      </c>
      <c r="D283" s="0" t="s">
        <v>1533</v>
      </c>
      <c r="E283" s="0" t="n">
        <v>1279800</v>
      </c>
      <c r="F283" s="0" t="n">
        <v>793476</v>
      </c>
      <c r="G283" s="0" t="n">
        <v>486324</v>
      </c>
    </row>
    <row r="284" customFormat="false" ht="15" hidden="false" customHeight="false" outlineLevel="0" collapsed="false">
      <c r="A284" s="0" t="s">
        <v>1420</v>
      </c>
      <c r="B284" s="0" t="s">
        <v>102</v>
      </c>
      <c r="C284" s="0" t="s">
        <v>110</v>
      </c>
      <c r="D284" s="0" t="s">
        <v>1533</v>
      </c>
      <c r="E284" s="0" t="n">
        <v>1209600</v>
      </c>
      <c r="F284" s="0" t="n">
        <v>749952</v>
      </c>
      <c r="G284" s="0" t="n">
        <v>459648</v>
      </c>
    </row>
    <row r="285" customFormat="false" ht="15" hidden="false" customHeight="false" outlineLevel="0" collapsed="false">
      <c r="A285" s="0" t="s">
        <v>1420</v>
      </c>
      <c r="B285" s="0" t="s">
        <v>102</v>
      </c>
      <c r="C285" s="0" t="s">
        <v>113</v>
      </c>
      <c r="D285" s="0" t="s">
        <v>1533</v>
      </c>
      <c r="E285" s="0" t="n">
        <v>1290600</v>
      </c>
      <c r="F285" s="0" t="n">
        <v>800172</v>
      </c>
      <c r="G285" s="0" t="n">
        <v>490428</v>
      </c>
    </row>
    <row r="286" customFormat="false" ht="15" hidden="false" customHeight="false" outlineLevel="0" collapsed="false">
      <c r="A286" s="0" t="s">
        <v>1420</v>
      </c>
      <c r="B286" s="0" t="s">
        <v>102</v>
      </c>
      <c r="C286" s="0" t="s">
        <v>116</v>
      </c>
      <c r="D286" s="0" t="s">
        <v>1533</v>
      </c>
      <c r="E286" s="0" t="n">
        <v>1371600</v>
      </c>
      <c r="F286" s="0" t="n">
        <v>850392</v>
      </c>
      <c r="G286" s="0" t="n">
        <v>521208</v>
      </c>
    </row>
    <row r="287" customFormat="false" ht="15" hidden="false" customHeight="false" outlineLevel="0" collapsed="false">
      <c r="A287" s="0" t="s">
        <v>1420</v>
      </c>
      <c r="B287" s="0" t="s">
        <v>99</v>
      </c>
      <c r="C287" s="0" t="s">
        <v>110</v>
      </c>
      <c r="D287" s="0" t="s">
        <v>1533</v>
      </c>
      <c r="E287" s="0" t="n">
        <v>1301400</v>
      </c>
      <c r="F287" s="0" t="n">
        <v>806868</v>
      </c>
      <c r="G287" s="0" t="n">
        <v>494532</v>
      </c>
    </row>
    <row r="288" customFormat="false" ht="15" hidden="false" customHeight="false" outlineLevel="0" collapsed="false">
      <c r="A288" s="0" t="s">
        <v>1420</v>
      </c>
      <c r="B288" s="0" t="s">
        <v>99</v>
      </c>
      <c r="C288" s="0" t="s">
        <v>113</v>
      </c>
      <c r="D288" s="0" t="s">
        <v>1533</v>
      </c>
      <c r="E288" s="0" t="n">
        <v>1382400</v>
      </c>
      <c r="F288" s="0" t="n">
        <v>857088</v>
      </c>
      <c r="G288" s="0" t="n">
        <v>525312</v>
      </c>
    </row>
    <row r="289" customFormat="false" ht="15" hidden="false" customHeight="false" outlineLevel="0" collapsed="false">
      <c r="A289" s="0" t="s">
        <v>1420</v>
      </c>
      <c r="B289" s="0" t="s">
        <v>99</v>
      </c>
      <c r="C289" s="0" t="s">
        <v>116</v>
      </c>
      <c r="D289" s="0" t="s">
        <v>1533</v>
      </c>
      <c r="E289" s="0" t="n">
        <v>1463400</v>
      </c>
      <c r="F289" s="0" t="n">
        <v>907308</v>
      </c>
      <c r="G289" s="0" t="n">
        <v>556092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2026-10-17T17:55:10Z</dcterms:created>
  <dc:creator>openpyxl</dc:creator>
  <dc:description/>
  <dc:language>en-US</dc:language>
  <cp:lastModifiedBy/>
  <dcterms:modified xsi:type="dcterms:W3CDTF">2026-10-17T17:55:11Z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